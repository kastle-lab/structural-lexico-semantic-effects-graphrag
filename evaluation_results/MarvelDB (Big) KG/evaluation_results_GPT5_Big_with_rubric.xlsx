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13_ncr:1_{33AF28F9-3D64-0840-8F8C-8D2AF43D0DC3}"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<sst xmlns="http://schemas.openxmlformats.org/spreadsheetml/2006/main" count="364" uniqueCount="261">
  <si>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</si>
  <si>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</si>
  <si>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</si>
  <si>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</si>
  <si>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</si>
  <si>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</si>
  <si>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</si>
  <si>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</si>
  <si>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</si>
  <si>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</si>
  <si>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</si>
  <si>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</si>
  <si>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</si>
  <si>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</si>
  <si>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</si>
  <si>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</si>
  <si>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</si>
  <si>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</si>
  <si>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</si>
  <si>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</si>
  <si>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</si>
  <si>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</si>
  <si>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</si>
  <si>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</si>
  <si>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</si>
  <si>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</si>
  <si>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</si>
  <si>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t>
  </si>
  <si>
    <t>simple</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</si>
  <si>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</si>
  <si>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</si>
  <si>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</si>
  <si>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</si>
  <si>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</si>
  <si>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</si>
  <si>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</si>
  <si>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</si>
  <si>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</si>
  <si>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</si>
  <si>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</si>
  <si>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</si>
  <si>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</si>
  <si>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</si>
  <si>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</si>
  <si>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</si>
  <si>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</si>
  <si>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</si>
  <si>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</si>
  <si>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</si>
  <si>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</si>
  <si>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</si>
  <si>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</si>
  <si>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</si>
  <si>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</si>
  <si>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</si>
  <si>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moderate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</si>
  <si>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</si>
  <si>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</si>
  <si>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[{"var": "character", "rows": 432, "distinct": 33, "null_rate": 0.0, "label_resolution_rate": 1.0, "diversity_entropy_norm": 0.56, "semantic_cohesion": 0.73, "dup_ratio": 0.92, "bound_rate": 1.0}, {"var": "team", "rows": 432, "distinct": 127, "null_rate": 0.0, "label_resolution_rate": 1.0, "diversity_entropy_norm": 0.95, "semantic_cohesion": 0.56, "dup_ratio": 0.71, "bound_rate": 1.0}, {"var": "movie", "rows": 432, "distinct": 68, "null_rate": 0.0, "label_resolution_rate": 1.0, "diversity_entropy_norm": 0.84, "semantic_cohesion": 0.63, "dup_ratio": 0.84, "bound_rate": 1.0}]</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</si>
  <si>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</si>
  <si>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</si>
  <si>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["character", "power", "movie"]</t>
  </si>
  <si>
    <t>[{"var": "character", "rows": 0, "distinct": 0, "null_rate": 1.0, "label_resolution_rate": 0.0, "diversity_entropy_norm": 0.0, "semantic_cohesion": 1.0, "dup_ratio": 0.0, "bound_rate": 0.0}, {"var": "power", "rows": 0, "distinct": 0, "null_rate": 1.0, "label_resolution_rate": 0.0, "diversity_entropy_norm": 0.0, "semantic_cohesion": 1.0, "dup_ratio": 0.0, "bound_rate": 0.0}, {"var": "movie", "rows": 0, "distinct": 0, "null_rate": 1.0, "label_resolution_rate": 0.0, "diversity_entropy_norm": 0.0, "semantic_cohesion": 1.0, "dup_ratio": 0.0, "bound_rate": 0.0}]</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</si>
  <si>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</si>
  <si>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</si>
  <si>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["movie"]</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</si>
  <si>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</si>
  <si>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</si>
  <si>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</si>
  <si>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</si>
  <si>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</si>
  <si>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</si>
  <si>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</si>
  <si>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</si>
  <si>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</si>
  <si>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</si>
  <si>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</si>
  <si>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</si>
  <si>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</si>
  <si>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</si>
  <si>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</si>
  <si>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</si>
  <si>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</si>
  <si>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</si>
  <si>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complex</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</si>
  <si>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</si>
  <si>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</si>
  <si>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</si>
  <si>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</si>
  <si>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</si>
  <si>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</si>
  <si>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</si>
  <si>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</si>
  <si>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</si>
  <si>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</si>
  <si>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</si>
  <si>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</si>
  <si>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</si>
  <si>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</si>
  <si>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syntax_ok_rate</t>
  </si>
  <si>
    <t>satisfiable_rate</t>
  </si>
  <si>
    <t>deterministic_rate</t>
  </si>
  <si>
    <t>ALL</t>
  </si>
  <si>
    <t>Complexity</t>
  </si>
  <si>
    <t>Total</t>
  </si>
  <si>
    <t>Valid Syntax</t>
  </si>
  <si>
    <t>Valid all</t>
  </si>
  <si>
    <t>PREFIX rdfs: &lt;http://www.w3.org/2000/01/rdf-schema#&gt;
SELECT DISTINCT ?character ?name
WHERE {
  ?character a &lt;http://dbkwik.webdatacommons.org/marvel.wikia.com/class/character&gt; ;
             rdfs:label ?name .
}
ORDER BY ?name</t>
  </si>
  <si>
    <t>{
    "id": "batch_req_692156a610948190ac9d7ea9920a07d0",
    "custom_id": "cq-0",
    "response": {
        "status_code": 200,
        "request_id": "0b68da4496568bb8d04791bdf1c4580d",
        "body": {
            "id": "chatcmpl-CeZdX22Y6NGIwFs6DeI7mR4i6XuW0",
            "object": "chat.completion",
            "created": 1763786143,
            "model": "gpt-5-2025-08-07",
            "choices": [
                {
                    "index": 0,
                    "message": {
                        "role": "assistant",
                        "content": "PREFIX rdfs: &lt;http://www.w3.org/2000/01/rdf-schema#&gt;\n\nSELECT DISTINCT ?character ?name\nWHERE {\n  ?character a &lt;http://dbkwik.webdatacommons.org/marvel.wikia.com/class/character&gt; ;\n             rdfs:label ?name .\n}\nORDER BY ?name",
                        "refusal": null,
                        "annotations": []
                    },
                    "finish_reason": "stop"
                }
            ],
            "usage": {
                "prompt_tokens": 91993,
                "completion_tokens": 1166,
                "total_tokens": 93159,
                "prompt_tokens_details": {
                    "cached_tokens": 0,
                    "audio_tokens": 0
                },
                "completion_tokens_details": {
                    "reasoning_tokens": 1088,
                    "audio_tokens": 0,
                    "accepted_prediction_tokens": 0,
                    "rejected_prediction_tokens": 0
                }
            },
            "service_tier": "default",
            "system_fingerprint": null
        }
    },
    "error": null
}</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</si>
  <si>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rdfs: &lt;http://www.w3.org/2000/01/rdf-schema#&gt;
SELECT DISTINCT ?character ?name
WHERE {
  ?character a &lt;http://dbkwik.webdatacommons.org/marvel.wikia.com/class/character&gt; ;
             rdfs:label ?name .
}
ORDER BY ?name</t>
  </si>
  <si>
    <t>{
  "cq_text": "Who are all the characters available?",
  "syntax_ok": true,
  "satisfiable": true,
  "deterministic": true,
  "latency": {
    "p50_ms": 7.97,
    "p95_ms": 8.04,
    "mean_ms": 7.97
  },
  "rows": 1,
  "vars": 2,
  "always_unbound_vars": [],
  "lexical_query_overlap": 0.0,
  "semantic_similarity_to_CQ": 0.68,
  "semantic_soft_coverage_to_CQ": 0.75,
  "tuple_cohesion": 1.0,
  "variables": [
    {
      "var": "character",
      "rows": 1,
      "distinct": 1,
      "null_rate": 0.0,
      "label_resolution_rate": 1.0,
      "diversity_entropy_norm": -1.0,
      "semantic_cohesion": 1.0,
      "dup_ratio": 0.0,
      "bound_rate": 1.0
    },
    {
      "var": "name",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</si>
  <si>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 {"var": "name", "rows": 1, "distinct": 1, "null_rate": 0.0, "label_resolution_rate": 1.0, "diversity_entropy_norm": -1.0, "semantic_cohesion": 1.0, "dup_ratio": 0.0, "bound_rate": 1.0}]</t>
  </si>
  <si>
    <t>PREFIX ns1: &lt;http://dbkwik.webdatacommons.org/marvel.wikia.com/property/&gt;
PREFIX rdfs: &lt;http://www.w3.org/2000/01/rdf-schema#&gt;
SELECT DISTINCT ?work ?label ?type
WHERE {
  { ?s ns1:movies ?work . BIND("Movie" AS ?type) }
  UNION
  { ?s ns1:television ?work . BIND("TV" AS ?type) }
  OPTIONAL { ?work rdfs:label ?label }
}
ORDER BY ?type ?label ?work</t>
  </si>
  <si>
    <t>{
    "id": "batch_req_692156a6130481908ae783a0048a74b0",
    "custom_id": "cq-1",
    "response": {
        "status_code": 200,
        "request_id": "90997db0dc44d36ded0bd7653716d058",
        "body": {
            "id": "chatcmpl-Cea83DYQBqclYJnPMDLYlo584Af2Y",
            "object": "chat.completion",
            "created": 1763788035,
            "model": "gpt-5-2025-08-07",
            "choices": [
                {
                    "index": 0,
                    "message": {
                        "role": "assistant",
                        "content": "PREFIX ns1: &lt;http://dbkwik.webdatacommons.org/marvel.wikia.com/property/&gt;\nPREFIX rdfs: &lt;http://www.w3.org/2000/01/rdf-schema#&gt;\n\nSELECT DISTINCT ?work ?label ?type\nWHERE {\n  { ?s ns1:movies ?work . BIND(\"Movie\" AS ?type) }\n  UNION\n  { ?s ns1:television ?work . BIND(\"TV\" AS ?type) }\n  OPTIONAL { ?work rdfs:label ?label }\n}\nORDER BY ?type ?label ?work",
                        "refusal": null,
                        "annotations": []
                    },
                    "finish_reason": "stop"
                }
            ],
            "usage": {
                "prompt_tokens": 91999,
                "completion_tokens": 2179,
                "total_tokens": 94178,
                "prompt_tokens_details": {
                    "cached_tokens": 0,
                    "audio_tokens": 0
                },
                "completion_tokens_details": {
                    "reasoning_tokens": 2048,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</si>
  <si>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?work ?label ?type
WHERE {
  { ?s ns1:movies ?work . BIND("Movie" AS ?type) }
  UNION
  { ?s ns1:television ?work . BIND("TV" AS ?type) }
  OPTIONAL { ?work rdfs:label ?label }
}
ORDER BY ?type ?label ?work</t>
  </si>
  <si>
    <t>{
  "cq_text": "What are all the movies (and/or TV shows) available?",
  "syntax_ok": true,
  "satisfiable": true,
  "deterministic": true,
  "latency": {
    "p50_ms": 120.06,
    "p95_ms": 120.21,
    "mean_ms": 117.78
  },
  "rows": 1472,
  "vars": 3,
  "always_unbound_vars": [],
  "lexical_query_overlap": 0.07,
  "semantic_similarity_to_CQ": 0.71,
  "semantic_soft_coverage_to_CQ": 0.75,
  "tuple_cohesion": 0.74,
  "variables": [
    {
      "var": "work",
      "rows": 1472,
      "distinct": 1282,
      "null_rate": 0.0,
      "label_resolution_rate": 0.9705232129697863,
      "diversity_entropy_norm": 0.99,
      "semantic_cohesion": 0.68,
      "dup_ratio": 0.13,
      "bound_rate": 1.0
    },
    {
      "var": "label",
      "rows": 1472,
      "distinct": 1043,
      "null_rate": 0.2914402173913043,
      "label_resolution_rate": 1.0,
      "diversity_entropy_norm": 1.0,
      "semantic_cohesion": 0.81,
      "dup_ratio": 0.0,
      "bound_rate": 0.7085597826086957
    },
    {
      "var": "type",
      "rows": 1472,
      "distinct": 2,
      "null_rate": 0.0,
      "label_resolution_rate": 1.0,
      "diversity_entropy_norm": 0.84,
      "semantic_cohesion": 0.32,
      "dup_ratio": 1.0,
      "bound_rate": 1.0
    }
  ]
}</t>
  </si>
  <si>
    <t>[{"var": "work", "rows": 1472, "distinct": 1282, "null_rate": 0.0, "label_resolution_rate": 0.9705232129697863, "diversity_entropy_norm": 0.99, "semantic_cohesion": 0.68, "dup_ratio": 0.13, "bound_rate": 1.0}, {"var": "label", "rows": 1472, "distinct": 1043, "null_rate": 0.2914402173913043, "label_resolution_rate": 1.0, "diversity_entropy_norm": 1.0, "semantic_cohesion": 0.81, "dup_ratio": 0.0, "bound_rate": 0.7085597826086957}, {"var": "type", "rows": 1472, "distinct": 2, "null_rate": 0.0, "label_resolution_rate": 1.0, "diversity_entropy_norm": 0.84, "semantic_cohesion": 0.32, "dup_ratio": 1.0, "bound_rate": 1.0}]</t>
  </si>
  <si>
    <t>PREFIX rdf: &lt;http://www.w3.org/1999/02/22-rdf-syntax-ns#&gt;
PREFIX rdfs: &lt;http://www.w3.org/2000/01/rdf-schema#&gt;
PREFIX skos: &lt;http://www.w3.org/2004/02/skos/core#&gt;
PREFIX ns1: &lt;http://dbkwik.webdatacommons.org/marvel.wikia.com/property/&gt;
SELECT DISTINCT ?character ?characterLabel ?realName ?alias
WHERE {
  ?character a &lt;http://dbkwik.webdatacommons.org/marvel.wikia.com/class/character&gt; .
  OPTIONAL { ?character rdfs:label ?characterLabel . }
  OPTIONAL { ?character ns1:realname ?realName . }
  OPTIONAL { ?character skos:altLabel ?alias . }
}
ORDER BY LCASE(STR(?characterLabel)) ?character</t>
  </si>
  <si>
    <t>{
    "id": "batch_req_692156a613788190a9ddc7fc632b2281",
    "custom_id": "cq-2",
    "response": {
        "status_code": 200,
        "request_id": "4a1b1b50f3059f4cf24d5e0f81713038",
        "body": {
            "id": "chatcmpl-CeZoMmTxL85resi5CeQMaHGu0gxjJ",
            "object": "chat.completion",
            "created": 1763786814,
            "model": "gpt-5-2025-08-07",
            "choices": [
                {
                    "index": 0,
                    "message": {
                        "role": "assistant",
                        "content": "PREFIX rdf: &lt;http://www.w3.org/1999/02/22-rdf-syntax-ns#&gt;\nPREFIX rdfs: &lt;http://www.w3.org/2000/01/rdf-schema#&gt;\nPREFIX skos: &lt;http://www.w3.org/2004/02/skos/core#&gt;\nPREFIX ns1: &lt;http://dbkwik.webdatacommons.org/marvel.wikia.com/property/&gt;\n\nSELECT DISTINCT ?character ?characterLabel ?realName ?alias\nWHERE {\n  ?character a &lt;http://dbkwik.webdatacommons.org/marvel.wikia.com/class/character&gt; .\n  OPTIONAL { ?character rdfs:label ?characterLabel . }\n  OPTIONAL { ?character ns1:realname ?realName . }\n  OPTIONAL { ?character skos:altLabel ?alias . }\n}\nORDER BY LCASE(STR(?characterLabel)) ?character",
                        "refusal": null,
                        "annotations": []
                    },
                    "finish_reason": "stop"
                }
            ],
            "usage": {
                "prompt_tokens": 92001,
                "completion_tokens": 1924,
                "total_tokens": 93925,
                "prompt_tokens_details": {
                    "cached_tokens": 0,
                    "audio_tokens": 0
                },
                "completion_tokens_details": {
                    "reasoning_tokens": 1728,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</si>
  <si>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xsd: &lt;http://www.w3.org/2001/XMLSchema#&gt;
PREFIX rdf: &lt;http://www.w3.org/1999/02/22-rdf-syntax-ns#&gt;
PREFIX rdfs: &lt;http://www.w3.org/2000/01/rdf-schema#&gt;
PREFIX skos: &lt;http://www.w3.org/2004/02/skos/core#&gt;
PREFIX ns1: &lt;http://dbkwik.webdatacommons.org/marvel.wikia.com/property/&gt;
SELECT DISTINCT ?character ?characterLabel ?realName ?alias
WHERE {
  ?character a &lt;http://dbkwik.webdatacommons.org/marvel.wikia.com/class/character&gt; .
  OPTIONAL { ?character rdfs:label ?characterLabel . }
  OPTIONAL { ?character ns1:realname ?realName . }
  OPTIONAL { ?character skos:altLabel ?alias . }
}
ORDER BY LCASE(STR(?characterLabel)) ?character</t>
  </si>
  <si>
    <t>{
  "cq_text": "What are the real names and/or primary aliases for each of the characters?",
  "syntax_ok": true,
  "satisfiable": true,
  "deterministic": true,
  "latency": {
    "p50_ms": 4.17,
    "p95_ms": 4.39,
    "mean_ms": 4.11
  },
  "rows": 2,
  "vars": 4,
  "always_unbound_vars": [],
  "lexical_query_overlap": 0.03,
  "semantic_similarity_to_CQ": 0.76,
  "semantic_soft_coverage_to_CQ": 0.78,
  "tuple_cohesion": 0.98,
  "variables": [
    {
      "var": "character",
      "rows": 2,
      "distinct": 1,
      "null_rate": 0.0,
      "label_resolution_rate": 1.0,
      "diversity_entropy_norm": -1.0,
      "semantic_cohesion": 1.0,
      "dup_ratio": 0.5,
      "bound_rate": 1.0
    },
    {
      "var": "characterLabel",
      "rows": 2,
      "distinct": 1,
      "null_rate": 0.0,
      "label_resolution_rate": 1.0,
      "diversity_entropy_norm": -1.0,
      "semantic_cohesion": 1.0,
      "dup_ratio": 0.5,
      "bound_rate": 1.0
    },
    {
      "var": "realName",
      "rows": 2,
      "distinct": 1,
      "null_rate": 0.0,
      "label_resolution_rate": 1.0,
      "diversity_entropy_norm": -1.0,
      "semantic_cohesion": 1.0,
      "dup_ratio": 0.5,
      "bound_rate": 1.0
    },
    {
      "var": "alias",
      "rows": 2,
      "distinct": 2,
      "null_rate": 0.0,
      "label_resolution_rate": 1.0,
      "diversity_entropy_norm": 1.0,
      "semantic_cohesion": 0.66,
      "dup_ratio": 0.0,
      "bound_rate": 1.0
    }
  ]
}</t>
  </si>
  <si>
    <t>[{"var": "character", "rows": 2, "distinct": 1, "null_rate": 0.0, "label_resolution_rate": 1.0, "diversity_entropy_norm": -1.0, "semantic_cohesion": 1.0, "dup_ratio": 0.5, "bound_rate": 1.0}, {"var": "characterLabel", "rows": 2, "distinct": 1, "null_rate": 0.0, "label_resolution_rate": 1.0, "diversity_entropy_norm": -1.0, "semantic_cohesion": 1.0, "dup_ratio": 0.5, "bound_rate": 1.0}, {"var": "realName", "rows": 2, "distinct": 1, "null_rate": 0.0, "label_resolution_rate": 1.0, "diversity_entropy_norm": -1.0, "semantic_cohesion": 1.0, "dup_ratio": 0.5, "bound_rate": 1.0}, {"var": "alias", "rows": 2, "distinct": 2, "null_rate": 0.0, "label_resolution_rate": 1.0, "diversity_entropy_norm": 1.0, "semantic_cohesion": 0.66, "dup_ratio": 0.0, "bound_rate": 1.0}]</t>
  </si>
  <si>
    <t>PREFIX rdf: &lt;http://www.w3.org/1999/02/22-rdf-syntax-ns#&gt;
PREFIX rdfs: &lt;http://www.w3.org/2000/01/rdf-schema#&gt;
PREFIX ns1: &lt;http://dbkwik.webdatacommons.org/marvel.wikia.com/property/&gt;
SELECT DISTINCT ?character ?characterLabel ?classification ?classificationLabel
WHERE {
  ?character rdf:type &lt;http://dbkwik.webdatacommons.org/marvel.wikia.com/class/character&gt; ;
             rdfs:label ?characterLabel .
  {
    ?character ns1:origin ?classification .
  }
  UNION
  {
    ?character ns1:type ?classification .
  }
  OPTIONAL { ?classification rdfs:label ?_clabel . }
  BIND(
    IF(isIRI(?classification),
       COALESCE(STR(?_clabel), STRAFTER(STR(?classification), "/resource/")),
       STR(?classification)
    ) AS ?classificationLabel
  )
}
ORDER BY ?characterLabel ?classificationLabel</t>
  </si>
  <si>
    <t>{
    "id": "batch_req_692156a614148190811084ed945a3e38",
    "custom_id": "cq-3",
    "response": {
        "status_code": 200,
        "request_id": "47c57b1c875a1d1b04ca2213c41c4a9f",
        "body": {
            "id": "chatcmpl-CeZnr8zrecPXV4oU7RtlHxkfRUxmV",
            "object": "chat.completion",
            "created": 1763786783,
            "model": "gpt-5-2025-08-07",
            "choices": [
                {
                    "index": 0,
                    "message": {
                        "role": "assistant",
                        "content": "PREFIX rdf: &lt;http://www.w3.org/1999/02/22-rdf-syntax-ns#&gt;\nPREFIX rdfs: &lt;http://www.w3.org/2000/01/rdf-schema#&gt;\nPREFIX ns1: &lt;http://dbkwik.webdatacommons.org/marvel.wikia.com/property/&gt;\n\nSELECT DISTINCT ?character ?characterLabel ?classification ?classificationLabel\nWHERE {\n  ?character rdf:type &lt;http://dbkwik.webdatacommons.org/marvel.wikia.com/class/character&gt; ;\n             rdfs:label ?characterLabel .\n  {\n    ?character ns1:origin ?classification .\n  }\n  UNION\n  {\n    ?character ns1:type ?classification .\n  }\n  OPTIONAL { ?classification rdfs:label ?_clabel . }\n  BIND(\n    IF(isIRI(?classification),\n       COALESCE(STR(?_clabel), STRAFTER(STR(?classification), \"/resource/\")),\n       STR(?classification)\n    ) AS ?classificationLabel\n  )\n}\nORDER BY ?characterLabel ?classificationLabel",
                        "refusal": null,
                        "annotations": []
                    },
                    "finish_reason": "stop"
                }
            ],
            "usage": {
                "prompt_tokens": 92012,
                "completion_tokens": 1831,
                "total_tokens": 93843,
                "prompt_tokens_details": {
                    "cached_tokens": 0,
                    "audio_tokens": 0
                },
                "completion_tokens_details": {
                    "reasoning_tokens": 1600,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</si>
  <si>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rdf: &lt;http://www.w3.org/1999/02/22-rdf-syntax-ns#&gt;
PREFIX rdfs: &lt;http://www.w3.org/2000/01/rdf-schema#&gt;
PREFIX ns1: &lt;http://dbkwik.webdatacommons.org/marvel.wikia.com/property/&gt;
SELECT DISTINCT ?character ?characterLabel ?classification ?classificationLabel
WHERE {
  ?character rdf:type &lt;http://dbkwik.webdatacommons.org/marvel.wikia.com/class/character&gt; ;
             rdfs:label ?characterLabel .
  {
    ?character ns1:origin ?classification .
  }
  UNION
  {
    ?character ns1:type ?classification .
  }
  OPTIONAL { ?classification rdfs:label ?_clabel . }
  BIND(
    IF(isIRI(?classification),
       COALESCE(STR(?_clabel), STRAFTER(STR(?classification), "/resource/")),
       STR(?classification)
    ) AS ?classificationLabel
  )
}
ORDER BY ?characterLabel ?classificationLabel</t>
  </si>
  <si>
    <t>{
  "cq_text": "What are all the associated species or types (e.g., human, Asgardian, AI) for each of the characters?",
  "syntax_ok": true,
  "satisfiable": true,
  "deterministic": true,
  "latency": {
    "p50_ms": 11.41,
    "p95_ms": 19.42,
    "mean_ms": 13.8
  },
  "rows": 1,
  "vars": 4,
  "always_unbound_vars": [],
  "lexical_query_overlap": 0.07,
  "semantic_similarity_to_CQ": 0.67,
  "semantic_soft_coverage_to_CQ": 0.74,
  "tuple_cohesion": 1.0,
  "variables": [
    {
      "var": "character",
      "rows": 1,
      "distinct": 1,
      "null_rate": 0.0,
      "label_resolution_rate": 1.0,
      "diversity_entropy_norm": -1.0,
      "semantic_cohesion": 1.0,
      "dup_ratio": 0.0,
      "bound_rate": 1.0
    },
    {
      "var": "characterLabel",
      "rows": 1,
      "distinct": 1,
      "null_rate": 0.0,
      "label_resolution_rate": 1.0,
      "diversity_entropy_norm": -1.0,
      "semantic_cohesion": 1.0,
      "dup_ratio": 0.0,
      "bound_rate": 1.0
    },
    {
      "var": "classification",
      "rows": 1,
      "distinct": 1,
      "null_rate": 0.0,
      "label_resolution_rate": 1.0,
      "diversity_entropy_norm": -1.0,
      "semantic_cohesion": 1.0,
      "dup_ratio": 0.0,
      "bound_rate": 1.0
    },
    {
      "var": "classificationLabel",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</si>
  <si>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 {"var": "characterLabel", "rows": 1, "distinct": 1, "null_rate": 0.0, "label_resolution_rate": 1.0, "diversity_entropy_norm": -1.0, "semantic_cohesion": 1.0, "dup_ratio": 0.0, "bound_rate": 1.0}, {"var": "classification", "rows": 1, "distinct": 1, "null_rate": 0.0, "label_resolution_rate": 1.0, "diversity_entropy_norm": -1.0, "semantic_cohesion": 1.0, "dup_ratio": 0.0, "bound_rate": 1.0}, {"var": "classificationLabel", "rows": 1, "distinct": 1, "null_rate": 0.0, "label_resolution_rate": 1.0, "diversity_entropy_norm": -1.0, "semantic_cohesion": 1.0, "dup_ratio": 0.0, "bound_rate": 1.0}]</t>
  </si>
  <si>
    <t>PREFIX rdf: &lt;http://www.w3.org/1999/02/22-rdf-syntax-ns#&gt;
PREFIX rdfs: &lt;http://www.w3.org/2000/01/rdf-schema#&gt;
PREFIX ns1: &lt;http://dbkwik.webdatacommons.org/marvel.wikia.com/property/&gt;
SELECT ?character ?characterLabel ?originType ?location ?locationLabel
WHERE {
  ?character rdf:type &lt;http://dbkwik.webdatacommons.org/marvel.wikia.com/class/character&gt; .
  VALUES ?p { ns1:origin ns1:placeofbirth ns1:baseofoperations }
  ?character ?p ?location .
  OPTIONAL { ?character rdfs:label ?characterLabel . }
  OPTIONAL { ?location rdfs:label ?locationLabel . }
  OPTIONAL { ?p rdfs:label ?originType . }
}
ORDER BY ?character ?originType ?locationLabel</t>
  </si>
  <si>
    <t>{
    "id": "batch_req_692156a6141c8190860f189eb59cebca",
    "custom_id": "cq-4",
    "response": {
        "status_code": 200,
        "request_id": "e6c7416aeebad345b6a4256af002d668",
        "body": {
            "id": "chatcmpl-CeZdX0vr9yVa9UecKaq67peu0zLAI",
            "object": "chat.completion",
            "created": 1763786143,
            "model": "gpt-5-2025-08-07",
            "choices": [
                {
                    "index": 0,
                    "message": {
                        "role": "assistant",
                        "content": "PREFIX rdf: &lt;http://www.w3.org/1999/02/22-rdf-syntax-ns#&gt;\nPREFIX rdfs: &lt;http://www.w3.org/2000/01/rdf-schema#&gt;\nPREFIX ns1: &lt;http://dbkwik.webdatacommons.org/marvel.wikia.com/property/&gt;\n\nSELECT ?character ?characterLabel ?originType ?location ?locationLabel\nWHERE {\n  ?character rdf:type &lt;http://dbkwik.webdatacommons.org/marvel.wikia.com/class/character&gt; .\n  VALUES ?p { ns1:origin ns1:placeofbirth ns1:baseofoperations }\n  ?character ?p ?location .\n  OPTIONAL { ?character rdfs:label ?characterLabel . }\n  OPTIONAL { ?location rdfs:label ?locationLabel . }\n  OPTIONAL { ?p rdfs:label ?originType . }\n}\nORDER BY ?character ?originType ?locationLabel",
                        "refusal": null,
                        "annotations": []
                    },
                    "finish_reason": "stop"
                }
            ],
            "usage": {
                "prompt_tokens": 92009,
                "completion_tokens": 2061,
                "total_tokens": 94070,
                "prompt_tokens_details": {
                    "cached_tokens": 0,
                    "audio_tokens": 0
                },
                "completion_tokens_details": {
                    "reasoning_tokens": 1856,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</si>
  <si>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rdf: &lt;http://www.w3.org/1999/02/22-rdf-syntax-ns#&gt;
PREFIX rdfs: &lt;http://www.w3.org/2000/01/rdf-schema#&gt;
PREFIX ns1: &lt;http://dbkwik.webdatacommons.org/marvel.wikia.com/property/&gt;
SELECT ?character ?characterLabel ?originType ?location ?locationLabel
WHERE {
  ?character rdf:type &lt;http://dbkwik.webdatacommons.org/marvel.wikia.com/class/character&gt; .
  VALUES ?p { ns1:origin ns1:placeofbirth ns1:baseofoperations }
  ?character ?p ?location .
  OPTIONAL { ?character rdfs:label ?characterLabel . }
  OPTIONAL { ?location rdfs:label ?locationLabel . }
  OPTIONAL { ?p rdfs:label ?originType . }
}
ORDER BY ?character ?originType ?locationLabel</t>
  </si>
  <si>
    <t>{
  "cq_text": "What are all the origin locations (e.g., homeworld, birthplace, base) for each of the characters?",
  "syntax_ok": true,
  "satisfiable": true,
  "deterministic": true,
  "latency": {
    "p50_ms": 19.36,
    "p95_ms": 22.78,
    "mean_ms": 17.19
  },
  "rows": 3,
  "vars": 5,
  "always_unbound_vars": [],
  "lexical_query_overlap": 0.05,
  "semantic_similarity_to_CQ": 0.7,
  "semantic_soft_coverage_to_CQ": 0.79,
  "tuple_cohesion": 0.84,
  "variables": [
    {
      "var": "character",
      "rows": 3,
      "distinct": 1,
      "null_rate": 0.0,
      "label_resolution_rate": 1.0,
      "diversity_entropy_norm": -1.0,
      "semantic_cohesion": 1.0,
      "dup_ratio": 0.67,
      "bound_rate": 1.0
    },
    {
      "var": "characterLabel",
      "rows": 3,
      "distinct": 1,
      "null_rate": 0.0,
      "label_resolution_rate": 1.0,
      "diversity_entropy_norm": -1.0,
      "semantic_cohesion": 1.0,
      "dup_ratio": 0.67,
      "bound_rate": 1.0
    },
    {
      "var": "originType",
      "rows": 3,
      "distinct": 3,
      "null_rate": 0.0,
      "label_resolution_rate": 1.0,
      "diversity_entropy_norm": 1.0,
      "semantic_cohesion": 0.47,
      "dup_ratio": 0.0,
      "bound_rate": 1.0
    },
    {
      "var": "location",
      "rows": 3,
      "distinct": 1,
      "null_rate": 0.0,
      "label_resolution_rate": 1.0,
      "diversity_entropy_norm": -1.0,
      "semantic_cohesion": 1.0,
      "dup_ratio": 0.67,
      "bound_rate": 1.0
    },
    {
      "var": "locationLabel",
      "rows": 3,
      "distinct": 2,
      "null_rate": 0.0,
      "label_resolution_rate": 1.0,
      "diversity_entropy_norm": 0.92,
      "semantic_cohesion": 0.19,
      "dup_ratio": 0.33,
      "bound_rate": 1.0
    }
  ]
}</t>
  </si>
  <si>
    <t>[{"var": "character", "rows": 3, "distinct": 1, "null_rate": 0.0, "label_resolution_rate": 1.0, "diversity_entropy_norm": -1.0, "semantic_cohesion": 1.0, "dup_ratio": 0.67, "bound_rate": 1.0}, {"var": "characterLabel", "rows": 3, "distinct": 1, "null_rate": 0.0, "label_resolution_rate": 1.0, "diversity_entropy_norm": -1.0, "semantic_cohesion": 1.0, "dup_ratio": 0.67, "bound_rate": 1.0}, {"var": "originType", "rows": 3, "distinct": 3, "null_rate": 0.0, "label_resolution_rate": 1.0, "diversity_entropy_norm": 1.0, "semantic_cohesion": 0.47, "dup_ratio": 0.0, "bound_rate": 1.0}, {"var": "location", "rows": 3, "distinct": 1, "null_rate": 0.0, "label_resolution_rate": 1.0, "diversity_entropy_norm": -1.0, "semantic_cohesion": 1.0, "dup_ratio": 0.67, "bound_rate": 1.0}, {"var": "locationLabel", "rows": 3, "distinct": 2, "null_rate": 0.0, "label_resolution_rate": 1.0, "diversity_entropy_norm": 0.92, "semantic_cohesion": 0.19, "dup_ratio": 0.33, "bound_rate": 1.0}]</t>
  </si>
  <si>
    <t>PREFIX rdfs: &lt;http://www.w3.org/2000/01/rdf-schema#&gt;
PREFIX ns1: &lt;http://dbkwik.webdatacommons.org/marvel.wikia.com/property/&gt;
SELECT DISTINCT ?movie ?label ?releaseDate ?year
WHERE {
  {
    ?movie rdfs:label ?label .
    FILTER(CONTAINS(STR(?movie), "_(film)"))
  }
  UNION
  {
    VALUES ?portal { &lt;http://dbkwik.webdatacommons.org/marvel.wikia.com/resource/Marvel_films&gt; }
    ?portal (ns1:box5Text|ns1:box6Text|ns1:box7Text|ns1:box8Text) ?movie .
    ?movie rdfs:label ?label .
  }
  OPTIONAL { ?movie ns1:releasedate ?releaseDate . }
  OPTIONAL { ?movie ns1:year ?year . }
}
ORDER BY LCASE(STR(?label))</t>
  </si>
  <si>
    <t>{
    "id": "batch_req_692156a611088190869c7440adcf1cac",
    "custom_id": "cq-5",
    "response": {
        "status_code": 200,
        "request_id": "c3c28fb478525f6d4ce3afa47de03390",
        "body": {
            "id": "chatcmpl-CeZngYoSxLJ2TAbGDpiFDBpx5Xkqh",
            "object": "chat.completion",
            "created": 1763786772,
            "model": "gpt-5-2025-08-07",
            "choices": [
                {
                    "index": 0,
                    "message": {
                        "role": "assistant",
                        "content": "PREFIX rdfs: &lt;http://www.w3.org/2000/01/rdf-schema#&gt;\nPREFIX ns1: &lt;http://dbkwik.webdatacommons.org/marvel.wikia.com/property/&gt;\n\nSELECT DISTINCT ?movie ?label ?releaseDate ?year\nWHERE {\n  {\n    ?movie rdfs:label ?label .\n    FILTER(CONTAINS(STR(?movie), \"_(film)\"))\n  }\n  UNION\n  {\n    VALUES ?portal { &lt;http://dbkwik.webdatacommons.org/marvel.wikia.com/resource/Marvel_films&gt; }\n    ?portal (ns1:box5Text|ns1:box6Text|ns1:box7Text|ns1:box8Text) ?movie .\n    ?movie rdfs:label ?label .\n  }\n  OPTIONAL { ?movie ns1:releasedate ?releaseDate . }\n  OPTIONAL { ?movie ns1:year ?year . }\n}\nORDER BY LCASE(STR(?label))",
                        "refusal": null,
                        "annotations": []
                    },
                    "finish_reason": "stop"
                }
            ],
            "usage": {
                "prompt_tokens": 92005,
                "completion_tokens": 3735,
                "total_tokens": 95740,
                "prompt_tokens_details": {
                    "cached_tokens": 0,
                    "audio_tokens": 0
                },
                "completion_tokens_details": {
                    "reasoning_tokens": 3520,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</si>
  <si>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rdfs: &lt;http://www.w3.org/2000/01/rdf-schema#&gt;
PREFIX ns1: &lt;http://dbkwik.webdatacommons.org/marvel.wikia.com/property/&gt;
SELECT DISTINCT ?movie ?label ?releaseDate ?year
WHERE {
  {
    ?movie rdfs:label ?label .
    FILTER(CONTAINS(STR(?movie), "_(film)"))
  }
  UNION
  {
    VALUES ?portal { &lt;http://dbkwik.webdatacommons.org/marvel.wikia.com/resource/Marvel_films&gt; }
    ?portal (ns1:box5Text|ns1:box6Text|ns1:box7Text|ns1:box8Text) ?movie .
    ?movie rdfs:label ?label .
  }
  OPTIONAL { ?movie ns1:releasedate ?releaseDate . }
  OPTIONAL { ?movie ns1:year ?year . }
}
ORDER BY LCASE(STR(?label))</t>
  </si>
  <si>
    <t>{
  "cq_text": "What are all the release dates (or years), if available, for each of the movies?",
  "syntax_ok": true,
  "satisfiable": true,
  "deterministic": true,
  "latency": {
    "p50_ms": 597.17,
    "p95_ms": 1338.06,
    "mean_ms": 828.47
  },
  "rows": 125,
  "vars": 4,
  "always_unbound_vars": [
    "releaseDate",
    "year"
  ],
  "lexical_query_overlap": 0.02,
  "semantic_similarity_to_CQ": 0.67,
  "semantic_soft_coverage_to_CQ": 0.79,
  "tuple_cohesion": 0.82,
  "variables": [
    {
      "var": "movie",
      "rows": 125,
      "distinct": 123,
      "null_rate": 0.0,
      "label_resolution_rate": 1.0,
      "diversity_entropy_norm": 1.0,
      "semantic_cohesion": 0.77,
      "dup_ratio": 0.02,
      "bound_rate": 1.0
    },
    {
      "var": "label",
      "rows": 125,
      "distinct": 125,
      "null_rate": 0.0,
      "label_resolution_rate": 1.0,
      "diversity_entropy_norm": 1.0,
      "semantic_cohesion": 0.85,
      "dup_ratio": 0.0,
      "bound_rate": 1.0
    },
    {
      "var": "releaseDate",
      "rows": 125,
      "distinct": 0,
      "null_rate": 1.0,
      "label_resolution_rate": 0.0,
      "diversity_entropy_norm": 0.0,
      "semantic_cohesion": 1.0,
      "dup_ratio": 0.0,
      "bound_rate": 0.0
    },
    {
      "var": "year",
      "rows": 125,
      "distinct": 0,
      "null_rate": 1.0,
      "label_resolution_rate": 0.0,
      "diversity_entropy_norm": 0.0,
      "semantic_cohesion": 1.0,
      "dup_ratio": 0.0,
      "bound_rate": 0.0
    }
  ]
}</t>
  </si>
  <si>
    <t>["releaseDate", "year"]</t>
  </si>
  <si>
    <t>[{"var": "movie", "rows": 125, "distinct": 123, "null_rate": 0.0, "label_resolution_rate": 1.0, "diversity_entropy_norm": 1.0, "semantic_cohesion": 0.77, "dup_ratio": 0.02, "bound_rate": 1.0}, {"var": "label", "rows": 125, "distinct": 125, "null_rate": 0.0, "label_resolution_rate": 1.0, "diversity_entropy_norm": 1.0, "semantic_cohesion": 0.85, "dup_ratio": 0.0, "bound_rate": 1.0}, {"var": "releaseDate", "rows": 125, "distinct": 0, "null_rate": 1.0, "label_resolution_rate": 0.0, "diversity_entropy_norm": 0.0, "semantic_cohesion": 1.0, "dup_ratio": 0.0, "bound_rate": 0.0}, {"var": "year", "rows": 125, "distinct": 0, "null_rate": 1.0, "label_resolution_rate": 0.0, "diversity_entropy_norm": 0.0, "semantic_cohesion": 1.0, "dup_ratio": 0.0, "bound_rate": 0.0}]</t>
  </si>
  <si>
    <t>No valid query can be generated based on the provided schema.</t>
  </si>
  <si>
    <t>{
    "id": "batch_req_692156a611788190af674a20bfa22192",
    "custom_id": "cq-6",
    "response": {
        "status_code": 200,
        "request_id": "cd82a13d4b0b704e10ce76ca3b44569d",
        "body": {
            "id": "chatcmpl-CeZsMKEmRdvWUSC1f7HB8BC5B8xiG",
            "object": "chat.completion",
            "created": 1763787062,
            "model": "gpt-5-2025-08-07",
            "choices": [
                {
                    "index": 0,
                    "message": {
                        "role": "assistant",
                        "content": "No valid query can be generated based on the provided schema.",
                        "refusal": null,
                        "annotations": []
                    },
                    "finish_reason": "stop"
                }
            ],
            "usage": {
                "prompt_tokens": 91999,
                "completion_tokens": 1429,
                "total_tokens": 93428,
                "prompt_tokens_details": {
                    "cached_tokens": 0,
                    "audio_tokens": 0
                },
                "completion_tokens_details": {
                    "reasoning_tokens": 1408,
                    "audio_tokens": 0,
                    "accepted_prediction_tokens": 0,
                    "rejected_prediction_tokens": 0
                }
            },
            "service_tier": "default",
            "system_fingerprint": null
        }
    },
    "error": null
}</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</si>
  <si>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No valid query can be generated based on the provided schema.</t>
  </si>
  <si>
    <t>{
  "cq_text": "Who are all the director(s) for each of the movies?",
  "syntax_ok": false,
  "syntax_msg": "No SPARQL form found"
}</t>
  </si>
  <si>
    <t>PREFIX ns1: &lt;http://dbkwik.webdatacommons.org/marvel.wikia.com/property/&gt;
PREFIX rdfs: &lt;http://www.w3.org/2000/01/rdf-schema#&gt;
SELECT ?character ?name ?power
WHERE {
  ?character ns1:powers ?power .
  OPTIONAL { ?character rdfs:label ?name . }
}
ORDER BY LCASE(STR(?name)) ?power</t>
  </si>
  <si>
    <t>{
    "id": "batch_req_692156a60db88190800fdc2efbbc2d87",
    "custom_id": "cq-7",
    "response": {
        "status_code": 200,
        "request_id": "2a9cda29838494272207376f1f43a484",
        "body": {
            "id": "chatcmpl-CeZjXwLvr243Pm1I5aAy35cU7E1CC",
            "object": "chat.completion",
            "created": 1763786515,
            "model": "gpt-5-2025-08-07",
            "choices": [
                {
                    "index": 0,
                    "message": {
                        "role": "assistant",
                        "content": "PREFIX ns1: &lt;http://dbkwik.webdatacommons.org/marvel.wikia.com/property/&gt;\nPREFIX rdfs: &lt;http://www.w3.org/2000/01/rdf-schema#&gt;\n\nSELECT ?character ?name ?power\nWHERE {\n  ?character ns1:powers ?power .\n  OPTIONAL { ?character rdfs:label ?name . }\n}\nORDER BY LCASE(STR(?name)) ?power",
                        "refusal": null,
                        "annotations": []
                    },
                    "finish_reason": "stop"
                }
            ],
            "usage": {
                "prompt_tokens": 92000,
                "completion_tokens": 3170,
                "total_tokens": 95170,
                "prompt_tokens_details": {
                    "cached_tokens": 0,
                    "audio_tokens": 0
                },
                "completion_tokens_details": {
                    "reasoning_tokens": 3072,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</si>
  <si>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?character ?name ?power
WHERE {
  ?character ns1:powers ?power .
  OPTIONAL { ?character rdfs:label ?name . }
}
ORDER BY LCASE(STR(?name)) ?power</t>
  </si>
  <si>
    <t>{
  "cq_text": "What are all the listed powers or abilities for each of the characters?",
  "syntax_ok": true,
  "satisfiable": true,
  "deterministic": true,
  "latency": {
    "p50_ms": 16.83,
    "p95_ms": 17.97,
    "mean_ms": 16.58
  },
  "rows": 1,
  "vars": 3,
  "always_unbound_vars": [],
  "lexical_query_overlap": 0.0,
  "semantic_similarity_to_CQ": 0.73,
  "semantic_soft_coverage_to_CQ": 0.77,
  "tuple_cohesion": 1.0,
  "variables": [
    {
      "var": "character",
      "rows": 1,
      "distinct": 1,
      "null_rate": 0.0,
      "label_resolution_rate": 1.0,
      "diversity_entropy_norm": -1.0,
      "semantic_cohesion": 1.0,
      "dup_ratio": 0.0,
      "bound_rate": 1.0
    },
    {
      "var": "name",
      "rows": 1,
      "distinct": 1,
      "null_rate": 0.0,
      "label_resolution_rate": 1.0,
      "diversity_entropy_norm": -1.0,
      "semantic_cohesion": 1.0,
      "dup_ratio": 0.0,
      "bound_rate": 1.0
    },
    {
      "var": "power",
      "rows": 1,
      "distinct": 1,
      "null_rate": 0.0,
      "label_resolution_rate": 1.0,
      "diversity_entropy_norm": -1.0,
      "semantic_cohesion": 1.0,
      "dup_ratio": 0.0,
      "bound_rate": 1.0
    }
  ]
}</t>
  </si>
  <si>
    <t>[{"var": "character", "rows": 1, "distinct": 1, "null_rate": 0.0, "label_resolution_rate": 1.0, "diversity_entropy_norm": -1.0, "semantic_cohesion": 1.0, "dup_ratio": 0.0, "bound_rate": 1.0}, {"var": "name", "rows": 1, "distinct": 1, "null_rate": 0.0, "label_resolution_rate": 1.0, "diversity_entropy_norm": -1.0, "semantic_cohesion": 1.0, "dup_ratio": 0.0, "bound_rate": 1.0}, {"var": "power", "rows": 1, "distinct": 1, "null_rate": 0.0, "label_resolution_rate": 1.0, "diversity_entropy_norm": -1.0, "semantic_cohesion": 1.0, "dup_ratio": 0.0, "bound_rate": 1.0}]</t>
  </si>
  <si>
    <t>PREFIX rdf: &lt;http://www.w3.org/1999/02/22-rdf-syntax-ns#&gt;
PREFIX rdfs: &lt;http://www.w3.org/2000/01/rdf-schema#&gt;
PREFIX ns1: &lt;http://dbkwik.webdatacommons.org/marvel.wikia.com/property/&gt;
SELECT DISTINCT ?character ?characterLabel ?affiliation ?affiliationLabel
WHERE {
  ?character (ns1:teams|ns1:group|ns1:teames) ?affiliation .
  OPTIONAL { ?character rdfs:label ?characterLabel . }
  OPTIONAL { ?affiliation rdfs:label ?affiliationLabel . }
}
ORDER BY LCASE(STR(COALESCE(?characterLabel, STR(?character)))) LCASE(STR(COALESCE(?affiliationLabel, STR(?affiliation))))</t>
  </si>
  <si>
    <t>{
    "id": "batch_req_692156a60ce4819081c58e2dd974f56c",
    "custom_id": "cq-8",
    "response": {
        "status_code": 200,
        "request_id": "cde55cc5673d688df725f219a319eba9",
        "body": {
            "id": "chatcmpl-CeZstCNkrF8yzq3bAeod7fTKYiQR9",
            "object": "chat.completion",
            "created": 1763787095,
            "model": "gpt-5-2025-08-07",
            "choices": [
                {
                    "index": 0,
                    "message": {
                        "role": "assistant",
                        "content": "PREFIX rdf: &lt;http://www.w3.org/1999/02/22-rdf-syntax-ns#&gt;\nPREFIX rdfs: &lt;http://www.w3.org/2000/01/rdf-schema#&gt;\nPREFIX ns1: &lt;http://dbkwik.webdatacommons.org/marvel.wikia.com/property/&gt;\n\nSELECT DISTINCT ?character ?characterLabel ?affiliation ?affiliationLabel\nWHERE {\n  ?character (ns1:teams|ns1:group|ns1:teames) ?affiliation .\n  OPTIONAL { ?character rdfs:label ?characterLabel . }\n  OPTIONAL { ?affiliation rdfs:label ?affiliationLabel . }\n}\nORDER BY LCASE(STR(COALESCE(?characterLabel, STR(?character)))) LCASE(STR(COALESCE(?affiliationLabel, STR(?affiliation))))",
                        "refusal": null,
                        "annotations": []
                    },
                    "finish_reason": "stop"
                }
            ],
            "usage": {
                "prompt_tokens": 92000,
                "completion_tokens": 2042,
                "total_tokens": 94042,
                "prompt_tokens_details": {
                    "cached_tokens": 0,
                    "audio_tokens": 0
                },
                "completion_tokens_details": {
                    "reasoning_tokens": 1856,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</si>
  <si>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rdf: &lt;http://www.w3.org/1999/02/22-rdf-syntax-ns#&gt;
PREFIX rdfs: &lt;http://www.w3.org/2000/01/rdf-schema#&gt;
PREFIX ns1: &lt;http://dbkwik.webdatacommons.org/marvel.wikia.com/property/&gt;
SELECT DISTINCT ?character ?characterLabel ?affiliation ?affiliationLabel
WHERE {
  ?character (ns1:teams|ns1:group|ns1:teames) ?affiliation .
  OPTIONAL { ?character rdfs:label ?characterLabel . }
  OPTIONAL { ?affiliation rdfs:label ?affiliationLabel . }
}
ORDER BY LCASE(STR(COALESCE(?characterLabel, STR(?character)))) LCASE(STR(COALESCE(?affiliationLabel, STR(?affiliation))))</t>
  </si>
  <si>
    <t>{
  "cq_text": "What are all the team or organization affiliations for each of the characters?",
  "syntax_ok": true,
  "satisfiable": true,
  "deterministic": true,
  "latency": {
    "p50_ms": 58.21,
    "p95_ms": 61.11,
    "mean_ms": 59.12
  },
  "rows": 401,
  "vars": 4,
  "always_unbound_vars": [],
  "lexical_query_overlap": 0.0,
  "semantic_similarity_to_CQ": 0.8,
  "semantic_soft_coverage_to_CQ": 0.79,
  "tuple_cohesion": 0.71,
  "variables": [
    {
      "var": "character",
      "rows": 401,
      "distinct": 183,
      "null_rate": 0.0,
      "label_resolution_rate": 1.0,
      "diversity_entropy_norm": 0.87,
      "semantic_cohesion": 0.6,
      "dup_ratio": 0.54,
      "bound_rate": 1.0
    },
    {
      "var": "characterLabel",
      "rows": 401,
      "distinct": 251,
      "null_rate": 0.0,
      "label_resolution_rate": 1.0,
      "diversity_entropy_norm": 0.96,
      "semantic_cohesion": 0.56,
      "dup_ratio": 0.37,
      "bound_rate": 1.0
    },
    {
      "var": "affiliation",
      "rows": 401,
      "distinct": 320,
      "null_rate": 0.0,
      "label_resolution_rate": 1.0,
      "diversity_entropy_norm": 0.98,
      "semantic_cohesion": 0.6,
      "dup_ratio": 0.2,
      "bound_rate": 1.0
    },
    {
      "var": "affiliationLabel",
      "rows": 401,
      "distinct": 325,
      "null_rate": 0.10473815461346633,
      "label_resolution_rate": 1.0,
      "diversity_entropy_norm": 0.99,
      "semantic_cohesion": 0.68,
      "dup_ratio": 0.09,
      "bound_rate": 0.8952618453865336
    }
  ]
}</t>
  </si>
  <si>
    <t>[{"var": "character", "rows": 401, "distinct": 183, "null_rate": 0.0, "label_resolution_rate": 1.0, "diversity_entropy_norm": 0.87, "semantic_cohesion": 0.6, "dup_ratio": 0.54, "bound_rate": 1.0}, {"var": "characterLabel", "rows": 401, "distinct": 251, "null_rate": 0.0, "label_resolution_rate": 1.0, "diversity_entropy_norm": 0.96, "semantic_cohesion": 0.56, "dup_ratio": 0.37, "bound_rate": 1.0}, {"var": "affiliation", "rows": 401, "distinct": 320, "null_rate": 0.0, "label_resolution_rate": 1.0, "diversity_entropy_norm": 0.98, "semantic_cohesion": 0.6, "dup_ratio": 0.2, "bound_rate": 1.0}, {"var": "affiliationLabel", "rows": 401, "distinct": 325, "null_rate": 0.10473815461346633, "label_resolution_rate": 1.0, "diversity_entropy_norm": 0.99, "semantic_cohesion": 0.68, "dup_ratio": 0.09, "bound_rate": 0.8952618453865336}]</t>
  </si>
  <si>
    <t>PREFIX ns1: &lt;http://dbkwik.webdatacommons.org/marvel.wikia.com/property/&gt;
PREFIX rdfs: &lt;http://www.w3.org/2000/01/rdf-schema#&gt;
SELECT DISTINCT ?place ?label
WHERE {
  {
    ?s ns1:baseofoperations ?place .
  }
  UNION
  {
    ?s ns1:placeofbirth ?place .
  }
  OPTIONAL { ?place rdfs:label ?label . }
}
ORDER BY LCASE(STR(COALESCE(?label, STR(?place))))</t>
  </si>
  <si>
    <t>{
    "id": "batch_req_692156a60f5c8190bd7721f7f184e7b7",
    "custom_id": "cq-9",
    "response": {
        "status_code": 200,
        "request_id": "ada381731a3d1a816871649c3c363870",
        "body": {
            "id": "chatcmpl-CeZpipEPZhjbyxyPriWW9NAX09m25",
            "object": "chat.completion",
            "created": 1763786898,
            "model": "gpt-5-2025-08-07",
            "choices": [
                {
                    "index": 0,
                    "message": {
                        "role": "assistant",
                        "content": "PREFIX ns1: &lt;http://dbkwik.webdatacommons.org/marvel.wikia.com/property/&gt;\nPREFIX rdfs: &lt;http://www.w3.org/2000/01/rdf-schema#&gt;\n\nSELECT DISTINCT ?place ?label\nWHERE {\n  {\n    ?s ns1:baseofoperations ?place .\n  }\n  UNION\n  {\n    ?s ns1:placeofbirth ?place .\n  }\n  OPTIONAL { ?place rdfs:label ?label . }\n}\nORDER BY LCASE(STR(COALESCE(?label, STR(?place))))",
                        "refusal": null,
                        "annotations": []
                    },
                    "finish_reason": "stop"
                }
            ],
            "usage": {
                "prompt_tokens": 91996,
                "completion_tokens": 2688,
                "total_tokens": 94684,
                "prompt_tokens_details": {
                    "cached_tokens": 0,
                    "audio_tokens": 0
                },
                "completion_tokens_details": {
                    "reasoning_tokens": 2560,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</si>
  <si>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?place ?label
WHERE {
  {
    ?s ns1:baseofoperations ?place .
  }
  UNION
  {
    ?s ns1:placeofbirth ?place .
  }
  OPTIONAL { ?place rdfs:label ?label . }
}
ORDER BY LCASE(STR(COALESCE(?label, STR(?place))))</t>
  </si>
  <si>
    <t>{
  "cq_text": "What are all the locations (places) available?",
  "syntax_ok": true,
  "satisfiable": true,
  "deterministic": true,
  "latency": {
    "p50_ms": 14.77,
    "p95_ms": 17.31,
    "mean_ms": 15.5
  },
  "rows": 1,
  "vars": 2,
  "always_unbound_vars": [],
  "lexical_query_overlap": 0.0,
  "semantic_similarity_to_CQ": 0.61,
  "semantic_soft_coverage_to_CQ": 0.75,
  "tuple_cohesion": 1.0,
  "variables": [
    {
      "var": "place",
      "rows": 1,
      "distinct": 1,
      "null_rate": 0.0,
      "label_resolution_rate": 1.0,
      "diversity_entropy_norm": -1.0,
      "semantic_cohesion": 1.0,
      "dup_ratio": 0.0,
      "bound_rate": 1.0
    },
    {
      "var": "label",
      "rows": 1,
      "distinct": 1,
      "null_rate": 0.0,
      "label_resolution_rate": 1.0,
      "diversity_entropy_norm": -1.0,
      "semantic_cohesion": 1.0,
      "dup_ratio": 0.0,
      "bound_rate": 1.0
    }
  ]
}</t>
  </si>
  <si>
    <t>[{"var": "place", "rows": 1, "distinct": 1, "null_rate": 0.0, "label_resolution_rate": 1.0, "diversity_entropy_norm": -1.0, "semantic_cohesion": 1.0, "dup_ratio": 0.0, "bound_rate": 1.0}, {"var": "label", "rows": 1, "distinct": 1, "null_rate": 0.0, "label_resolution_rate": 1.0, "diversity_entropy_norm": -1.0, "semantic_cohesion": 1.0, "dup_ratio": 0.0, "bound_rate": 1.0}]</t>
  </si>
  <si>
    <t>{
    "id": "batch_req_692156a6f60481908482b297fb17421e",
    "custom_id": "cq-10",
    "response": {
        "status_code": 200,
        "request_id": "7be2e5181e9b78a74c6f53eb30a22f5f",
        "body": {
            "id": "chatcmpl-CeZiyL18TxG7SBdDF6zzh8FIX0Mdu",
            "object": "chat.completion",
            "created": 1763786480,
            "model": "gpt-5-2025-08-07",
            "choices": [
                {
                    "index": 0,
                    "message": {
                        "role": "assistant",
                        "content": "No valid query can be generated based on the provided schema.",
                        "refusal": null,
                        "annotations": []
                    },
                    "finish_reason": "stop"
                }
            ],
            "usage": {
                "prompt_tokens": 91996,
                "completion_tokens": 1685,
                "total_tokens": 93681,
                "prompt_tokens_details": {
                    "cached_tokens": 0,
                    "audio_tokens": 0
                },
                "completion_tokens_details": {
                    "reasoning_tokens": 1664,
                    "audio_tokens": 0,
                    "accepted_prediction_tokens": 0,
                    "rejected_prediction_tokens": 0
                }
            },
            "service_tier": "default",
            "system_fingerprint": null
        }
    },
    "error": null
}</t>
  </si>
  <si>
    <t>{
  "cq_text": "What are all the available movies and their directors?",
  "syntax_ok": false,
  "syntax_msg": "No SPARQL form found"
}</t>
  </si>
  <si>
    <t>PREFIX rdf: &lt;http://www.w3.org/1999/02/22-rdf-syntax-ns#&gt;
PREFIX rdfs: &lt;http://www.w3.org/2000/01/rdf-schema#&gt;
PREFIX skos: &lt;http://www.w3.org/2004/02/skos/core#&gt;
PREFIX ns1: &lt;http://dbkwik.webdatacommons.org/marvel.wikia.com/property/&gt;
SELECT ?character ?label (COALESCE(SAMPLE(?real), SAMPLE(?alt)) AS ?primaryName)
WHERE {
  ?character a &lt;http://dbkwik.webdatacommons.org/marvel.wikia.com/class/character&gt; ;
             rdfs:label ?label .
  OPTIONAL { ?character ns1:realname ?real . }
  OPTIONAL { ?character skos:altLabel ?alt . }
}
GROUP BY ?character ?label
ORDER BY ?label</t>
  </si>
  <si>
    <t>{
    "id": "batch_req_692156a6f94881908a99545545f44d0c",
    "custom_id": "cq-11",
    "response": {
        "status_code": 200,
        "request_id": "9e4476d47b82d4fd9d91d66a1fa69803",
        "body": {
            "id": "chatcmpl-CeZseTYExb7hUsPnsIVHPcXxxVTDx",
            "object": "chat.completion",
            "created": 1763787080,
            "model": "gpt-5-2025-08-07",
            "choices": [
                {
                    "index": 0,
                    "message": {
                        "role": "assistant",
                        "content": "PREFIX rdf: &lt;http://www.w3.org/1999/02/22-rdf-syntax-ns#&gt;\nPREFIX rdfs: &lt;http://www.w3.org/2000/01/rdf-schema#&gt;\nPREFIX skos: &lt;http://www.w3.org/2004/02/skos/core#&gt;\nPREFIX ns1: &lt;http://dbkwik.webdatacommons.org/marvel.wikia.com/property/&gt;\n\nSELECT ?character ?label (COALESCE(SAMPLE(?real), SAMPLE(?alt)) AS ?primaryName)\nWHERE {\n  ?character a &lt;http://dbkwik.webdatacommons.org/marvel.wikia.com/class/character&gt; ;\n             rdfs:label ?label .\n  OPTIONAL { ?character ns1:realname ?real . }\n  OPTIONAL { ?character skos:altLabel ?alt . }\n}\nGROUP BY ?character ?label\nORDER BY ?label",
                        "refusal": null,
                        "annotations": []
                    },
                    "finish_reason": "stop"
                }
            ],
            "usage": {
                "prompt_tokens": 92000,
                "completion_tokens": 2118,
                "total_tokens": 94118,
                "prompt_tokens_details": {
                    "cached_tokens": 0,
                    "audio_tokens": 0
                },
                "completion_tokens_details": {
                    "reasoning_tokens": 1920,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</si>
  <si>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xsd: &lt;http://www.w3.org/2001/XMLSchema#&gt;
PREFIX rdf: &lt;http://www.w3.org/1999/02/22-rdf-syntax-ns#&gt;
PREFIX rdfs: &lt;http://www.w3.org/2000/01/rdf-schema#&gt;
PREFIX skos: &lt;http://www.w3.org/2004/02/skos/core#&gt;
PREFIX ns1: &lt;http://dbkwik.webdatacommons.org/marvel.wikia.com/property/&gt;
SELECT ?character ?label (COALESCE(SAMPLE(?real), SAMPLE(?alt)) AS ?primaryName)
WHERE {
  ?character a &lt;http://dbkwik.webdatacommons.org/marvel.wikia.com/class/character&gt; ;
             rdfs:label ?label .
  OPTIONAL { ?character ns1:realname ?real . }
  OPTIONAL { ?character skos:altLabel ?alt . }
}
GROUP BY ?character ?label
ORDER BY ?label</t>
  </si>
  <si>
    <t>{
  "cq_text": "What are all the available characters and their primary alias/real name?",
  "syntax_ok": true,
  "satisfiable": true,
  "deterministic": true,
  "latency": {
    "p50_ms": 16.31,
    "p95_ms": 18.57,
    "mean_ms": 16.96
  },
  "rows": 1,
  "vars": 5,
  "always_unbound_vars": [
    "real",
    "alt"
  ],
  "lexical_query_overlap": 0.0,
  "semantic_similarity_to_CQ": 0.74,
  "semantic_soft_coverage_to_CQ": 0.75,
  "tuple_cohesion": 1.0,
  "variables": [
    {
      "var": "character",
      "rows": 1,
      "distinct": 1,
      "null_rate": 0.0,
      "label_resolution_rate": 1.0,
      "diversity_entropy_norm": -1.0,
      "semantic_cohesion": 1.0,
      "dup_ratio": 0.0,
      "bound_rate": 1.0
    },
    {
      "var": "label",
      "rows": 1,
      "distinct": 1,
      "null_rate": 0.0,
      "label_resolution_rate": 1.0,
      "diversity_entropy_norm": -1.0,
      "semantic_cohesion": 1.0,
      "dup_ratio": 0.0,
      "bound_rate": 1.0
    },
    {
      "var": "real",
      "rows": 1,
      "distinct": 0,
      "null_rate": 1.0,
      "label_resolution_rate": 0.0,
      "diversity_entropy_norm": 0.0,
      "semantic_cohesion": 1.0,
      "dup_ratio": 0.0,
      "bound_rate": 0.0
    },
    {
      "var": "alt",
      "rows": 1,
      "distinct": 0,
      "null_rate": 1.0,
      "label_resolution_rate": 0.0,
      "diversity_entropy_norm": 0.0,
      "semantic_cohesion": 1.0,
      "dup_ratio": 0.0,
      "bound_rate": 0.0
    },
    {
      "var": "primaryName",
      "rows": 1,
      "distinct": 1,
      "null_rate": 0.0,
      "label_resolution_rate": 1.0,
      "diversity_entropy_norm": -1.0,
      "semantic_cohesion": 1.0,
      "dup_ratio": 0.0,
      "bound_rate": 1.0
    }
  ]
}</t>
  </si>
  <si>
    <t>["real", "alt"]</t>
  </si>
  <si>
    <t>[{"var": "character", "rows": 1, "distinct": 1, "null_rate": 0.0, "label_resolution_rate": 1.0, "diversity_entropy_norm": -1.0, "semantic_cohesion": 1.0, "dup_ratio": 0.0, "bound_rate": 1.0}, {"var": "label", "rows": 1, "distinct": 1, "null_rate": 0.0, "label_resolution_rate": 1.0, "diversity_entropy_norm": -1.0, "semantic_cohesion": 1.0, "dup_ratio": 0.0, "bound_rate": 1.0}, {"var": "real", "rows": 1, "distinct": 0, "null_rate": 1.0, "label_resolution_rate": 0.0, "diversity_entropy_norm": 0.0, "semantic_cohesion": 1.0, "dup_ratio": 0.0, "bound_rate": 0.0}, {"var": "alt", "rows": 1, "distinct": 0, "null_rate": 1.0, "label_resolution_rate": 0.0, "diversity_entropy_norm": 0.0, "semantic_cohesion": 1.0, "dup_ratio": 0.0, "bound_rate": 0.0}, {"var": "primaryName", "rows": 1, "distinct": 1, "null_rate": 0.0, "label_resolution_rate": 1.0, "diversity_entropy_norm": -1.0, "semantic_cohesion": 1.0, "dup_ratio": 0.0, "bound_rate": 1.0}]</t>
  </si>
  <si>
    <t>PREFIX ns1: &lt;http://dbkwik.webdatacommons.org/marvel.wikia.com/property/&gt;
PREFIX rdfs: &lt;http://www.w3.org/2000/01/rdf-schema#&gt;
SELECT DISTINCT ?character ?characterLabel ?movie ?movieLabel
WHERE {
  ?character ns1:movies ?movie .
  OPTIONAL { ?character rdfs:label ?characterLabel . }
  OPTIONAL { ?movie rdfs:label ?movieLabel . }
}
ORDER BY ?characterLabel ?movieLabel</t>
  </si>
  <si>
    <t>{
    "id": "batch_req_692156a6fbc4819080f1adfc170c8ce7",
    "custom_id": "cq-12",
    "response": {
        "status_code": 200,
        "request_id": "116682fe43170554b11dc02b74938e90",
        "body": {
            "id": "chatcmpl-CeZh2IouRCrtx6Zf2X0yDgIf6jhfX",
            "object": "chat.completion",
            "created": 1763786360,
            "model": "gpt-5-2025-08-07",
            "choices": [
                {
                    "index": 0,
                    "message": {
                        "role": "assistant",
                        "content": "PREFIX ns1: &lt;http://dbkwik.webdatacommons.org/marvel.wikia.com/property/&gt;\nPREFIX rdfs: &lt;http://www.w3.org/2000/01/rdf-schema#&gt;\n\nSELECT DISTINCT ?character ?characterLabel ?movie ?movieLabel\nWHERE {\n  ?character ns1:movies ?movie .\n  OPTIONAL { ?character rdfs:label ?characterLabel . }\n  OPTIONAL { ?movie rdfs:label ?movieLabel . }\n}\nORDER BY ?characterLabel ?movieLabel",
                        "refusal": null,
                        "annotations": []
                    },
                    "finish_reason": "stop"
                }
            ],
            "usage": {
                "prompt_tokens": 92005,
                "completion_tokens": 2035,
                "total_tokens": 94040,
                "prompt_tokens_details": {
                    "cached_tokens": 0,
                    "audio_tokens": 0
                },
                "completion_tokens_details": {
                    "reasoning_tokens": 1920,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</si>
  <si>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?character ?characterLabel ?movie ?movieLabel
WHERE {
  ?character ns1:movies ?movie .
  OPTIONAL { ?character rdfs:label ?characterLabel . }
  OPTIONAL { ?movie rdfs:label ?movieLabel . }
}
ORDER BY ?characterLabel ?movieLabel</t>
  </si>
  <si>
    <t>{
  "cq_text": "What are all the character\u2013movie appearance pairs (which characters appear in which movies) available?",
  "syntax_ok": true,
  "satisfiable": true,
  "deterministic": true,
  "latency": {
    "p50_ms": 82.37,
    "p95_ms": 85.92,
    "mean_ms": 83.45
  },
  "rows": 1033,
  "vars": 4,
  "always_unbound_vars": [],
  "lexical_query_overlap": 0.08,
  "semantic_similarity_to_CQ": 0.69,
  "semantic_soft_coverage_to_CQ": 0.79,
  "tuple_cohesion": 0.81,
  "variables": [
    {
      "var": "character",
      "rows": 1033,
      "distinct": 413,
      "null_rate": 0.0,
      "label_resolution_rate": 1.0,
      "diversity_entropy_norm": 0.86,
      "semantic_cohesion": 0.64,
      "dup_ratio": 0.6,
      "bound_rate": 1.0
    },
    {
      "var": "characterLabel",
      "rows": 1033,
      "distinct": 736,
      "null_rate": 0.0,
      "label_resolution_rate": 1.0,
      "diversity_entropy_norm": 0.98,
      "semantic_cohesion": 0.58,
      "dup_ratio": 0.29,
      "bound_rate": 1.0
    },
    {
      "var": "movie",
      "rows": 1033,
      "distinct": 345,
      "null_rate": 0.0,
      "label_resolution_rate": 0.9636871508379888,
      "diversity_entropy_norm": 0.73,
      "semantic_cohesion": 0.61,
      "dup_ratio": 0.67,
      "bound_rate": 1.0
    },
    {
      "var": "movieLabel",
      "rows": 1033,
      "distinct": 276,
      "null_rate": 0.723136495643756,
      "label_resolution_rate": 1.0,
      "diversity_entropy_norm": 1.0,
      "semantic_cohesion": 0.73,
      "dup_ratio": 0.03,
      "bound_rate": 0.27686350435624396
    }
  ]
}</t>
  </si>
  <si>
    <t>[{"var": "character", "rows": 1033, "distinct": 413, "null_rate": 0.0, "label_resolution_rate": 1.0, "diversity_entropy_norm": 0.86, "semantic_cohesion": 0.64, "dup_ratio": 0.6, "bound_rate": 1.0}, {"var": "characterLabel", "rows": 1033, "distinct": 736, "null_rate": 0.0, "label_resolution_rate": 1.0, "diversity_entropy_norm": 0.98, "semantic_cohesion": 0.58, "dup_ratio": 0.29, "bound_rate": 1.0}, {"var": "movie", "rows": 1033, "distinct": 345, "null_rate": 0.0, "label_resolution_rate": 0.9636871508379888, "diversity_entropy_norm": 0.73, "semantic_cohesion": 0.61, "dup_ratio": 0.67, "bound_rate": 1.0}, {"var": "movieLabel", "rows": 1033, "distinct": 276, "null_rate": 0.723136495643756, "label_resolution_rate": 1.0, "diversity_entropy_norm": 1.0, "semantic_cohesion": 0.73, "dup_ratio": 0.03, "bound_rate": 0.27686350435624396}]</t>
  </si>
  <si>
    <t>{
    "id": "batch_req_692156a6fe288190963a7523eccbddc3",
    "custom_id": "cq-13",
    "response": {
        "status_code": 200,
        "request_id": "c99f8e18b359703435b62c77684e4819",
        "body": {
            "id": "chatcmpl-CeZhK74iXupLyG2o3OaRiGkts1DdL",
            "object": "chat.completion",
            "created": 1763786378,
            "model": "gpt-5-2025-08-07",
            "choices": [
                {
                    "index": 0,
                    "message": {
                        "role": "assistant",
                        "content": "No valid query can be generated based on the provided schema.",
                        "refusal": null,
                        "annotations": []
                    },
                    "finish_reason": "stop"
                }
            ],
            "usage": {
                "prompt_tokens": 92003,
                "completion_tokens": 1429,
                "total_tokens": 93432,
                "prompt_tokens_details": {
                    "cached_tokens": 0,
                    "audio_tokens": 0
                },
                "completion_tokens_details": {
                    "reasoning_tokens": 1408,
                    "audio_tokens": 0,
                    "accepted_prediction_tokens": 0,
                    "rejected_prediction_tokens": 0
                }
            },
            "service_tier": "default",
            "system_fingerprint": null
        }
    },
    "error": null
}</t>
  </si>
  <si>
    <t>{
  "cq_text": "What are all the actor\u2013character pairs (which actors portray which characters) available?",
  "syntax_ok": false,
  "syntax_msg": "No SPARQL form found"
}</t>
  </si>
  <si>
    <t>PREFIX ns1: &lt;http://dbkwik.webdatacommons.org/marvel.wikia.com/property/&gt;
SELECT DISTINCT ?character ?team ?movie
WHERE {
  ?character ns1:teams ?team ;
             ns1:movies ?movie .
}</t>
  </si>
  <si>
    <t>{
    "id": "batch_req_692156a703b081909c5d9bca2c473137",
    "custom_id": "cq-14",
    "response": {
        "status_code": 200,
        "request_id": "b2c61e0b064d5a06eef0b0cc537a743a",
        "body": {
            "id": "chatcmpl-CeZiiZmT2lqI4lIMFKKL3FD6jWKjc",
            "object": "chat.completion",
            "created": 1763786464,
            "model": "gpt-5-2025-08-07",
            "choices": [
                {
                    "index": 0,
                    "message": {
                        "role": "assistant",
                        "content": "PREFIX ns1: &lt;http://dbkwik.webdatacommons.org/marvel.wikia.com/property/&gt;\n\nSELECT DISTINCT ?character ?team ?movie\nWHERE {\n  ?character ns1:teams ?team ;\n             ns1:movies ?movie .\n}",
                        "refusal": null,
                        "annotations": []
                    },
                    "finish_reason": "stop"
                }
            ],
            "usage": {
                "prompt_tokens": 92012,
                "completion_tokens": 1342,
                "total_tokens": 93354,
                "prompt_tokens_details": {
                    "cached_tokens": 0,
                    "audio_tokens": 0
                },
                "completion_tokens_details": {
                    "reasoning_tokens": 1280,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</si>
  <si>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?character ?team ?movie
WHERE {
  ?character ns1:teams ?team ;
             ns1:movies ?movie .
}</t>
  </si>
  <si>
    <t>{
  "cq_text": "What are all the character\u2013team\u2013movie triples available where a character is a member of a team and appears in a movie?",
  "syntax_ok": true,
  "satisfiable": true,
  "deterministic": true,
  "latency": {
    "p50_ms": 41.97,
    "p95_ms": 42.63,
    "mean_ms": 42.01
  },
  "rows": 432,
  "vars": 3,
  "always_unbound_vars": [],
  "lexical_query_overlap": 0.16,
  "semantic_similarity_to_CQ": 0.75,
  "semantic_soft_coverage_to_CQ": 0.82,
  "tuple_cohesion": 0.92,
  "variables": [
    {
      "var": "character",
      "rows": 432,
      "distinct": 33,
      "null_rate": 0.0,
      "label_resolution_rate": 1.0,
      "diversity_entropy_norm": 0.56,
      "semantic_cohesion": 0.73,
      "dup_ratio": 0.92,
      "bound_rate": 1.0
    },
    {
      "var": "team",
      "rows": 432,
      "distinct": 127,
      "null_rate": 0.0,
      "label_resolution_rate": 1.0,
      "diversity_entropy_norm": 0.95,
      "semantic_cohesion": 0.56,
      "dup_ratio": 0.71,
      "bound_rate": 1.0
    },
    {
      "var": "movie",
      "rows": 432,
      "distinct": 68,
      "null_rate": 0.0,
      "label_resolution_rate": 1.0,
      "diversity_entropy_norm": 0.84,
      "semantic_cohesion": 0.63,
      "dup_ratio": 0.84,
      "bound_rate": 1.0
    }
  ]
}</t>
  </si>
  <si>
    <t>PREFIX ns1: &lt;http://dbkwik.webdatacommons.org/marvel.wikia.com/property/&gt;
SELECT DISTINCT ?character ?power ?movie
WHERE {
  ?character ns1:powers ?power ;
             ns1:movies ?movie .
}</t>
  </si>
  <si>
    <t>{
    "id": "batch_req_692156a6fd2081908cea5588585f030b",
    "custom_id": "cq-15",
    "response": {
        "status_code": 200,
        "request_id": "86e5d2af569adcf791b047a9d8d01bd4",
        "body": {
            "id": "chatcmpl-CeZsqjhJULncsDZyQQnCHcYpHP4gk",
            "object": "chat.completion",
            "created": 1763787092,
            "model": "gpt-5-2025-08-07",
            "choices": [
                {
                    "index": 0,
                    "message": {
                        "role": "assistant",
                        "content": "PREFIX ns1: &lt;http://dbkwik.webdatacommons.org/marvel.wikia.com/property/&gt;\n\nSELECT DISTINCT ?character ?power ?movie\nWHERE {\n  ?character ns1:powers ?power ;\n             ns1:movies ?movie .\n}",
                        "refusal": null,
                        "annotations": []
                    },
                    "finish_reason": "stop"
                }
            ],
            "usage": {
                "prompt_tokens": 92011,
                "completion_tokens": 1982,
                "total_tokens": 93993,
                "prompt_tokens_details": {
                    "cached_tokens": 0,
                    "audio_tokens": 0
                },
                "completion_tokens_details": {
                    "reasoning_tokens": 1920,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</si>
  <si>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&lt;http://dbkwik.webdatacommons.org/marvel.wikia.com/property/&gt;
SELECT DISTINCT ?character ?power ?movie
WHERE {
  ?character ns1:powers ?power ;
             ns1:movies ?movie .
}</t>
  </si>
  <si>
    <t>{
  "cq_text": "What are all the character\u2013power\u2013movie triples available with respect to characters with specific powers and the movies they appear in?",
  "syntax_ok": true,
  "satisfiable": false,
  "deterministic": true,
  "latency": {
    "p50_ms": 15.83,
    "p95_ms": 16.96,
    "mean_ms": 13.6
  },
  "rows": 0,
  "vars": 3,
  "always_unbound_vars": [
    "character",
    "power",
    "movie"
  ],
  "lexical_query_overlap": 0.14,
  "semantic_similarity_to_CQ": 0.73,
  "semantic_soft_coverage_to_CQ": 0.78,
  "tuple_cohesion": null,
  "variables": [
    {
      "var": "character",
      "rows": 0,
      "distinct": 0,
      "null_rate": 1.0,
      "label_resolution_rate": 0.0,
      "diversity_entropy_norm": 0.0,
      "semantic_cohesion": 1.0,
      "dup_ratio": 0.0,
      "bound_rate": 0.0
    },
    {
      "var": "power",
      "rows": 0,
      "distinct": 0,
      "null_rate": 1.0,
      "label_resolution_rate": 0.0,
      "diversity_entropy_norm": 0.0,
      "semantic_cohesion": 1.0,
      "dup_ratio": 0.0,
      "bound_rate": 0.0
    },
    {
      "var": "movie",
      "rows": 0,
      "distinct": 0,
      "null_rate": 1.0,
      "label_resolution_rate": 0.0,
      "diversity_entropy_norm": 0.0,
      "semantic_cohesion": 1.0,
      "dup_ratio": 0.0,
      "bound_rate": 0.0
    }
  ]
}</t>
  </si>
  <si>
    <t>PREFIX ns1: &lt;http://dbkwik.webdatacommons.org/marvel.wikia.com/property/&gt;
PREFIX rdf: &lt;http://www.w3.org/1999/02/22-rdf-syntax-ns#&gt;
SELECT ?char1 ?char2 (COUNT(DISTINCT ?movie) AS ?sharedMovies)
WHERE {
  ?char1 ns1:movies ?movie .
  ?char2 ns1:movies ?movie .
  FILTER(STR(?char1) &lt; STR(?char2))
}
GROUP BY ?char1 ?char2
HAVING (COUNT(DISTINCT ?movie) &gt;= 2)
ORDER BY DESC(?sharedMovies) ?char1 ?char2</t>
  </si>
  <si>
    <t>{
    "id": "batch_req_692156a7003c8190a57f2170c45a3a62",
    "custom_id": "cq-16",
    "response": {
        "status_code": 200,
        "request_id": "d3207206d558eba4edb285c2261b3b4d",
        "body": {
            "id": "chatcmpl-CeZoTJUqsP2l2d7zMhnit2Go8wBJr",
            "object": "chat.completion",
            "created": 1763786821,
            "model": "gpt-5-2025-08-07",
            "choices": [
                {
                    "index": 0,
                    "message": {
                        "role": "assistant",
                        "content": "PREFIX ns1: &lt;http://dbkwik.webdatacommons.org/marvel.wikia.com/property/&gt;\nPREFIX rdf: &lt;http://www.w3.org/1999/02/22-rdf-syntax-ns#&gt;\n\nSELECT ?char1 ?char2 (COUNT(DISTINCT ?movie) AS ?sharedMovies)\nWHERE {\n  ?char1 ns1:movies ?movie .\n  ?char2 ns1:movies ?movie .\n  FILTER(STR(?char1) &lt; STR(?char2))\n}\nGROUP BY ?char1 ?char2\nHAVING (COUNT(DISTINCT ?movie) &gt;= 2)\nORDER BY DESC(?sharedMovies) ?char1 ?char2",
                        "refusal": null,
                        "annotations": []
                    },
                    "finish_reason": "stop"
                }
            ],
            "usage": {
                "prompt_tokens": 92008,
                "completion_tokens": 2328,
                "total_tokens": 94336,
                "prompt_tokens_details": {
                    "cached_tokens": 0,
                    "audio_tokens": 0
                },
                "completion_tokens_details": {
                    "reasoning_tokens": 2176,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</si>
  <si>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rdfs: &lt;http://www.w3.org/2000/01/rdf-schema#&gt;
PREFIX skos: &lt;http://www.w3.org/2004/02/skos/core#&gt;
PREFIX xsd: &lt;http://www.w3.org/2001/XMLSchema#&gt;
PREFIX ns1: &lt;http://dbkwik.webdatacommons.org/marvel.wikia.com/property/&gt;
PREFIX rdf: &lt;http://www.w3.org/1999/02/22-rdf-syntax-ns#&gt;
SELECT ?char1 ?char2 (COUNT(DISTINCT ?movie) AS ?sharedMovies)
WHERE {
  ?char1 ns1:movies ?movie .
  ?char2 ns1:movies ?movie .
  FILTER(STR(?char1) &lt; STR(?char2))
}
GROUP BY ?char1 ?char2
HAVING (COUNT(DISTINCT ?movie) &gt;= 2)
ORDER BY DESC(?sharedMovies) ?char1 ?char2</t>
  </si>
  <si>
    <t>{
  "cq_text": "What are all the pairs of characters that are linked through movies and co-appear in at least two movies?",
  "syntax_ok": true,
  "satisfiable": true,
  "deterministic": true,
  "latency": {
    "p50_ms": 245.45,
    "p95_ms": 251.07,
    "mean_ms": 241.7
  },
  "rows": 502,
  "vars": 4,
  "always_unbound_vars": [
    "movie"
  ],
  "lexical_query_overlap": 0.0,
  "semantic_similarity_to_CQ": 0.75,
  "semantic_soft_coverage_to_CQ": 0.75,
  "tuple_cohesion": 0.98,
  "variables": [
    {
      "var": "char1",
      "rows": 502,
      "distinct": 50,
      "null_rate": 0.0,
      "label_resolution_rate": 1.0,
      "diversity_entropy_norm": 0.77,
      "semantic_cohesion": 0.75,
      "dup_ratio": 0.9,
      "bound_rate": 1.0
    },
    {
      "var": "char2",
      "rows": 502,
      "distinct": 44,
      "null_rate": 0.0,
      "label_resolution_rate": 1.0,
      "diversity_entropy_norm": 0.78,
      "semantic_cohesion": 0.74,
      "dup_ratio": 0.91,
      "bound_rate": 1.0
    },
    {
      "var": "movie",
      "rows": 502,
      "distinct": 0,
      "null_rate": 1.0,
      "label_resolution_rate": 0.0,
      "diversity_entropy_norm": 0.0,
      "semantic_cohesion": 1.0,
      "dup_ratio": 0.0,
      "bound_rate": 0.0
    },
    {
      "var": "sharedMovies",
      "rows": 502,
      "distinct": 4,
      "null_rate": 0.0,
      "label_resolution_rate": 1.0,
      "diversity_entropy_norm": 0.44,
      "semantic_cohesion": 0.95,
      "dup_ratio": 0.99,
      "bound_rate": 1.0
    }
  ]
}</t>
  </si>
  <si>
    <t>[{"var": "char1", "rows": 502, "distinct": 50, "null_rate": 0.0, "label_resolution_rate": 1.0, "diversity_entropy_norm": 0.77, "semantic_cohesion": 0.75, "dup_ratio": 0.9, "bound_rate": 1.0}, {"var": "char2", "rows": 502, "distinct": 44, "null_rate": 0.0, "label_resolution_rate": 1.0, "diversity_entropy_norm": 0.78, "semantic_cohesion": 0.74, "dup_ratio": 0.91, "bound_rate": 1.0}, {"var": "movie", "rows": 502, "distinct": 0, "null_rate": 1.0, "label_resolution_rate": 0.0, "diversity_entropy_norm": 0.0, "semantic_cohesion": 1.0, "dup_ratio": 0.0, "bound_rate": 0.0}, {"var": "sharedMovies", "rows": 502, "distinct": 4, "null_rate": 0.0, "label_resolution_rate": 1.0, "diversity_entropy_norm": 0.44, "semantic_cohesion": 0.95, "dup_ratio": 0.99, "bound_rate": 1.0}]</t>
  </si>
  <si>
    <t>PREFIX rdfs: &lt;http://www.w3.org/2000/01/rdf-schema#&gt;
PREFIX ns1: &lt;http://dbkwik.webdatacommons.org/marvel.wikia.com/property/&gt;
SELECT ?team ?teamLabel (GROUP_CONCAT(DISTINCT ?memberLabel; separator=" | ") AS ?members)
WHERE {
  {
    ?member ns1:teams ?team .
  } UNION {
    ?member ns1:teames ?team .
  } UNION {
    ?member ns1:group ?team .
  }
  OPTIONAL { ?team rdfs:label ?teamLabel . }
  OPTIONAL { ?member rdfs:label ?memberLabel . }
}
GROUP BY ?team ?teamLabel
ORDER BY LCASE(STR(?teamLabel)) STR(?team)</t>
  </si>
  <si>
    <t>{
    "id": "batch_req_692156a6ffa88190bb69e5aa012e259d",
    "custom_id": "cq-17",
    "response": {
        "status_code": 200,
        "request_id": "14890fc5894533b340e12a977eecac40",
        "body": {
            "id": "chatcmpl-CeZhKLOvDKzBEA32JoE9D6VwgZ2J6",
            "object": "chat.completion",
            "created": 1763786378,
            "model": "gpt-5-2025-08-07",
            "choices": [
                {
                    "index": 0,
                    "message": {
                        "role": "assistant",
                        "content": "PREFIX rdfs: &lt;http://www.w3.org/2000/01/rdf-schema#&gt;\nPREFIX ns1: &lt;http://dbkwik.webdatacommons.org/marvel.wikia.com/property/&gt;\n\nSELECT ?team ?teamLabel (GROUP_CONCAT(DISTINCT ?memberLabel; separator=\" | \") AS ?members)\nWHERE {\n  {\n    ?member ns1:teams ?team .\n  } UNION {\n    ?member ns1:teames ?team .\n  } UNION {\n    ?member ns1:group ?team .\n  }\n  OPTIONAL { ?team rdfs:label ?teamLabel . }\n  OPTIONAL { ?member rdfs:label ?memberLabel . }\n}\nGROUP BY ?team ?teamLabel\nORDER BY LCASE(STR(?teamLabel)) STR(?team)",
                        "refusal": null,
                        "annotations": []
                    },
                    "finish_reason": "stop"
                }
            ],
            "usage": {
                "prompt_tokens": 92001,
                "completion_tokens": 2158,
                "total_tokens": 94159,
                "prompt_tokens_details": {
                    "cached_tokens": 0,
                    "audio_tokens": 0
                },
                "completion_tokens_details": {
                    "reasoning_tokens": 1984,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</si>
  <si>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rdfs: &lt;http://www.w3.org/2000/01/rdf-schema#&gt;
PREFIX ns1: &lt;http://dbkwik.webdatacommons.org/marvel.wikia.com/property/&gt;
SELECT ?team ?teamLabel (GROUP_CONCAT(DISTINCT ?memberLabel; separator=" | ") AS ?members)
WHERE {
  {
    ?member ns1:teams ?team .
  } UNION {
    ?member ns1:teames ?team .
  } UNION {
    ?member ns1:group ?team .
  }
  OPTIONAL { ?team rdfs:label ?teamLabel . }
  OPTIONAL { ?member rdfs:label ?memberLabel . }
}
GROUP BY ?team ?teamLabel
ORDER BY LCASE(STR(?teamLabel)) STR(?team)</t>
  </si>
  <si>
    <t>{
  "cq_text": "What are all the teams and the set of members for each team available?",
  "syntax_ok": true,
  "satisfiable": true,
  "deterministic": true,
  "latency": {
    "p50_ms": 42.25,
    "p95_ms": 43.96,
    "mean_ms": 42.72
  },
  "rows": 366,
  "vars": 4,
  "always_unbound_vars": [
    "memberLabel"
  ],
  "lexical_query_overlap": 0.04,
  "semantic_similarity_to_CQ": 0.82,
  "semantic_soft_coverage_to_CQ": 0.78,
  "tuple_cohesion": 0.64,
  "variables": [
    {
      "var": "team",
      "rows": 366,
      "distinct": 352,
      "null_rate": 0.0,
      "label_resolution_rate": 1.0,
      "diversity_entropy_norm": 1.0,
      "semantic_cohesion": 0.61,
      "dup_ratio": 0.04,
      "bound_rate": 1.0
    },
    {
      "var": "teamLabel",
      "rows": 366,
      "distinct": 325,
      "null_rate": 0.11202185792349727,
      "label_resolution_rate": 1.0,
      "diversity_entropy_norm": 1.0,
      "semantic_cohesion": 0.68,
      "dup_ratio": 0.0,
      "bound_rate": 0.8879781420765027
    },
    {
      "var": "memberLabel",
      "rows": 366,
      "distinct": 0,
      "null_rate": 1.0,
      "label_resolution_rate": 0.0,
      "diversity_entropy_norm": 0.0,
      "semantic_cohesion": 1.0,
      "dup_ratio": 0.0,
      "bound_rate": 0.0
    },
    {
      "var": "members",
      "rows": 366,
      "distinct": 243,
      "null_rate": 0.0,
      "label_resolution_rate": 1.0,
      "diversity_entropy_norm": 0.97,
      "semantic_cohesion": 0.56,
      "dup_ratio": 0.34,
      "bound_rate": 1.0
    }
  ]
}</t>
  </si>
  <si>
    <t>["memberLabel"]</t>
  </si>
  <si>
    <t>[{"var": "team", "rows": 366, "distinct": 352, "null_rate": 0.0, "label_resolution_rate": 1.0, "diversity_entropy_norm": 1.0, "semantic_cohesion": 0.61, "dup_ratio": 0.04, "bound_rate": 1.0}, {"var": "teamLabel", "rows": 366, "distinct": 325, "null_rate": 0.11202185792349727, "label_resolution_rate": 1.0, "diversity_entropy_norm": 1.0, "semantic_cohesion": 0.68, "dup_ratio": 0.0, "bound_rate": 0.8879781420765027}, {"var": "memberLabel", "rows": 366, "distinct": 0, "null_rate": 1.0, "label_resolution_rate": 0.0, "diversity_entropy_norm": 0.0, "semantic_cohesion": 1.0, "dup_ratio": 0.0, "bound_rate": 0.0}, {"var": "members", "rows": 366, "distinct": 243, "null_rate": 0.0, "label_resolution_rate": 1.0, "diversity_entropy_norm": 0.97, "semantic_cohesion": 0.56, "dup_ratio": 0.34, "bound_rate": 1.0}]</t>
  </si>
  <si>
    <t>PREFIX ns1: &lt;http://dbkwik.webdatacommons.org/marvel.wikia.com/property/&gt;
PREFIX rdfs: &lt;http://www.w3.org/2000/01/rdf-schema#&gt;
SELECT ?movie ?movieLabel (GROUP_CONCAT(DISTINCT ?teamLabel; separator=" | ") AS ?teams)
WHERE {
  ?member ns1:movies ?movie ;
          ns1:teams  ?team .
  OPTIONAL { ?movie rdfs:label ?movieLabel . }
  OPTIONAL { ?team  rdfs:label ?teamLabel . }
}
GROUP BY ?movie ?movieLabel
ORDER BY ?movieLabel</t>
  </si>
  <si>
    <t>{
    "id": "batch_req_692156a700c08190aac17fb574415f6b",
    "custom_id": "cq-18",
    "response": {
        "status_code": 200,
        "request_id": "3cf60974ee718750cc9c85ad5d45607e",
        "body": {
            "id": "chatcmpl-CeZv6BZFENnsP4LOwUHFqwHydKyoJ",
            "object": "chat.completion",
            "created": 1763787232,
            "model": "gpt-5-2025-08-07",
            "choices": [
                {
                    "index": 0,
                    "message": {
                        "role": "assistant",
                        "content": "PREFIX ns1: &lt;http://dbkwik.webdatacommons.org/marvel.wikia.com/property/&gt;\nPREFIX rdfs: &lt;http://www.w3.org/2000/01/rdf-schema#&gt;\n\nSELECT ?movie ?movieLabel (GROUP_CONCAT(DISTINCT ?teamLabel; separator=\" | \") AS ?teams)\nWHERE {\n  ?member ns1:movies ?movie ;\n          ns1:teams  ?team .\n  OPTIONAL { ?movie rdfs:label ?movieLabel . }\n  OPTIONAL { ?team  rdfs:label ?teamLabel . }\n}\nGROUP BY ?movie ?movieLabel\nORDER BY ?movieLabel",
                        "refusal": null,
                        "annotations": []
                    },
                    "finish_reason": "stop"
                }
            ],
            "usage": {
                "prompt_tokens": 92006,
                "completion_tokens": 2510,
                "total_tokens": 94516,
                "prompt_tokens_details": {
                    "cached_tokens": 0,
                    "audio_tokens": 0
                },
                "completion_tokens_details": {
                    "reasoning_tokens": 2368,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</si>
  <si>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?movie ?movieLabel (GROUP_CONCAT(DISTINCT ?teamLabel; separator=" | ") AS ?teams)
WHERE {
  ?member ns1:movies ?movie ;
          ns1:teams  ?team .
  OPTIONAL { ?movie rdfs:label ?movieLabel . }
  OPTIONAL { ?team  rdfs:label ?teamLabel . }
}
GROUP BY ?movie ?movieLabel
ORDER BY ?movieLabel</t>
  </si>
  <si>
    <t>{
  "cq_text": "What are all the movies and the set of teams that have at least one member appearing in them?",
  "syntax_ok": true,
  "satisfiable": true,
  "deterministic": true,
  "latency": {
    "p50_ms": 36.69,
    "p95_ms": 38.29,
    "mean_ms": 37.22
  },
  "rows": 73,
  "vars": 4,
  "always_unbound_vars": [
    "teamLabel"
  ],
  "lexical_query_overlap": 0.03,
  "semantic_similarity_to_CQ": 0.79,
  "semantic_soft_coverage_to_CQ": 0.77,
  "tuple_cohesion": 0.74,
  "variables": [
    {
      "var": "movie",
      "rows": 73,
      "distinct": 67,
      "null_rate": 0.0,
      "label_resolution_rate": 1.0,
      "diversity_entropy_norm": 0.99,
      "semantic_cohesion": 0.69,
      "dup_ratio": 0.08,
      "bound_rate": 1.0
    },
    {
      "var": "movieLabel",
      "rows": 73,
      "distinct": 38,
      "null_rate": 0.4794520547945205,
      "label_resolution_rate": 1.0,
      "diversity_entropy_norm": 1.0,
      "semantic_cohesion": 0.68,
      "dup_ratio": 0.0,
      "bound_rate": 0.5205479452054794
    },
    {
      "var": "teamLabel",
      "rows": 73,
      "distinct": 0,
      "null_rate": 1.0,
      "label_resolution_rate": 0.0,
      "diversity_entropy_norm": 0.0,
      "semantic_cohesion": 1.0,
      "dup_ratio": 0.0,
      "bound_rate": 0.0
    },
    {
      "var": "teams",
      "rows": 73,
      "distinct": 46,
      "null_rate": 0.1506849315068493,
      "label_resolution_rate": 1.0,
      "diversity_entropy_norm": 0.96,
      "semantic_cohesion": 0.65,
      "dup_ratio": 0.26,
      "bound_rate": 0.8493150684931506
    }
  ]
}</t>
  </si>
  <si>
    <t>["teamLabel"]</t>
  </si>
  <si>
    <t>[{"var": "movie", "rows": 73, "distinct": 67, "null_rate": 0.0, "label_resolution_rate": 1.0, "diversity_entropy_norm": 0.99, "semantic_cohesion": 0.69, "dup_ratio": 0.08, "bound_rate": 1.0}, {"var": "movieLabel", "rows": 73, "distinct": 38, "null_rate": 0.4794520547945205, "label_resolution_rate": 1.0, "diversity_entropy_norm": 1.0, "semantic_cohesion": 0.68, "dup_ratio": 0.0, "bound_rate": 0.5205479452054794}, {"var": "teamLabel", "rows": 73, "distinct": 0, "null_rate": 1.0, "label_resolution_rate": 0.0, "diversity_entropy_norm": 0.0, "semantic_cohesion": 1.0, "dup_ratio": 0.0, "bound_rate": 0.0}, {"var": "teams", "rows": 73, "distinct": 46, "null_rate": 0.1506849315068493, "label_resolution_rate": 1.0, "diversity_entropy_norm": 0.96, "semantic_cohesion": 0.65, "dup_ratio": 0.26, "bound_rate": 0.8493150684931506}]</t>
  </si>
  <si>
    <t>PREFIX rdf: &lt;http://www.w3.org/1999/02/22-rdf-syntax-ns#&gt;
PREFIX rdfs: &lt;http://www.w3.org/2000/01/rdf-schema#&gt;
PREFIX ns1: &lt;http://dbkwik.webdatacommons.org/marvel.wikia.com/property/&gt;
SELECT DISTINCT ?location ?label
WHERE {
  ?char a &lt;http://dbkwik.webdatacommons.org/marvel.wikia.com/class/character&gt; ;
        (ns1:placeofbirth|ns1:baseofoperations) ?location .
  FILTER(isIRI(?location))
  OPTIONAL { ?location rdfs:label ?label . }
}
ORDER BY ?label ?location</t>
  </si>
  <si>
    <t>{
    "id": "batch_req_692156a704f48190a28fa7e34956a575",
    "custom_id": "cq-19",
    "response": {
        "status_code": 200,
        "request_id": "2bcfe901198af166c4dd0978cccdba4b",
        "body": {
            "id": "chatcmpl-CeZk7RRwWbGzWKnTxW8KDmZMWDhex",
            "object": "chat.completion",
            "created": 1763786551,
            "model": "gpt-5-2025-08-07",
            "choices": [
                {
                    "index": 0,
                    "message": {
                        "role": "assistant",
                        "content": "PREFIX rdf: &lt;http://www.w3.org/1999/02/22-rdf-syntax-ns#&gt;\nPREFIX rdfs: &lt;http://www.w3.org/2000/01/rdf-schema#&gt;\nPREFIX ns1: &lt;http://dbkwik.webdatacommons.org/marvel.wikia.com/property/&gt;\n\nSELECT DISTINCT ?location ?label\nWHERE {\n  ?char a &lt;http://dbkwik.webdatacommons.org/marvel.wikia.com/class/character&gt; ;\n        (ns1:placeofbirth|ns1:baseofoperations) ?location .\n  FILTER(isIRI(?location))\n  OPTIONAL { ?location rdfs:label ?label . }\n}\nORDER BY ?label ?location",
                        "refusal": null,
                        "annotations": []
                    },
                    "finish_reason": "stop"
                }
            ],
            "usage": {
                "prompt_tokens": 92008,
                "completion_tokens": 1759,
                "total_tokens": 93767,
                "prompt_tokens_details": {
                    "cached_tokens": 0,
                    "audio_tokens": 0
                },
                "completion_tokens_details": {
                    "reasoning_tokens": 1600,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</si>
  <si>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rdf: &lt;http://www.w3.org/1999/02/22-rdf-syntax-ns#&gt;
PREFIX rdfs: &lt;http://www.w3.org/2000/01/rdf-schema#&gt;
PREFIX ns1: &lt;http://dbkwik.webdatacommons.org/marvel.wikia.com/property/&gt;
SELECT DISTINCT ?location ?label
WHERE {
  ?char a &lt;http://dbkwik.webdatacommons.org/marvel.wikia.com/class/character&gt; ;
        (ns1:placeofbirth|ns1:baseofoperations) ?location .
  FILTER(isIRI(?location))
  OPTIONAL { ?location rdfs:label ?label . }
}
ORDER BY ?label ?location</t>
  </si>
  <si>
    <t>{
  "cq_text": "What are all locations that are associated with at least one character appearance (e.g., origin or major setting)?",
  "syntax_ok": true,
  "satisfiable": true,
  "deterministic": true,
  "latency": {
    "p50_ms": 17.62,
    "p95_ms": 18.49,
    "mean_ms": 15.18
  },
  "rows": 1,
  "vars": 2,
  "always_unbound_vars": [],
  "lexical_query_overlap": 0.03,
  "semantic_similarity_to_CQ": 0.63,
  "semantic_soft_coverage_to_CQ": 0.75,
  "tuple_cohesion": 1.0,
  "variables": [
    {
      "var": "location",
      "rows": 1,
      "distinct": 1,
      "null_rate": 0.0,
      "label_resolution_rate": 1.0,
      "diversity_entropy_norm": -1.0,
      "semantic_cohesion": 1.0,
      "dup_ratio": 0.0,
      "bound_rate": 1.0
    },
    {
      "var": "label",
      "rows": 1,
      "distinct": 1,
      "null_rate": 0.0,
      "label_resolution_rate": 1.0,
      "diversity_entropy_norm": -1.0,
      "semantic_cohesion": 1.0,
      "dup_ratio": 0.0,
      "bound_rate": 1.0
    }
  ]
}</t>
  </si>
  <si>
    <t>[{"var": "location", "rows": 1, "distinct": 1, "null_rate": 0.0, "label_resolution_rate": 1.0, "diversity_entropy_norm": -1.0, "semantic_cohesion": 1.0, "dup_ratio": 0.0, "bound_rate": 1.0}, {"var": "label", "rows": 1, "distinct": 1, "null_rate": 0.0, "label_resolution_rate": 1.0, "diversity_entropy_norm": -1.0, "semantic_cohesion": 1.0, "dup_ratio": 0.0, "bound_rate": 1.0}]</t>
  </si>
  <si>
    <t>{
    "id": "batch_req_692156a7db848190b2afa1d62a051592",
    "custom_id": "cq-20",
    "response": {
        "status_code": 200,
        "request_id": "1f712d3c0d8f356339f9704fd33dfabb",
        "body": {
            "id": "chatcmpl-Ceb4TNhVjD2C7zEcNCVUJmUOhICbX",
            "object": "chat.completion",
            "created": 1763791657,
            "model": "gpt-5-2025-08-07",
            "choices": [
                {
                    "index": 0,
                    "message": {
                        "role": "assistant",
                        "content": "No valid query can be generated based on the provided schema.",
                        "refusal": null,
                        "annotations": []
                    },
                    "finish_reason": "stop"
                }
            ],
            "usage": {
                "prompt_tokens": 91999,
                "completion_tokens": 1493,
                "total_tokens": 93492,
                "prompt_tokens_details": {
                    "cached_tokens": 0,
                    "audio_tokens": 0
                },
                "completion_tokens_details": {
                    "reasoning_tokens": 1472,
                    "audio_tokens": 0,
                    "accepted_prediction_tokens": 0,
                    "rejected_prediction_tokens": 0
                }
            },
            "service_tier": "default",
            "system_fingerprint": null
        }
    },
    "error": null
}</t>
  </si>
  <si>
    <t>{
  "cq_text": "What are all the director\u2013actor pairs linked through movies available?",
  "syntax_ok": false,
  "syntax_msg": "No SPARQL form found"
}</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</si>
  <si>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?power ?powerLabel (GROUP_CONCAT(DISTINCT ?charLabel; separator=", ") AS ?characters)
WHERE {
  {
    # Characters typed with a power-related class (e.g., Superhuman Agility, Superhuman Durability, Healing Factor)
    ?char a ?power .
    ?power rdfs:label ?powerLabel .
    FILTER(CONTAINS(STR(?power), "/class/"))
    FILTER(CONTAINS(LCASE(STR(?powerLabel)), "superhuman") || CONTAINS(LCASE(STR(?powerLabel)), "healing"))
  }
  UNION
  {
    # Characters categorized under power categories (e.g., Electrokinesis, Flight)
    ?char dcterms:subject ?power .
    ?power rdfs:label ?powerLabel .
    FILTER(CONTAINS(STR(?power), "/resource/Category:"))
  }
  ?char rdfs:label ?charLabel .
}
GROUP BY ?power ?powerLabel
ORDER BY LCASE(STR(?powerLabel))</t>
  </si>
  <si>
    <t>{
    "id": "batch_req_692156a7e05c81908ff47a043e6e8d79",
    "custom_id": "cq-21",
    "response": {
        "status_code": 200,
        "request_id": "08b6c71bbe35dad1b6b0683b9c23ecdf",
        "body": {
            "id": "chatcmpl-CeZvjtFOmv1STlOYFQzP7fChDh8JM",
            "object": "chat.completion",
            "created": 1763787271,
            "model": "gpt-5-2025-08-07",
            "choices": [
                {
                    "index": 0,
                    "message": {
                        "role": "assistant",
                        "content": "PREFIX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&lt;http://dbkwik.webdatacommons.org/marvel.wikia.com/property/%3&gt;\nPREFIX ns7: &lt;http://dbkwik.webdatacommons.org/marvel.wikia.com/property/alternate232%60&gt;\nPREFIX owl: &lt;http://www.w3.org/2002/07/owl#&gt;\nPREFIX rdf: &lt;http://www.w3.org/1999/02/22-rdf-syntax-ns#&gt;\nPREFIX rdfs: &lt;http://www.w3.org/2000/01/rdf-schema#&gt;\nPREFIX skos: &lt;http://www.w3.org/2004/02/skos/core#&gt;\nPREFIX xsd: &lt;http://www.w3.org/2001/XMLSchema#&gt;\n\nSELECT ?power ?powerLabel (GROUP_CONCAT(DISTINCT ?charLabel; separator=\", \") AS ?characters)\nWHERE {\n  {\n    # Characters typed with a power-related class (e.g., Superhuman Agility, Superhuman Durability, Healing Factor)\n    ?char a ?power .\n    ?power rdfs:label ?powerLabel .\n    FILTER(CONTAINS(STR(?power), \"/class/\"))\n    FILTER(CONTAINS(LCASE(STR(?powerLabel)), \"superhuman\") || CONTAINS(LCASE(STR(?powerLabel)), \"healing\"))\n  }\n  UNION\n  {\n    # Characters categorized under power categories (e.g., Electrokinesis, Flight)\n    ?char dcterms:subject ?power .\n    ?power rdfs:label ?powerLabel .\n    FILTER(CONTAINS(STR(?power), \"/resource/Category:\"))\n  }\n  ?char rdfs:label ?charLabel .\n}\nGROUP BY ?power ?powerLabel\nORDER BY LCASE(STR(?powerLabel))",
                        "refusal": null,
                        "annotations": []
                    },
                    "finish_reason": "stop"
                }
            ],
            "usage": {
                "prompt_tokens": 92003,
                "completion_tokens": 3733,
                "total_tokens": 95736,
                "prompt_tokens_details": {
                    "cached_tokens": 0,
                    "audio_tokens": 0
                },
                "completion_tokens_details": {
                    "reasoning_tokens": 3264,
                    "audio_tokens": 0,
                    "accepted_prediction_tokens": 0,
                    "rejected_prediction_tokens": 0
                }
            },
            "service_tier": "default",
            "system_fingerprint": null
        }
    },
    "error": null
}</t>
  </si>
  <si>
    <t>{
  "cq_text": "What are all the available distinct powers and the set of characters associated with each power?",
  "syntax_ok": true,
  "satisfiable": true,
  "deterministic": true,
  "latency": {
    "p50_ms": 3038.73,
    "p95_ms": 3583.58,
    "mean_ms": 3208.82
  },
  "rows": 7722,
  "vars": 4,
  "always_unbound_vars": [
    "charLabel"
  ],
  "lexical_query_overlap": 0.06,
  "semantic_similarity_to_CQ": 0.64,
  "semantic_soft_coverage_to_CQ": 0.8,
  "tuple_cohesion": 0.73,
  "variables": [
    {
      "var": "power",
      "rows": 7722,
      "distinct": 7516,
      "null_rate": 0.0,
      "label_resolution_rate": 1.0,
      "diversity_entropy_norm": 1.0,
      "semantic_cohesion": 0.74,
      "dup_ratio": 0.03,
      "bound_rate": 1.0
    },
    {
      "var": "powerLabel",
      "rows": 7722,
      "distinct": 7707,
      "null_rate": 0.0,
      "label_resolution_rate": 1.0,
      "diversity_entropy_norm": 1.0,
      "semantic_cohesion": 0.74,
      "dup_ratio": 0.0,
      "bound_rate": 1.0
    },
    {
      "var": "charLabel",
      "rows": 7722,
      "distinct": 0,
      "null_rate": 1.0,
      "label_resolution_rate": 0.0,
      "diversity_entropy_norm": 0.0,
      "semantic_cohesion": 1.0,
      "dup_ratio": 0.0,
      "bound_rate": 0.0
    },
    {
      "var": "characters",
      "rows": 7722,
      "distinct": 7034,
      "null_rate": 0.0,
      "label_resolution_rate": 1.0,
      "diversity_entropy_norm": 0.99,
      "semantic_cohesion": 0.78,
      "dup_ratio": 0.09,
      "bound_rate": 1.0
    }
  ]
}</t>
  </si>
  <si>
    <t>["charLabel"]</t>
  </si>
  <si>
    <t>[{"var": "power", "rows": 7722, "distinct": 7516, "null_rate": 0.0, "label_resolution_rate": 1.0, "diversity_entropy_norm": 1.0, "semantic_cohesion": 0.74, "dup_ratio": 0.03, "bound_rate": 1.0}, {"var": "powerLabel", "rows": 7722, "distinct": 7707, "null_rate": 0.0, "label_resolution_rate": 1.0, "diversity_entropy_norm": 1.0, "semantic_cohesion": 0.74, "dup_ratio": 0.0, "bound_rate": 1.0}, {"var": "charLabel", "rows": 7722, "distinct": 0, "null_rate": 1.0, "label_resolution_rate": 0.0, "diversity_entropy_norm": 0.0, "semantic_cohesion": 1.0, "dup_ratio": 0.0, "bound_rate": 0.0}, {"var": "characters", "rows": 7722, "distinct": 7034, "null_rate": 0.0, "label_resolution_rate": 1.0, "diversity_entropy_norm": 0.99, "semantic_cohesion": 0.78, "dup_ratio": 0.09, "bound_rate": 1.0}]</t>
  </si>
  <si>
    <t>PREFIX rdfs: &lt;http://www.w3.org/2000/01/rdf-schema#&gt;
PREFIX ns1: &lt;http://dbkwik.webdatacommons.org/marvel.wikia.com/property/&gt;
SELECT DISTINCT ?movie ?movieLabel ?character1 ?character1Label ?character2 ?character2Label
WHERE {
  ?character1 ns1:movies ?movie .
  ?character2 ns1:movies ?movie .
  FILTER(?character1 != ?character2)
  FILTER(STR(?character1) &lt; STR(?character2))
  OPTIONAL { ?movie rdfs:label ?movieLabel . }
  OPTIONAL { ?character1 rdfs:label ?character1Label . }
  OPTIONAL { ?character2 rdfs:label ?character2Label . }
}
ORDER BY ?movie ?character1 ?character2</t>
  </si>
  <si>
    <t>{
    "id": "batch_req_692156a7e8c081909dc0ed4c6599daa5",
    "custom_id": "cq-22",
    "response": {
        "status_code": 200,
        "request_id": "30c5fb496b6578423b1e2103f8fd160e",
        "body": {
            "id": "chatcmpl-CeZnyvogLkPNYoauDcENYOz2xzTEK",
            "object": "chat.completion",
            "created": 1763786790,
            "model": "gpt-5-2025-08-07",
            "choices": [
                {
                    "index": 0,
                    "message": {
                        "role": "assistant",
                        "content": "PREFIX rdfs: &lt;http://www.w3.org/2000/01/rdf-schema#&gt;\nPREFIX ns1: &lt;http://dbkwik.webdatacommons.org/marvel.wikia.com/property/&gt;\n\nSELECT DISTINCT ?movie ?movieLabel ?character1 ?character1Label ?character2 ?character2Label\nWHERE {\n  ?character1 ns1:movies ?movie .\n  ?character2 ns1:movies ?movie .\n  FILTER(?character1 != ?character2)\n  FILTER(STR(?character1) &lt; STR(?character2))\n  OPTIONAL { ?movie rdfs:label ?movieLabel . }\n  OPTIONAL { ?character1 rdfs:label ?character1Label . }\n  OPTIONAL { ?character2 rdfs:label ?character2Label . }\n}\nORDER BY ?movie ?character1 ?character2",
                        "refusal": null,
                        "annotations": []
                    },
                    "finish_reason": "stop"
                }
            ],
            "usage": {
                "prompt_tokens": 92004,
                "completion_tokens": 2036,
                "total_tokens": 94040,
                "prompt_tokens_details": {
                    "cached_tokens": 0,
                    "audio_tokens": 0
                },
                "completion_tokens_details": {
                    "reasoning_tokens": 1856,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</si>
  <si>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rdfs: &lt;http://www.w3.org/2000/01/rdf-schema#&gt;
PREFIX ns1: &lt;http://dbkwik.webdatacommons.org/marvel.wikia.com/property/&gt;
SELECT DISTINCT ?movie ?movieLabel ?character1 ?character1Label ?character2 ?character2Label
WHERE {
  ?character1 ns1:movies ?movie .
  ?character2 ns1:movies ?movie .
  FILTER(?character1 != ?character2)
  FILTER(STR(?character1) &lt; STR(?character2))
  OPTIONAL { ?movie rdfs:label ?movieLabel . }
  OPTIONAL { ?character1 rdfs:label ?character1Label . }
  OPTIONAL { ?character2 rdfs:label ?character2Label . }
}
ORDER BY ?movie ?character1 ?character2</t>
  </si>
  <si>
    <t>{
  "cq_text": "What are all the pairs of characters available that have co-appeared in a movie?",
  "syntax_ok": true,
  "satisfiable": true,
  "deterministic": true,
  "latency": {
    "p50_ms": 2834.7,
    "p95_ms": 3023.15,
    "mean_ms": 2889.1
  },
  "rows": 38889,
  "vars": 6,
  "always_unbound_vars": [],
  "lexical_query_overlap": 0.06,
  "semantic_similarity_to_CQ": 0.71,
  "semantic_soft_coverage_to_CQ": 0.74,
  "tuple_cohesion": 0.94,
  "variables": [
    {
      "var": "movie",
      "rows": 38889,
      "distinct": 38,
      "null_rate": 0.0,
      "label_resolution_rate": 0.9230769230769231,
      "diversity_entropy_norm": 0.21,
      "semantic_cohesion": 0.81,
      "dup_ratio": 1.0,
      "bound_rate": 1.0
    },
    {
      "var": "movieLabel",
      "rows": 38889,
      "distinct": 8,
      "null_rate": 0.9996914294530587,
      "label_resolution_rate": 1.0,
      "diversity_entropy_norm": 0.93,
      "semantic_cohesion": 0.57,
      "dup_ratio": 0.33,
      "bound_rate": 0.00030857054694129443
    },
    {
      "var": "character1",
      "rows": 38889,
      "distinct": 273,
      "null_rate": 0.0,
      "label_resolution_rate": 1.0,
      "diversity_entropy_norm": 0.87,
      "semantic_cohesion": 0.66,
      "dup_ratio": 0.99,
      "bound_rate": 1.0
    },
    {
      "var": "character1Label",
      "rows": 38889,
      "distinct": 496,
      "null_rate": 0.0,
      "label_resolution_rate": 1.0,
      "diversity_entropy_norm": 0.92,
      "semantic_cohesion": 0.55,
      "dup_ratio": 0.99,
      "bound_rate": 1.0
    },
    {
      "var": "character2",
      "rows": 38889,
      "distinct": 276,
      "null_rate": 0.0,
      "label_resolution_rate": 1.0,
      "diversity_entropy_norm": 0.86,
      "semantic_cohesion": 0.67,
      "dup_ratio": 0.99,
      "bound_rate": 1.0
    },
    {
      "var": "character2Label",
      "rows": 38889,
      "distinct": 497,
      "null_rate": 0.0,
      "label_resolution_rate": 1.0,
      "diversity_entropy_norm": 0.92,
      "semantic_cohesion": 0.56,
      "dup_ratio": 0.99,
      "bound_rate": 1.0
    }
  ]
}</t>
  </si>
  <si>
    <t>[{"var": "movie", "rows": 38889, "distinct": 38, "null_rate": 0.0, "label_resolution_rate": 0.9230769230769231, "diversity_entropy_norm": 0.21, "semantic_cohesion": 0.81, "dup_ratio": 1.0, "bound_rate": 1.0}, {"var": "movieLabel", "rows": 38889, "distinct": 8, "null_rate": 0.9996914294530587, "label_resolution_rate": 1.0, "diversity_entropy_norm": 0.93, "semantic_cohesion": 0.57, "dup_ratio": 0.33, "bound_rate": 0.00030857054694129443}, {"var": "character1", "rows": 38889, "distinct": 273, "null_rate": 0.0, "label_resolution_rate": 1.0, "diversity_entropy_norm": 0.87, "semantic_cohesion": 0.66, "dup_ratio": 0.99, "bound_rate": 1.0}, {"var": "character1Label", "rows": 38889, "distinct": 496, "null_rate": 0.0, "label_resolution_rate": 1.0, "diversity_entropy_norm": 0.92, "semantic_cohesion": 0.55, "dup_ratio": 0.99, "bound_rate": 1.0}, {"var": "character2", "rows": 38889, "distinct": 276, "null_rate": 0.0, "label_resolution_rate": 1.0, "diversity_entropy_norm": 0.86, "semantic_cohesion": 0.67, "dup_ratio": 0.99, "bound_rate": 1.0}, {"var": "character2Label", "rows": 38889, "distinct": 497, "null_rate": 0.0, "label_resolution_rate": 1.0, "diversity_entropy_norm": 0.92, "semantic_cohesion": 0.56, "dup_ratio": 0.99, "bound_rate": 1.0}]</t>
  </si>
  <si>
    <t>PREFIX ns1: &lt;http://dbkwik.webdatacommons.org/marvel.wikia.com/property/&gt;
PREFIX rdfs: &lt;http://www.w3.org/2000/01/rdf-schema#&gt;
SELECT ?character ?characterLabel (COUNT(DISTINCT ?movie) AS ?movieCount)
WHERE {
  ?character ns1:movies ?movie .
  OPTIONAL { ?character rdfs:label ?characterLabel . }
}
GROUP BY ?character ?characterLabel
ORDER BY DESC(?movieCount) ?character</t>
  </si>
  <si>
    <t>{
    "id": "batch_req_692156a7ec4881909c3f52e2bed159ad",
    "custom_id": "cq-23",
    "response": {
        "status_code": 200,
        "request_id": "ae0a29d9d13d198206f306e67cc01b08",
        "body": {
            "id": "chatcmpl-CeZkX0bnHoyv69w8fgf1Di4SarSSO",
            "object": "chat.completion",
            "created": 1763786577,
            "model": "gpt-5-2025-08-07",
            "choices": [
                {
                    "index": 0,
                    "message": {
                        "role": "assistant",
                        "content": "PREFIX ns1: &lt;http://dbkwik.webdatacommons.org/marvel.wikia.com/property/&gt;\nPREFIX rdfs: &lt;http://www.w3.org/2000/01/rdf-schema#&gt;\n\nSELECT ?character ?characterLabel (COUNT(DISTINCT ?movie) AS ?movieCount)\nWHERE {\n  ?character ns1:movies ?movie .\n  OPTIONAL { ?character rdfs:label ?characterLabel . }\n}\nGROUP BY ?character ?characterLabel\nORDER BY DESC(?movieCount) ?character",
                        "refusal": null,
                        "annotations": []
                    },
                    "finish_reason": "stop"
                }
            ],
            "usage": {
                "prompt_tokens": 91999,
                "completion_tokens": 1908,
                "total_tokens": 93907,
                "prompt_tokens_details": {
                    "cached_tokens": 0,
                    "audio_tokens": 0
                },
                "completion_tokens_details": {
                    "reasoning_tokens": 1792,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</si>
  <si>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?character ?characterLabel (COUNT(DISTINCT ?movie) AS ?movieCount)
WHERE {
  ?character ns1:movies ?movie .
  OPTIONAL { ?character rdfs:label ?characterLabel . }
}
GROUP BY ?character ?characterLabel
ORDER BY DESC(?movieCount) ?character</t>
  </si>
  <si>
    <t>{
  "cq_text": "How many movies does each character appear in (character appearance count)?",
  "syntax_ok": true,
  "satisfiable": true,
  "deterministic": true,
  "latency": {
    "p50_ms": 62.41,
    "p95_ms": 62.89,
    "mean_ms": 61.06
  },
  "rows": 736,
  "vars": 4,
  "always_unbound_vars": [
    "movie"
  ],
  "lexical_query_overlap": 0.05,
  "semantic_similarity_to_CQ": 0.74,
  "semantic_soft_coverage_to_CQ": 0.82,
  "tuple_cohesion": 0.79,
  "variables": [
    {
      "var": "character",
      "rows": 736,
      "distinct": 413,
      "null_rate": 0.0,
      "label_resolution_rate": 1.0,
      "diversity_entropy_norm": 0.91,
      "semantic_cohesion": 0.64,
      "dup_ratio": 0.44,
      "bound_rate": 1.0
    },
    {
      "var": "characterLabel",
      "rows": 736,
      "distinct": 736,
      "null_rate": 0.0,
      "label_resolution_rate": 1.0,
      "diversity_entropy_norm": 1.0,
      "semantic_cohesion": 0.58,
      "dup_ratio": 0.0,
      "bound_rate": 1.0
    },
    {
      "var": "movie",
      "rows": 736,
      "distinct": 0,
      "null_rate": 1.0,
      "label_resolution_rate": 0.0,
      "diversity_entropy_norm": 0.0,
      "semantic_cohesion": 1.0,
      "dup_ratio": 0.0,
      "bound_rate": 0.0
    },
    {
      "var": "movieCount",
      "rows": 736,
      "distinct": 8,
      "null_rate": 0.0,
      "label_resolution_rate": 1.0,
      "diversity_entropy_norm": 0.4,
      "semantic_cohesion": 0.96,
      "dup_ratio": 0.99,
      "bound_rate": 1.0
    }
  ]
}</t>
  </si>
  <si>
    <t>[{"var": "character", "rows": 736, "distinct": 413, "null_rate": 0.0, "label_resolution_rate": 1.0, "diversity_entropy_norm": 0.91, "semantic_cohesion": 0.64, "dup_ratio": 0.44, "bound_rate": 1.0}, {"var": "characterLabel", "rows": 736, "distinct": 736, "null_rate": 0.0, "label_resolution_rate": 1.0, "diversity_entropy_norm": 1.0, "semantic_cohesion": 0.58, "dup_ratio": 0.0, "bound_rate": 1.0}, {"var": "movie", "rows": 736, "distinct": 0, "null_rate": 1.0, "label_resolution_rate": 0.0, "diversity_entropy_norm": 0.0, "semantic_cohesion": 1.0, "dup_ratio": 0.0, "bound_rate": 0.0}, {"var": "movieCount", "rows": 736, "distinct": 8, "null_rate": 0.0, "label_resolution_rate": 1.0, "diversity_entropy_norm": 0.4, "semantic_cohesion": 0.96, "dup_ratio": 0.99, "bound_rate": 1.0}]</t>
  </si>
  <si>
    <t>{
    "id": "batch_req_692156a7e8008190a7f3be4d787d1335",
    "custom_id": "cq-24",
    "response": {
        "status_code": 200,
        "request_id": "d2073691f33bf1a3d3f04d2d65bd96ba",
        "body": {
            "id": "chatcmpl-CeZx3bHqisC2XME7r8Q1UB2shKvdL",
            "object": "chat.completion",
            "created": 1763787353,
            "model": "gpt-5-2025-08-07",
            "choices": [
                {
                    "index": 0,
                    "message": {
                        "role": "assistant",
                        "content": "No valid query can be generated based on the provided schema.",
                        "refusal": null,
                        "annotations": []
                    },
                    "finish_reason": "stop"
                }
            ],
            "usage": {
                "prompt_tokens": 92007,
                "completion_tokens": 1493,
                "total_tokens": 93500,
                "prompt_tokens_details": {
                    "cached_tokens": 0,
                    "audio_tokens": 0
                },
                "completion_tokens_details": {
                    "reasoning_tokens": 1472,
                    "audio_tokens": 0,
                    "accepted_prediction_tokens": 0,
                    "rejected_prediction_tokens": 0
                }
            },
            "service_tier": "default",
            "system_fingerprint": null
        }
    },
    "error": null
}</t>
  </si>
  <si>
    <t>{
  "cq_text": "What are all the movies and their counts for each pair of characters that co-appear in multiple movies?",
  "syntax_ok": false,
  "syntax_msg": "No SPARQL form found"
}</t>
  </si>
  <si>
    <t>PREFIX ns1: &lt;http://dbkwik.webdatacommons.org/marvel.wikia.com/property/&gt;
PREFIX rdfs: &lt;http://www.w3.org/2000/01/rdf-schema#&gt;
SELECT ?team ?teamLabel (GROUP_CONCAT(DISTINCT COALESCE(?movieLabel, STR(?movie)); separator=", ") AS ?movies)
WHERE {
  ?member (ns1:teams|ns1:teames) ?team .
  ?member ns1:movies ?movie .
  OPTIONAL { ?team rdfs:label ?teamLabel . }
  OPTIONAL { ?movie rdfs:label ?movieLabel . }
}
GROUP BY ?team ?teamLabel
ORDER BY ?teamLabel ?team</t>
  </si>
  <si>
    <t>{
    "id": "batch_req_692156a7f1288190a0d82cfc97654c6c",
    "custom_id": "cq-25",
    "response": {
        "status_code": 200,
        "request_id": "b5df5d0e1ae7b8f1fab42849735da631",
        "body": {
            "id": "chatcmpl-CeZkXIWtwlz3LGvzouy9mhuFLlezh",
            "object": "chat.completion",
            "created": 1763786577,
            "model": "gpt-5-2025-08-07",
            "choices": [
                {
                    "index": 0,
                    "message": {
                        "role": "assistant",
                        "content": "PREFIX ns1: &lt;http://dbkwik.webdatacommons.org/marvel.wikia.com/property/&gt;\nPREFIX rdfs: &lt;http://www.w3.org/2000/01/rdf-schema#&gt;\n\nSELECT ?team ?teamLabel (GROUP_CONCAT(DISTINCT COALESCE(?movieLabel, STR(?movie)); separator=\", \") AS ?movies)\nWHERE {\n  ?member (ns1:teams|ns1:teames) ?team .\n  ?member ns1:movies ?movie .\n  OPTIONAL { ?team rdfs:label ?teamLabel . }\n  OPTIONAL { ?movie rdfs:label ?movieLabel . }\n}\nGROUP BY ?team ?teamLabel\nORDER BY ?teamLabel ?team",
                        "refusal": null,
                        "annotations": []
                    },
                    "finish_reason": "stop"
                }
            ],
            "usage": {
                "prompt_tokens": 92011,
                "completion_tokens": 2334,
                "total_tokens": 94345,
                "prompt_tokens_details": {
                    "cached_tokens": 0,
                    "audio_tokens": 0
                },
                "completion_tokens_details": {
                    "reasoning_tokens": 2176,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</si>
  <si>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?team ?teamLabel (GROUP_CONCAT(DISTINCT COALESCE(?movieLabel, STR(?movie)); separator=", ") AS ?movies)
WHERE {
  ?member (ns1:teams|ns1:teames) ?team .
  ?member ns1:movies ?movie .
  OPTIONAL { ?team rdfs:label ?teamLabel . }
  OPTIONAL { ?movie rdfs:label ?movieLabel . }
}
GROUP BY ?team ?teamLabel
ORDER BY ?teamLabel ?team</t>
  </si>
  <si>
    <t>{
  "cq_text": "What are all the unions of movies for each of the teams in which any of their members appear (team-level filmography)?",
  "syntax_ok": true,
  "satisfiable": true,
  "deterministic": true,
  "latency": {
    "p50_ms": 42.26,
    "p95_ms": 43.73,
    "mean_ms": 41.57
  },
  "rows": 140,
  "vars": 5,
  "always_unbound_vars": [
    "movieLabel",
    "movie"
  ],
  "lexical_query_overlap": 0.03,
  "semantic_similarity_to_CQ": 0.78,
  "semantic_soft_coverage_to_CQ": 0.78,
  "tuple_cohesion": 0.7,
  "variables": [
    {
      "var": "team",
      "rows": 140,
      "distinct": 137,
      "null_rate": 0.0,
      "label_resolution_rate": 1.0,
      "diversity_entropy_norm": 1.0,
      "semantic_cohesion": 0.59,
      "dup_ratio": 0.02,
      "bound_rate": 1.0
    },
    {
      "var": "teamLabel",
      "rows": 140,
      "distinct": 131,
      "null_rate": 0.06428571428571428,
      "label_resolution_rate": 1.0,
      "diversity_entropy_norm": 1.0,
      "semantic_cohesion": 0.65,
      "dup_ratio": 0.0,
      "bound_rate": 0.9357142857142857
    },
    {
      "var": "movieLabel",
      "rows": 140,
      "distinct": 0,
      "null_rate": 1.0,
      "label_resolution_rate": 0.0,
      "diversity_entropy_norm": 0.0,
      "semantic_cohesion": 1.0,
      "dup_ratio": 0.0,
      "bound_rate": 0.0
    },
    {
      "var": "movie",
      "rows": 140,
      "distinct": 0,
      "null_rate": 1.0,
      "label_resolution_rate": 0.0,
      "diversity_entropy_norm": 0.0,
      "semantic_cohesion": 1.0,
      "dup_ratio": 0.0,
      "bound_rate": 0.0
    },
    {
      "var": "movies",
      "rows": 140,
      "distinct": 59,
      "null_rate": 0.0,
      "label_resolution_rate": 1.0,
      "diversity_entropy_norm": 0.92,
      "semantic_cohesion": 0.71,
      "dup_ratio": 0.58,
      "bound_rate": 1.0
    }
  ]
}</t>
  </si>
  <si>
    <t>["movieLabel", "movie"]</t>
  </si>
  <si>
    <t>[{"var": "team", "rows": 140, "distinct": 137, "null_rate": 0.0, "label_resolution_rate": 1.0, "diversity_entropy_norm": 1.0, "semantic_cohesion": 0.59, "dup_ratio": 0.02, "bound_rate": 1.0}, {"var": "teamLabel", "rows": 140, "distinct": 131, "null_rate": 0.06428571428571428, "label_resolution_rate": 1.0, "diversity_entropy_norm": 1.0, "semantic_cohesion": 0.65, "dup_ratio": 0.0, "bound_rate": 0.9357142857142857}, {"var": "movieLabel", "rows": 140, "distinct": 0, "null_rate": 1.0, "label_resolution_rate": 0.0, "diversity_entropy_norm": 0.0, "semantic_cohesion": 1.0, "dup_ratio": 0.0, "bound_rate": 0.0}, {"var": "movie", "rows": 140, "distinct": 0, "null_rate": 1.0, "label_resolution_rate": 0.0, "diversity_entropy_norm": 0.0, "semantic_cohesion": 1.0, "dup_ratio": 0.0, "bound_rate": 0.0}, {"var": "movies", "rows": 140, "distinct": 59, "null_rate": 0.0, "label_resolution_rate": 1.0, "diversity_entropy_norm": 0.92, "semantic_cohesion": 0.71, "dup_ratio": 0.58, "bound_rate": 1.0}]</t>
  </si>
  <si>
    <t>PREFIX rdf: &lt;http://www.w3.org/1999/02/22-rdf-syntax-ns#&gt;
PREFIX rdfs: &lt;http://www.w3.org/2000/01/rdf-schema#&gt;
PREFIX ns1: &lt;http://dbkwik.webdatacommons.org/marvel.wikia.com/property/&gt;
PREFIX ns2: &lt;http://dbkwik.webdatacommons.org/ontology/&gt;
PREFIX xsd: &lt;http://www.w3.org/2001/XMLSchema#&gt;
SELECT DISTINCT ?character ?powerCount ?popularity
WHERE {
  ?pg rdf:type &lt;http://dbkwik.webdatacommons.org/marvel.wikia.com/class/official_power_grid&gt; ;
      rdfs:label ?pgLabel .
  BIND(STRBEFORE(STR(?pgLabel), "/Power Grid") AS ?character)
  {
    SELECT ?pg (COUNT(?val) AS ?powerCount)
    WHERE {
      ?pg rdf:type &lt;http://dbkwik.webdatacommons.org/marvel.wikia.com/class/official_power_grid&gt; .
      VALUES ?prop { ns1:durability ns1:energyProjection ns1:fightingSkills ns1:intelligence ns1:speed ns1:strength }
      ?pg ?prop ?val .
    }
    GROUP BY ?pg
  }
  OPTIONAL {
    {
      SELECT ?character (COUNT(DISTINCT ?src) AS ?popularity)
      WHERE {
        ?char rdfs:label ?charLabel .
        BIND(STR(?charLabel) AS ?character)
        ?src ns2:wikiPageWikiLink ?char .
      }
      GROUP BY ?character
    }
  }
}
ORDER BY DESC(?popularity) DESC(?powerCount) ?character</t>
  </si>
  <si>
    <t>{
    "id": "batch_req_692156a7f4a88190a41e1ab3bfecb825",
    "custom_id": "cq-26",
    "response": {
        "status_code": 200,
        "request_id": "ffc63d5a3073d6b040e5cbf3a43096a4",
        "body": {
            "id": "chatcmpl-CeZluikxuNGa5hlwKi1fuyaRUtG6j",
            "object": "chat.completion",
            "created": 1763786662,
            "model": "gpt-5-2025-08-07",
            "choices": [
                {
                    "index": 0,
                    "message": {
                        "role": "assistant",
                        "content": "PREFIX rdf: &lt;http://www.w3.org/1999/02/22-rdf-syntax-ns#&gt;\nPREFIX rdfs: &lt;http://www.w3.org/2000/01/rdf-schema#&gt;\nPREFIX ns1: &lt;http://dbkwik.webdatacommons.org/marvel.wikia.com/property/&gt;\nPREFIX ns2: &lt;http://dbkwik.webdatacommons.org/ontology/&gt;\nPREFIX xsd: &lt;http://www.w3.org/2001/XMLSchema#&gt;\n\nSELECT DISTINCT ?character ?powerCount ?popularity\nWHERE {\n  ?pg rdf:type &lt;http://dbkwik.webdatacommons.org/marvel.wikia.com/class/official_power_grid&gt; ;\n      rdfs:label ?pgLabel .\n  BIND(STRBEFORE(STR(?pgLabel), \"/Power Grid\") AS ?character)\n\n  {\n    SELECT ?pg (COUNT(?val) AS ?powerCount)\n    WHERE {\n      ?pg rdf:type &lt;http://dbkwik.webdatacommons.org/marvel.wikia.com/class/official_power_grid&gt; .\n      VALUES ?prop { ns1:durability ns1:energyProjection ns1:fightingSkills ns1:intelligence ns1:speed ns1:strength }\n      ?pg ?prop ?val .\n    }\n    GROUP BY ?pg\n  }\n\n  OPTIONAL {\n    {\n      SELECT ?character (COUNT(DISTINCT ?src) AS ?popularity)\n      WHERE {\n        ?char rdfs:label ?charLabel .\n        BIND(STR(?charLabel) AS ?character)\n        ?src ns2:wikiPageWikiLink ?char .\n      }\n      GROUP BY ?character\n    }\n  }\n}\nORDER BY DESC(?popularity) DESC(?powerCount) ?character",
                        "refusal": null,
                        "annotations": []
                    },
                    "finish_reason": "stop"
                }
            ],
            "usage": {
                "prompt_tokens": 92006,
                "completion_tokens": 5429,
                "total_tokens": 97435,
                "prompt_tokens_details": {
                    "cached_tokens": 0,
                    "audio_tokens": 0
                },
                "completion_tokens_details": {
                    "reasoning_tokens": 5056,
                    "audio_tokens": 0,
                    "accepted_prediction_tokens": 0,
                    "rejected_prediction_tokens": 0
                }
            },
            "service_tier": "default",
            "system_fingerprint": null
        }
    },
    "error": null
}</t>
  </si>
  <si>
    <t>PREFIX dc: &lt;http://purl.org/dc/elements/1.1/&gt;
PREFIX dcterms: &lt;http://purl.org/dc/terms/&gt;
PREFIX foaf: &lt;http://xmlns.com/foaf/0.1/&gt;
PREFIX ns3: &lt;http://dbkwik.webdatacommons.org/marvel.wikia.com/property/%3&gt;
PREFIX ns7: &lt;http://dbkwik.webdatacommons.org/marvel.wikia.com/property/alternate232%60&gt;
PREFIX owl: &lt;http://www.w3.org/2002/07/owl#&gt;
PREFIX skos: &lt;http://www.w3.org/2004/02/skos/core#&gt;
PREFIX rdf: &lt;http://www.w3.org/1999/02/22-rdf-syntax-ns#&gt;
PREFIX rdfs: &lt;http://www.w3.org/2000/01/rdf-schema#&gt;
PREFIX ns1: &lt;http://dbkwik.webdatacommons.org/marvel.wikia.com/property/&gt;
PREFIX ns2: &lt;http://dbkwik.webdatacommons.org/ontology/&gt;
PREFIX xsd: &lt;http://www.w3.org/2001/XMLSchema#&gt;
SELECT DISTINCT ?character ?powerCount ?popularity
WHERE {
  ?pg rdf:type &lt;http://dbkwik.webdatacommons.org/marvel.wikia.com/class/official_power_grid&gt; ;
      rdfs:label ?pgLabel .
  BIND(STRBEFORE(STR(?pgLabel), "/Power Grid") AS ?character)
  {
    SELECT ?pg (COUNT(?val) AS ?powerCount)
    WHERE {
      ?pg rdf:type &lt;http://dbkwik.webdatacommons.org/marvel.wikia.com/class/official_power_grid&gt; .
      VALUES ?prop { ns1:durability ns1:energyProjection ns1:fightingSkills ns1:intelligence ns1:speed ns1:strength }
      ?pg ?prop ?val .
    }
    GROUP BY ?pg
  }
  OPTIONAL {
    {
      SELECT ?character (COUNT(DISTINCT ?src) AS ?popularity)
      WHERE {
        ?char rdfs:label ?charLabel .
        BIND(STR(?charLabel) AS ?character)
        ?src ns2:wikiPageWikiLink ?char .
      }
      GROUP BY ?character
    }
  }
}
ORDER BY DESC(?popularity) DESC(?powerCount) ?character</t>
  </si>
  <si>
    <t>{
  "cq_text": "Who are the distinct characters that possess a power, their counts, and rank-ordered by popularity?",
  "syntax_ok": true,
  "satisfiable": true,
  "deterministic": true,
  "latency": {
    "p50_ms": 13574.02,
    "p95_ms": 14203.98,
    "mean_ms": 13302.51
  },
  "rows": 2859,
  "vars": 3,
  "always_unbound_vars": [],
  "lexical_query_overlap": 0.05,
  "semantic_similarity_to_CQ": 0.65,
  "semantic_soft_coverage_to_CQ": 0.78,
  "tuple_cohesion": 0.94,
  "variables": [
    {
      "var": "character",
      "rows": 2859,
      "distinct": 2859,
      "null_rate": 0.0,
      "label_resolution_rate": 1.0,
      "diversity_entropy_norm": 1.0,
      "semantic_cohesion": 0.79,
      "dup_ratio": 0.0,
      "bound_rate": 1.0
    },
    {
      "var": "powerCount",
      "rows": 2859,
      "distinct": 7,
      "null_rate": 0.0,
      "label_resolution_rate": 1.0,
      "diversity_entropy_norm": 0.01,
      "semantic_cohesion": 0.96,
      "dup_ratio": 1.0,
      "bound_rate": 1.0
    },
    {
      "var": "popularity",
      "rows": 2859,
      "distinct": 519,
      "null_rate": 0.0013990905911157748,
      "label_resolution_rate": 1.0,
      "diversity_entropy_norm": 0.86,
      "semantic_cohesion": 0.96,
      "dup_ratio": 0.82,
      "bound_rate": 0.9986009094088842
    }
  ]
}</t>
  </si>
  <si>
    <t>[{"var": "character", "rows": 2859, "distinct": 2859, "null_rate": 0.0, "label_resolution_rate": 1.0, "diversity_entropy_norm": 1.0, "semantic_cohesion": 0.79, "dup_ratio": 0.0, "bound_rate": 1.0}, {"var": "powerCount", "rows": 2859, "distinct": 7, "null_rate": 0.0, "label_resolution_rate": 1.0, "diversity_entropy_norm": 0.01, "semantic_cohesion": 0.96, "dup_ratio": 1.0, "bound_rate": 1.0}, {"var": "popularity", "rows": 2859, "distinct": 519, "null_rate": 0.0013990905911157748, "label_resolution_rate": 1.0, "diversity_entropy_norm": 0.86, "semantic_cohesion": 0.96, "dup_ratio": 0.82, "bound_rate": 0.9986009094088842}]</t>
  </si>
  <si>
    <t>PREFIX rdfs: &lt;http://www.w3.org/2000/01/rdf-schema#&gt;
PREFIX ns1: &lt;http://dbkwik.webdatacommons.org/marvel.wikia.com/property/&gt;
SELECT DISTINCT ?character ?characterLabel ?teamA ?teamALabel ?teamB ?teamBLabel
WHERE {
  VALUES ?p1 { ns1:teams ns1:group ns1:teames }
  VALUES ?p2 { ns1:teams ns1:group ns1:teames }
  ?character ?p1 ?teamA .
  ?character ?p2 ?teamB .
  FILTER(?teamA != ?teamB)
  FILTER(STR(?teamA) &lt; STR(?teamB))
  OPTIONAL { ?character rdfs:label ?characterLabel . }
  OPTIONAL { ?teamA rdfs:label ?teamALabel . }
  OPTIONAL { ?teamB rdfs:label ?teamBLabel . }
}
ORDER BY ?characterLabel ?teamALabel ?teamBLabel</t>
  </si>
  <si>
    <t>{
    "id": "batch_req_692156a7fb288190819183427defa397",
    "custom_id": "cq-27",
    "response": {
        "status_code": 200,
        "request_id": "bda08a3225d31cf34b5e29f7050e43dd",
        "body": {
            "id": "chatcmpl-CeZhscxY7RoKH5Rqgky6tR9FKFs1v",
            "object": "chat.completion",
            "created": 1763786412,
            "model": "gpt-5-2025-08-07",
            "choices": [
                {
                    "index": 0,
                    "message": {
                        "role": "assistant",
                        "content": "PREFIX rdfs: &lt;http://www.w3.org/2000/01/rdf-schema#&gt;\nPREFIX ns1: &lt;http://dbkwik.webdatacommons.org/marvel.wikia.com/property/&gt;\n\nSELECT DISTINCT ?character ?characterLabel ?teamA ?teamALabel ?teamB ?teamBLabel\nWHERE {\n  VALUES ?p1 { ns1:teams ns1:group ns1:teames }\n  VALUES ?p2 { ns1:teams ns1:group ns1:teames }\n  ?character ?p1 ?teamA .\n  ?character ?p2 ?teamB .\n  FILTER(?teamA != ?teamB)\n  FILTER(STR(?teamA) &lt; STR(?teamB))\n  OPTIONAL { ?character rdfs:label ?characterLabel . }\n  OPTIONAL { ?teamA rdfs:label ?teamALabel . }\n  OPTIONAL { ?teamB rdfs:label ?teamBLabel . }\n}\nORDER BY ?characterLabel ?teamALabel ?teamBLabel",
                        "refusal": null,
                        "annotations": []
                    },
                    "finish_reason": "stop"
                }
            ],
            "usage": {
                "prompt_tokens": 92008,
                "completion_tokens": 2397,
                "total_tokens": 94405,
                "prompt_tokens_details": {
                    "cached_tokens": 0,
                    "audio_tokens": 0
                },
                "completion_tokens_details": {
                    "reasoning_tokens": 2176,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</si>
  <si>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rdfs: &lt;http://www.w3.org/2000/01/rdf-schema#&gt;
PREFIX ns1: &lt;http://dbkwik.webdatacommons.org/marvel.wikia.com/property/&gt;
SELECT DISTINCT ?character ?characterLabel ?teamA ?teamALabel ?teamB ?teamBLabel
WHERE {
  VALUES ?p1 { ns1:teams ns1:group ns1:teames }
  VALUES ?p2 { ns1:teams ns1:group ns1:teames }
  ?character ?p1 ?teamA .
  ?character ?p2 ?teamB .
  FILTER(?teamA != ?teamB)
  FILTER(STR(?teamA) &lt; STR(?teamB))
  OPTIONAL { ?character rdfs:label ?characterLabel . }
  OPTIONAL { ?teamA rdfs:label ?teamALabel . }
  OPTIONAL { ?teamB rdfs:label ?teamBLabel . }
}
ORDER BY ?characterLabel ?teamALabel ?teamBLabel</t>
  </si>
  <si>
    <t>{
  "cq_text": "Who are all the bridge characters that are members of more than one team, and what are those team combinations?",
  "syntax_ok": true,
  "satisfiable": true,
  "deterministic": true,
  "latency": {
    "p50_ms": 54.07,
    "p95_ms": 57.68,
    "mean_ms": 54.81
  },
  "rows": 309,
  "vars": 6,
  "always_unbound_vars": [],
  "lexical_query_overlap": 0.03,
  "semantic_similarity_to_CQ": 0.75,
  "semantic_soft_coverage_to_CQ": 0.76,
  "tuple_cohesion": 0.9,
  "variables": [
    {
      "var": "character",
      "rows": 309,
      "distinct": 54,
      "null_rate": 0.0,
      "label_resolution_rate": 1.0,
      "diversity_entropy_norm": 0.72,
      "semantic_cohesion": 0.55,
      "dup_ratio": 0.83,
      "bound_rate": 1.0
    },
    {
      "var": "characterLabel",
      "rows": 309,
      "distinct": 79,
      "null_rate": 0.0,
      "label_resolution_rate": 1.0,
      "diversity_entropy_norm": 0.83,
      "semantic_cohesion": 0.51,
      "dup_ratio": 0.74,
      "bound_rate": 1.0
    },
    {
      "var": "teamA",
      "rows": 309,
      "distinct": 128,
      "null_rate": 0.0,
      "label_resolution_rate": 1.0,
      "diversity_entropy_norm": 0.94,
      "semantic_cohesion": 0.58,
      "dup_ratio": 0.59,
      "bound_rate": 1.0
    },
    {
      "var": "teamALabel",
      "rows": 309,
      "distinct": 123,
      "null_rate": 0.14563106796116504,
      "label_resolution_rate": 1.0,
      "diversity_entropy_norm": 0.95,
      "semantic_cohesion": 0.68,
      "dup_ratio": 0.53,
      "bound_rate": 0.8543689320388349
    },
    {
      "var": "teamB",
      "rows": 309,
      "distinct": 124,
      "null_rate": 0.0,
      "label_resolution_rate": 1.0,
      "diversity_entropy_norm": 0.94,
      "semantic_cohesion": 0.6,
      "dup_ratio": 0.6,
      "bound_rate": 1.0
    },
    {
      "var": "teamBLabel",
      "rows": 309,
      "distinct": 132,
      "null_rate": 0.0744336569579288,
      "label_resolution_rate": 1.0,
      "diversity_entropy_norm": 0.95,
      "semantic_cohesion": 0.69,
      "dup_ratio": 0.54,
      "bound_rate": 0.9255663430420712
    }
  ]
}</t>
  </si>
  <si>
    <t>[{"var": "character", "rows": 309, "distinct": 54, "null_rate": 0.0, "label_resolution_rate": 1.0, "diversity_entropy_norm": 0.72, "semantic_cohesion": 0.55, "dup_ratio": 0.83, "bound_rate": 1.0}, {"var": "characterLabel", "rows": 309, "distinct": 79, "null_rate": 0.0, "label_resolution_rate": 1.0, "diversity_entropy_norm": 0.83, "semantic_cohesion": 0.51, "dup_ratio": 0.74, "bound_rate": 1.0}, {"var": "teamA", "rows": 309, "distinct": 128, "null_rate": 0.0, "label_resolution_rate": 1.0, "diversity_entropy_norm": 0.94, "semantic_cohesion": 0.58, "dup_ratio": 0.59, "bound_rate": 1.0}, {"var": "teamALabel", "rows": 309, "distinct": 123, "null_rate": 0.14563106796116504, "label_resolution_rate": 1.0, "diversity_entropy_norm": 0.95, "semantic_cohesion": 0.68, "dup_ratio": 0.53, "bound_rate": 0.8543689320388349}, {"var": "teamB", "rows": 309, "distinct": 124, "null_rate": 0.0, "label_resolution_rate": 1.0, "diversity_entropy_norm": 0.94, "semantic_cohesion": 0.6, "dup_ratio": 0.6, "bound_rate": 1.0}, {"var": "teamBLabel", "rows": 309, "distinct": 132, "null_rate": 0.0744336569579288, "label_resolution_rate": 1.0, "diversity_entropy_norm": 0.95, "semantic_cohesion": 0.69, "dup_ratio": 0.54, "bound_rate": 0.9255663430420712}]</t>
  </si>
  <si>
    <t>{
    "id": "batch_req_692156a7f2908190a063d95a98b5ba1e",
    "custom_id": "cq-28",
    "response": {
        "status_code": 200,
        "request_id": "4638c01365c3d6b34d72d31743e4ee41",
        "body": {
            "id": "chatcmpl-CeZqbDl1lKXc6h0X0WW44HTXIMhHJ",
            "object": "chat.completion",
            "created": 1763786953,
            "model": "gpt-5-2025-08-07",
            "choices": [
                {
                    "index": 0,
                    "message": {
                        "role": "assistant",
                        "content": "No valid query can be generated based on the provided schema.",
                        "refusal": null,
                        "annotations": []
                    },
                    "finish_reason": "stop"
                }
            ],
            "usage": {
                "prompt_tokens": 92006,
                "completion_tokens": 1557,
                "total_tokens": 93563,
                "prompt_tokens_details": {
                    "cached_tokens": 0,
                    "audio_tokens": 0
                },
                "completion_tokens_details": {
                    "reasoning_tokens": 1536,
                    "audio_tokens": 0,
                    "accepted_prediction_tokens": 0,
                    "rejected_prediction_tokens": 0
                }
            },
            "service_tier": "default",
            "system_fingerprint": null
        }
    },
    "error": null
}</t>
  </si>
  <si>
    <t>{
  "cq_text": "What are all the sets of characters that have been portrayed across all movies by each of the actors?",
  "syntax_ok": false,
  "syntax_msg": "No SPARQL form found"
}</t>
  </si>
  <si>
    <t>PREFIX rdfs: &lt;http://www.w3.org/2000/01/rdf-schema#&gt;
PREFIX ns1: &lt;http://dbkwik.webdatacommons.org/marvel.wikia.com/property/&gt;
SELECT ?location ?label (COUNT(DISTINCT ?entity) AS ?associationCount)
WHERE {
  { ?entity ns1:placeofbirth ?location . }
  UNION
  { ?entity ns1:baseofoperations ?location . }
  OPTIONAL { ?location rdfs:label ?label . }
}
GROUP BY ?location ?label
HAVING (COUNT(DISTINCT ?entity) &gt; 1)
ORDER BY DESC(?associationCount) ?label</t>
  </si>
  <si>
    <t>{
    "id": "batch_req_692156a7f5148190ab263cf64c0c25dd",
    "custom_id": "cq-29",
    "response": {
        "status_code": 200,
        "request_id": "a5fa245d476c9c06f154e0e252055bff",
        "body": {
            "id": "chatcmpl-CeZpPGE1rsi517n6DvrEuvmjQH2hY",
            "object": "chat.completion",
            "created": 1763786879,
            "model": "gpt-5-2025-08-07",
            "choices": [
                {
                    "index": 0,
                    "message": {
                        "role": "assistant",
                        "content": "PREFIX rdfs: &lt;http://www.w3.org/2000/01/rdf-schema#&gt;\nPREFIX ns1: &lt;http://dbkwik.webdatacommons.org/marvel.wikia.com/property/&gt;\n\nSELECT ?location ?label (COUNT(DISTINCT ?entity) AS ?associationCount)\nWHERE {\n  { ?entity ns1:placeofbirth ?location . }\n  UNION\n  { ?entity ns1:baseofoperations ?location . }\n  OPTIONAL { ?location rdfs:label ?label . }\n}\nGROUP BY ?location ?label\nHAVING (COUNT(DISTINCT ?entity) &gt; 1)\nORDER BY DESC(?associationCount) ?label",
                        "refusal": null,
                        "annotations": []
                    },
                    "finish_reason": "stop"
                }
            ],
            "usage": {
                "prompt_tokens": 92010,
                "completion_tokens": 2516,
                "total_tokens": 94526,
                "prompt_tokens_details": {
                    "cached_tokens": 0,
                    "audio_tokens": 0
                },
                "completion_tokens_details": {
                    "reasoning_tokens": 2368,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</si>
  <si>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rdfs: &lt;http://www.w3.org/2000/01/rdf-schema#&gt;
PREFIX ns1: &lt;http://dbkwik.webdatacommons.org/marvel.wikia.com/property/&gt;
SELECT ?location ?label (COUNT(DISTINCT ?entity) AS ?associationCount)
WHERE {
  { ?entity ns1:placeofbirth ?location . }
  UNION
  { ?entity ns1:baseofoperations ?location . }
  OPTIONAL { ?location rdfs:label ?label . }
}
GROUP BY ?location ?label
HAVING (COUNT(DISTINCT ?entity) &gt; 1)
ORDER BY DESC(?associationCount) ?label</t>
  </si>
  <si>
    <t>{
  "cq_text": "What are all the locations used as settings or associated contexts for multiple movies and/or characters and the counts of those associations?",
  "syntax_ok": true,
  "satisfiable": true,
  "deterministic": true,
  "latency": {
    "p50_ms": 8.73,
    "p95_ms": 8.82,
    "mean_ms": 8.76
  },
  "rows": 0,
  "vars": 4,
  "always_unbound_vars": [
    "location",
    "label",
    "entity",
    "associationCount"
  ],
  "lexical_query_overlap": 0.0,
  "semantic_similarity_to_CQ": 0.65,
  "semantic_soft_coverage_to_CQ": 0.73,
  "tuple_cohesion": null,
  "variables": [
    {
      "var": "location",
      "rows": 0,
      "distinct": 0,
      "null_rate": 1.0,
      "label_resolution_rate": 0.0,
      "diversity_entropy_norm": 0.0,
      "semantic_cohesion": 1.0,
      "dup_ratio": 0.0,
      "bound_rate": 0.0
    },
    {
      "var": "label",
      "rows": 0,
      "distinct": 0,
      "null_rate": 1.0,
      "label_resolution_rate": 0.0,
      "diversity_entropy_norm": 0.0,
      "semantic_cohesion": 1.0,
      "dup_ratio": 0.0,
      "bound_rate": 0.0
    },
    {
      "var": "entity",
      "rows": 0,
      "distinct": 0,
      "null_rate": 1.0,
      "label_resolution_rate": 0.0,
      "diversity_entropy_norm": 0.0,
      "semantic_cohesion": 1.0,
      "dup_ratio": 0.0,
      "bound_rate": 0.0
    },
    {
      "var": "associationCount",
      "rows": 0,
      "distinct": 0,
      "null_rate": 1.0,
      "label_resolution_rate": 0.0,
      "diversity_entropy_norm": 0.0,
      "semantic_cohesion": 1.0,
      "dup_ratio": 0.0,
      "bound_rate": 0.0
    }
  ]
}</t>
  </si>
  <si>
    <t>["location", "label", "entity", "associationCount"]</t>
  </si>
  <si>
    <t>[{"var": "location", "rows": 0, "distinct": 0, "null_rate": 1.0, "label_resolution_rate": 0.0, "diversity_entropy_norm": 0.0, "semantic_cohesion": 1.0, "dup_ratio": 0.0, "bound_rate": 0.0}, {"var": "label", "rows": 0, "distinct": 0, "null_rate": 1.0, "label_resolution_rate": 0.0, "diversity_entropy_norm": 0.0, "semantic_cohesion": 1.0, "dup_ratio": 0.0, "bound_rate": 0.0}, {"var": "entity", "rows": 0, "distinct": 0, "null_rate": 1.0, "label_resolution_rate": 0.0, "diversity_entropy_norm": 0.0, "semantic_cohesion": 1.0, "dup_ratio": 0.0, "bound_rate": 0.0}, {"var": "associationCount", "rows": 0, "distinct": 0, "null_rate": 1.0, "label_resolution_rate": 0.0, "diversity_entropy_norm": 0.0, "semantic_cohesion": 1.0, "dup_ratio": 0.0, "bound_rate": 0.0}]</t>
  </si>
  <si>
    <t>PREFIX ns1: &lt;http://dbkwik.webdatacommons.org/marvel.wikia.com/property/&gt;
PREFIX rdfs: &lt;http://www.w3.org/2000/01/rdf-schema#&gt;
SELECT ?movie ?movieLabel
       (COUNT(DISTINCT ?team) AS ?uniqueTeams)
       (COUNT(DISTINCT ?power) AS ?uniquePowers)
       (COUNT(DISTINCT ?loc) AS ?uniqueLocations)
WHERE {
  ?char ns1:movies ?movie .
  OPTIONAL { ?movie rdfs:label ?movieLabel . }
  OPTIONAL {
    { ?char ns1:teams ?team . }
    UNION
    { ?char ns1:teames ?team . }
  }
  OPTIONAL { ?char ns1:powers ?power . }
  OPTIONAL {
    { ?char ns1:baseofoperations ?loc . }
    UNION
    { ?char ns1:placeofbirth ?loc . }
    UNION
    { ?char ns1:origin ?loc . }
  }
}
GROUP BY ?movie ?movieLabel
ORDER BY ?movie</t>
  </si>
  <si>
    <t>{
    "id": "batch_req_692156a8c8688190913b61c533a09de9",
    "custom_id": "cq-30",
    "response": {
        "status_code": 200,
        "request_id": "1bdbc1c091dcc2e394742e87a2be1b7a",
        "body": {
            "id": "chatcmpl-Cea9DVHZwGrL6OEUjhDxDG4yRB31d",
            "object": "chat.completion",
            "created": 1763788107,
            "model": "gpt-5-2025-08-07",
            "choices": [
                {
                    "index": 0,
                    "message": {
                        "role": "assistant",
                        "content": "PREFIX ns1: &lt;http://dbkwik.webdatacommons.org/marvel.wikia.com/property/&gt;\nPREFIX rdfs: &lt;http://www.w3.org/2000/01/rdf-schema#&gt;\n\nSELECT ?movie ?movieLabel\n       (COUNT(DISTINCT ?team) AS ?uniqueTeams)\n       (COUNT(DISTINCT ?power) AS ?uniquePowers)\n       (COUNT(DISTINCT ?loc) AS ?uniqueLocations)\nWHERE {\n  ?char ns1:movies ?movie .\n  OPTIONAL { ?movie rdfs:label ?movieLabel . }\n  \n  OPTIONAL {\n    { ?char ns1:teams ?team . }\n    UNION\n    { ?char ns1:teames ?team . }\n  }\n  \n  OPTIONAL { ?char ns1:powers ?power . }\n  \n  OPTIONAL {\n    { ?char ns1:baseofoperations ?loc . }\n    UNION\n    { ?char ns1:placeofbirth ?loc . }\n    UNION\n    { ?char ns1:origin ?loc . }\n  }\n}\nGROUP BY ?movie ?movieLabel\nORDER BY ?movie",
                        "refusal": null,
                        "annotations": []
                    },
                    "finish_reason": "stop"
                }
            ],
            "usage": {
                "prompt_tokens": 92010,
                "completion_tokens": 3442,
                "total_tokens": 95452,
                "prompt_tokens_details": {
                    "cached_tokens": 0,
                    "audio_tokens": 0
                },
                "completion_tokens_details": {
                    "reasoning_tokens": 3200,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</si>
  <si>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?movie ?movieLabel
       (COUNT(DISTINCT ?team) AS ?uniqueTeams)
       (COUNT(DISTINCT ?power) AS ?uniquePowers)
       (COUNT(DISTINCT ?loc) AS ?uniqueLocations)
WHERE {
  ?char ns1:movies ?movie .
  OPTIONAL { ?movie rdfs:label ?movieLabel . }
  OPTIONAL {
    { ?char ns1:teams ?team . }
    UNION
    { ?char ns1:teames ?team . }
  }
  OPTIONAL { ?char ns1:powers ?power . }
  OPTIONAL {
    { ?char ns1:baseofoperations ?loc . }
    UNION
    { ?char ns1:placeofbirth ?loc . }
    UNION
    { ?char ns1:origin ?loc . }
  }
}
GROUP BY ?movie ?movieLabel
ORDER BY ?movie</t>
  </si>
  <si>
    <t>{
  "cq_text": "What is the number of unique teams, unique powers, and unique locations represented via their characters for each of the movies?",
  "syntax_ok": true,
  "satisfiable": true,
  "deterministic": true,
  "latency": {
    "p50_ms": 69.61,
    "p95_ms": 81.96,
    "mean_ms": 72.12
  },
  "rows": 391,
  "vars": 8,
  "always_unbound_vars": [
    "team",
    "power",
    "loc"
  ],
  "lexical_query_overlap": 0.0,
  "semantic_similarity_to_CQ": 0.72,
  "semantic_soft_coverage_to_CQ": 0.79,
  "tuple_cohesion": 0.87,
  "variables": [
    {
      "var": "movie",
      "rows": 391,
      "distinct": 363,
      "null_rate": 0.0,
      "label_resolution_rate": 0.9654178674351584,
      "diversity_entropy_norm": 0.99,
      "semantic_cohesion": 0.63,
      "dup_ratio": 0.07,
      "bound_rate": 1.0
    },
    {
      "var": "movieLabel",
      "rows": 391,
      "distinct": 276,
      "null_rate": 0.29411764705882354,
      "label_resolution_rate": 1.0,
      "diversity_entropy_norm": 1.0,
      "semantic_cohesion": 0.73,
      "dup_ratio": 0.0,
      "bound_rate": 0.7058823529411765
    },
    {
      "var": "team",
      "rows": 391,
      "distinct": 0,
      "null_rate": 1.0,
      "label_resolution_rate": 0.0,
      "diversity_entropy_norm": 0.0,
      "semantic_cohesion": 1.0,
      "dup_ratio": 0.0,
      "bound_rate": 0.0
    },
    {
      "var": "uniqueTeams",
      "rows": 391,
      "distinct": 21,
      "null_rate": 0.0,
      "label_resolution_rate": 1.0,
      "diversity_entropy_norm": 0.29,
      "semantic_cohesion": 0.96,
      "dup_ratio": 0.95,
      "bound_rate": 1.0
    },
    {
      "var": "power",
      "rows": 391,
      "distinct": 0,
      "null_rate": 1.0,
      "label_resolution_rate": 0.0,
      "diversity_entropy_norm": 0.0,
      "semantic_cohesion": 1.0,
      "dup_ratio": 0.0,
      "bound_rate": 0.0
    },
    {
      "var": "uniquePowers",
      "rows": 391,
      "distinct": 1,
      "null_rate": 0.0,
      "label_resolution_rate": 1.0,
      "diversity_entropy_norm": -1.0,
      "semantic_cohesion": 1.0,
      "dup_ratio": 1.0,
      "bound_rate": 1.0
    },
    {
      "var": "loc",
      "rows": 391,
      "distinct": 0,
      "null_rate": 1.0,
      "label_resolution_rate": 0.0,
      "diversity_entropy_norm": 0.0,
      "semantic_cohesion": 1.0,
      "dup_ratio": 0.0,
      "bound_rate": 0.0
    },
    {
      "var": "uniqueLocations",
      "rows": 391,
      "distinct": 1,
      "null_rate": 0.0,
      "label_resolution_rate": 1.0,
      "diversity_entropy_norm": -1.0,
      "semantic_cohesion": 1.0,
      "dup_ratio": 1.0,
      "bound_rate": 1.0
    }
  ]
}</t>
  </si>
  <si>
    <t>["team", "power", "loc"]</t>
  </si>
  <si>
    <t>[{"var": "movie", "rows": 391, "distinct": 363, "null_rate": 0.0, "label_resolution_rate": 0.9654178674351584, "diversity_entropy_norm": 0.99, "semantic_cohesion": 0.63, "dup_ratio": 0.07, "bound_rate": 1.0}, {"var": "movieLabel", "rows": 391, "distinct": 276, "null_rate": 0.29411764705882354, "label_resolution_rate": 1.0, "diversity_entropy_norm": 1.0, "semantic_cohesion": 0.73, "dup_ratio": 0.0, "bound_rate": 0.7058823529411765}, {"var": "team", "rows": 391, "distinct": 0, "null_rate": 1.0, "label_resolution_rate": 0.0, "diversity_entropy_norm": 0.0, "semantic_cohesion": 1.0, "dup_ratio": 0.0, "bound_rate": 0.0}, {"var": "uniqueTeams", "rows": 391, "distinct": 21, "null_rate": 0.0, "label_resolution_rate": 1.0, "diversity_entropy_norm": 0.29, "semantic_cohesion": 0.96, "dup_ratio": 0.95, "bound_rate": 1.0}, {"var": "power", "rows": 391, "distinct": 0, "null_rate": 1.0, "label_resolution_rate": 0.0, "diversity_entropy_norm": 0.0, "semantic_cohesion": 1.0, "dup_ratio": 0.0, "bound_rate": 0.0}, {"var": "uniquePowers", "rows": 391, "distinct": 1, "null_rate": 0.0, "label_resolution_rate": 1.0, "diversity_entropy_norm": -1.0, "semantic_cohesion": 1.0, "dup_ratio": 1.0, "bound_rate": 1.0}, {"var": "loc", "rows": 391, "distinct": 0, "null_rate": 1.0, "label_resolution_rate": 0.0, "diversity_entropy_norm": 0.0, "semantic_cohesion": 1.0, "dup_ratio": 0.0, "bound_rate": 0.0}, {"var": "uniqueLocations", "rows": 391, "distinct": 1, "null_rate": 0.0, "label_resolution_rate": 1.0, "diversity_entropy_norm": -1.0, "semantic_cohesion": 1.0, "dup_ratio": 1.0, "bound_rate": 1.0}]</t>
  </si>
  <si>
    <t>PREFIX ns1: &lt;http://dbkwik.webdatacommons.org/marvel.wikia.com/property/&gt;
PREFIX rdfs: &lt;http://www.w3.org/2000/01/rdf-schema#&gt;
SELECT DISTINCT ?character ?characterLabel ?coCharacter ?coCharacterLabel ?sharedMovie
WHERE {
  ?character ns1:movies ?sharedMovie .
  ?coCharacter ns1:movies ?sharedMovie .
  FILTER(?character != ?coCharacter)
  FILTER(STR(?character) &lt; STR(?coCharacter))
  OPTIONAL { ?character rdfs:label ?characterLabel . }
  OPTIONAL { ?coCharacter rdfs:label ?coCharacterLabel . }
}
ORDER BY ?character ?coCharacter</t>
  </si>
  <si>
    <t>{
    "id": "batch_req_692156a8d0148190a476a008766fb168",
    "custom_id": "cq-31",
    "response": {
        "status_code": 200,
        "request_id": "62bd8e7a047009eb282a03082cfa8195",
        "body": {
            "id": "chatcmpl-CeZjIVoZs63UlVDWLza8J22WCvQEL",
            "object": "chat.completion",
            "created": 1763786500,
            "model": "gpt-5-2025-08-07",
            "choices": [
                {
                    "index": 0,
                    "message": {
                        "role": "assistant",
                        "content": "PREFIX ns1: &lt;http://dbkwik.webdatacommons.org/marvel.wikia.com/property/&gt;\nPREFIX rdfs: &lt;http://www.w3.org/2000/01/rdf-schema#&gt;\n\nSELECT DISTINCT ?character ?characterLabel ?coCharacter ?coCharacterLabel ?sharedMovie\nWHERE {\n  ?character ns1:movies ?sharedMovie .\n  ?coCharacter ns1:movies ?sharedMovie .\n  FILTER(?character != ?coCharacter)\n  FILTER(STR(?character) &lt; STR(?coCharacter))\n  OPTIONAL { ?character rdfs:label ?characterLabel . }\n  OPTIONAL { ?coCharacter rdfs:label ?coCharacterLabel . }\n}\nORDER BY ?character ?coCharacter",
                        "refusal": null,
                        "annotations": []
                    },
                    "finish_reason": "stop"
                }
            ],
            "usage": {
                "prompt_tokens": 92009,
                "completion_tokens": 3932,
                "total_tokens": 95941,
                "prompt_tokens_details": {
                    "cached_tokens": 0,
                    "audio_tokens": 0
                },
                "completion_tokens_details": {
                    "reasoning_tokens": 3776,
                    "audio_tokens": 0,
                    "accepted_prediction_tokens": 0,
                    "rejected_prediction_tokens": 0
                }
            },
            "service_tier": "default",
            "system_fingerprint": null
        }
    },
    "error": null
}</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</si>
  <si>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xsd: &lt;http://www.w3.org/2001/XMLSchema#&gt;
PREFIX ns1: &lt;http://dbkwik.webdatacommons.org/marvel.wikia.com/property/&gt;
PREFIX rdfs: &lt;http://www.w3.org/2000/01/rdf-schema#&gt;
SELECT DISTINCT ?character ?characterLabel ?coCharacter ?coCharacterLabel ?sharedMovie
WHERE {
  ?character ns1:movies ?sharedMovie .
  ?coCharacter ns1:movies ?sharedMovie .
  FILTER(?character != ?coCharacter)
  FILTER(STR(?character) &lt; STR(?coCharacter))
  OPTIONAL { ?character rdfs:label ?characterLabel . }
  OPTIONAL { ?coCharacter rdfs:label ?coCharacterLabel . }
}
ORDER BY ?character ?coCharacter</t>
  </si>
  <si>
    <t>{
  "cq_text": "Who are all the other characters connected via shared movie appearances for each of the characters (character co-appearance network)?",
  "syntax_ok": true,
  "satisfiable": true,
  "deterministic": true,
  "latency": {
    "p50_ms": 2398.86,
    "p95_ms": 2659.87,
    "mean_ms": 2475.61
  },
  "rows": 38889,
  "vars": 5,
  "always_unbound_vars": [],
  "lexical_query_overlap": 0.12,
  "semantic_similarity_to_CQ": 0.72,
  "semantic_soft_coverage_to_CQ": 0.79,
  "tuple_cohesion": 0.93,
  "variables": [
    {
      "var": "character",
      "rows": 38889,
      "distinct": 273,
      "null_rate": 0.0,
      "label_resolution_rate": 1.0,
      "diversity_entropy_norm": 0.87,
      "semantic_cohesion": 0.66,
      "dup_ratio": 0.99,
      "bound_rate": 1.0
    },
    {
      "var": "characterLabel",
      "rows": 38889,
      "distinct": 496,
      "null_rate": 0.0,
      "label_resolution_rate": 1.0,
      "diversity_entropy_norm": 0.92,
      "semantic_cohesion": 0.55,
      "dup_ratio": 0.99,
      "bound_rate": 1.0
    },
    {
      "var": "coCharacter",
      "rows": 38889,
      "distinct": 276,
      "null_rate": 0.0,
      "label_resolution_rate": 1.0,
      "diversity_entropy_norm": 0.86,
      "semantic_cohesion": 0.67,
      "dup_ratio": 0.99,
      "bound_rate": 1.0
    },
    {
      "var": "coCharacterLabel",
      "rows": 38889,
      "distinct": 497,
      "null_rate": 0.0,
      "label_resolution_rate": 1.0,
      "diversity_entropy_norm": 0.92,
      "semantic_cohesion": 0.56,
      "dup_ratio": 0.99,
      "bound_rate": 1.0
    },
    {
      "var": "sharedMovie",
      "rows": 38889,
      "distinct": 38,
      "null_rate": 0.0,
      "label_resolution_rate": 0.9230769230769231,
      "diversity_entropy_norm": 0.21,
      "semantic_cohesion": 0.81,
      "dup_ratio": 1.0,
      "bound_rate": 1.0
    }
  ]
}</t>
  </si>
  <si>
    <t>[{"var": "character", "rows": 38889, "distinct": 273, "null_rate": 0.0, "label_resolution_rate": 1.0, "diversity_entropy_norm": 0.87, "semantic_cohesion": 0.66, "dup_ratio": 0.99, "bound_rate": 1.0}, {"var": "characterLabel", "rows": 38889, "distinct": 496, "null_rate": 0.0, "label_resolution_rate": 1.0, "diversity_entropy_norm": 0.92, "semantic_cohesion": 0.55, "dup_ratio": 0.99, "bound_rate": 1.0}, {"var": "coCharacter", "rows": 38889, "distinct": 276, "null_rate": 0.0, "label_resolution_rate": 1.0, "diversity_entropy_norm": 0.86, "semantic_cohesion": 0.67, "dup_ratio": 0.99, "bound_rate": 1.0}, {"var": "coCharacterLabel", "rows": 38889, "distinct": 497, "null_rate": 0.0, "label_resolution_rate": 1.0, "diversity_entropy_norm": 0.92, "semantic_cohesion": 0.56, "dup_ratio": 0.99, "bound_rate": 1.0}, {"var": "sharedMovie", "rows": 38889, "distinct": 38, "null_rate": 0.0, "label_resolution_rate": 0.9230769230769231, "diversity_entropy_norm": 0.21, "semantic_cohesion": 0.81, "dup_ratio": 1.0, "bound_rate": 1.0}]</t>
  </si>
  <si>
    <t>PREFIX dcterms: &lt;http://purl.org/dc/terms/&gt;
PREFIX ns1: &lt;http://dbkwik.webdatacommons.org/marvel.wikia.com/property/&gt;
PREFIX rdfs: &lt;http://www.w3.org/2000/01/rdf-schema#&gt;
PREFIX xsd: &lt;http://www.w3.org/2001/XMLSchema#&gt;
SELECT ?team ?teamLabel ?power ?powerLabel ?memberCount ?teamSize (xsd:decimal(?memberCount)/xsd:decimal(?teamSize) AS ?prevalence)
WHERE {
  {
    SELECT ?team ?power (COUNT(DISTINCT ?member) AS ?memberCount)
    WHERE {
      {
        { ?member ns1:teams ?team }
        UNION { ?member ns1:group ?team }
        UNION { ?member ns1:teames ?team }
      }
      ?member dcterms:subject ?power .
      FILTER(STRSTARTS(STR(?power), "http://dbkwik.webdatacommons.org/marvel.wikia.com/resource/Category:"))
    }
    GROUP BY ?team ?power
  }
  OPTIONAL { ?team rdfs:label ?teamLabel . }
  OPTIONAL { ?power rdfs:label ?powerLabel . }
  {
    SELECT ?team (COUNT(DISTINCT ?m2) AS ?teamSize)
    WHERE {
      {
        { ?m2 ns1:teams ?team }
        UNION { ?m2 ns1:group ?team }
        UNION { ?m2 ns1:teames ?team }
      }
    }
    GROUP BY ?team
  }
}
ORDER BY ?teamLabel ?powerLabel</t>
  </si>
  <si>
    <t>{
    "id": "batch_req_692156a8cf308190a6f692aa84878c2d",
    "custom_id": "cq-32",
    "response": {
        "status_code": 200,
        "request_id": "b2de78fdc7a1e7b307ee2b04372f241c",
        "body": {
            "id": "chatcmpl-CeZiEmD2PAZdyw04O1o0mO1Qoxezn",
            "object": "chat.completion",
            "created": 1763786434,
            "model": "gpt-5-2025-08-07",
            "choices": [
                {
                    "index": 0,
                    "message": {
                        "role": "assistant",
                        "content": "PREFIX dcterms: &lt;http://purl.org/dc/terms/&gt;\nPREFIX ns1: &lt;http://dbkwik.webdatacommons.org/marvel.wikia.com/property/&gt;\nPREFIX rdfs: &lt;http://www.w3.org/2000/01/rdf-schema#&gt;\nPREFIX xsd: &lt;http://www.w3.org/2001/XMLSchema#&gt;\n\nSELECT ?team ?teamLabel ?power ?powerLabel ?memberCount ?teamSize (xsd:decimal(?memberCount)/xsd:decimal(?teamSize) AS ?prevalence)\nWHERE {\n  {\n    SELECT ?team ?power (COUNT(DISTINCT ?member) AS ?memberCount)\n    WHERE {\n      {\n        { ?member ns1:teams ?team }\n        UNION { ?member ns1:group ?team }\n        UNION { ?member ns1:teames ?team }\n      }\n      ?member dcterms:subject ?power .\n      FILTER(STRSTARTS(STR(?power), \"http://dbkwik.webdatacommons.org/marvel.wikia.com/resource/Category:\"))\n    }\n    GROUP BY ?team ?power\n  }\n  OPTIONAL { ?team rdfs:label ?teamLabel . }\n  OPTIONAL { ?power rdfs:label ?powerLabel . }\n  {\n    SELECT ?team (COUNT(DISTINCT ?m2) AS ?teamSize)\n    WHERE {\n      {\n        { ?m2 ns1:teams ?team }\n        UNION { ?m2 ns1:group ?team }\n        UNION { ?m2 ns1:teames ?team }\n      }\n    }\n    GROUP BY ?team\n  }\n}\nORDER BY ?teamLabel ?powerLabel",
                        "refusal": null,
                        "annotations": []
                    },
                    "finish_reason": "stop"
                }
            ],
            "usage": {
                "prompt_tokens": 92022,
                "completion_tokens": 3177,
                "total_tokens": 95199,
                "prompt_tokens_details": {
                    "cached_tokens": 0,
                    "audio_tokens": 0
                },
                "completion_tokens_details": {
                    "reasoning_tokens": 2816,
                    "audio_tokens": 0,
                    "accepted_prediction_tokens": 0,
                    "rejected_prediction_tokens": 0
                }
            },
            "service_tier": "default",
            "system_fingerprint": null
        }
    },
    "error": null
}</t>
  </si>
  <si>
    <t>PREFIX dc: &lt;http://purl.org/dc/elements/1.1/&gt;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skos: &lt;http://www.w3.org/2004/02/skos/core#&gt;
PREFIX dcterms: &lt;http://purl.org/dc/terms/&gt;
PREFIX ns1: &lt;http://dbkwik.webdatacommons.org/marvel.wikia.com/property/&gt;
PREFIX rdfs: &lt;http://www.w3.org/2000/01/rdf-schema#&gt;
PREFIX xsd: &lt;http://www.w3.org/2001/XMLSchema#&gt;
SELECT ?team ?teamLabel ?power ?powerLabel ?memberCount ?teamSize (xsd:decimal(?memberCount)/xsd:decimal(?teamSize) AS ?prevalence)
WHERE {
  {
    SELECT ?team ?power (COUNT(DISTINCT ?member) AS ?memberCount)
    WHERE {
      {
        { ?member ns1:teams ?team }
        UNION { ?member ns1:group ?team }
        UNION { ?member ns1:teames ?team }
      }
      ?member dcterms:subject ?power .
      FILTER(STRSTARTS(STR(?power), "http://dbkwik.webdatacommons.org/marvel.wikia.com/resource/Category:"))
    }
    GROUP BY ?team ?power
  }
  OPTIONAL { ?team rdfs:label ?teamLabel . }
  OPTIONAL { ?power rdfs:label ?powerLabel . }
  {
    SELECT ?team (COUNT(DISTINCT ?m2) AS ?teamSize)
    WHERE {
      {
        { ?m2 ns1:teams ?team }
        UNION { ?m2 ns1:group ?team }
        UNION { ?m2 ns1:teames ?team }
      }
    }
    GROUP BY ?team
  }
}
ORDER BY ?teamLabel ?powerLabel</t>
  </si>
  <si>
    <t>{
  "cq_text": "What are all the distributions of powers among each team's members, grouped by teams,  for comparing teams for computability (e.g., which powers are most characteristic of each team)?",
  "syntax_ok": true,
  "satisfiable": true,
  "deterministic": true,
  "latency": {
    "p50_ms": 23.03,
    "p95_ms": 24.12,
    "mean_ms": 21.76
  },
  "rows": 12,
  "vars": 9,
  "always_unbound_vars": [],
  "lexical_query_overlap": 0.07,
  "semantic_similarity_to_CQ": 0.67,
  "semantic_soft_coverage_to_CQ": 0.79,
  "tuple_cohesion": 0.86,
  "variables": [
    {
      "var": "team",
      "rows": 12,
      "distinct": 12,
      "null_rate": 0.0,
      "label_resolution_rate": 1.0,
      "diversity_entropy_norm": 1.0,
      "semantic_cohesion": 0.52,
      "dup_ratio": 0.0,
      "bound_rate": 1.0
    },
    {
      "var": "teamLabel",
      "rows": 12,
      "distinct": 11,
      "null_rate": 0.08333333333333333,
      "label_resolution_rate": 1.0,
      "diversity_entropy_norm": 1.0,
      "semantic_cohesion": 0.54,
      "dup_ratio": 0.0,
      "bound_rate": 0.9166666666666666
    },
    {
      "var": "power",
      "rows": 12,
      "distinct": 3,
      "null_rate": 0.0,
      "label_resolution_rate": 1.0,
      "diversity_entropy_norm": 0.66,
      "semantic_cohesion": 0.2,
      "dup_ratio": 0.75,
      "bound_rate": 1.0
    },
    {
      "var": "powerLabel",
      "rows": 12,
      "distinct": 3,
      "null_rate": 0.0,
      "label_resolution_rate": 1.0,
      "diversity_entropy_norm": 0.66,
      "semantic_cohesion": 0.2,
      "dup_ratio": 0.75,
      "bound_rate": 1.0
    },
    {
      "var": "memberCount",
      "rows": 12,
      "distinct": 1,
      "null_rate": -1.0,
      "label_resolution_rate": 1.0,
      "diversity_entropy_norm": -1.0,
      "semantic_cohesion": 1.0,
      "dup_ratio": 0.96,
      "bound_rate": 2.0
    },
    {
      "var": "teamSize",
      "rows": 12,
      "distinct": 1,
      "null_rate": -1.0,
      "label_resolution_rate": 1.0,
      "diversity_entropy_norm": -1.0,
      "semantic_cohesion": 1.0,
      "dup_ratio": 0.96,
      "bound_rate": 2.0
    },
    {
      "var": "memberCount",
      "rows": 12,
      "distinct": 1,
      "null_rate": -1.0,
      "label_resolution_rate": 1.0,
      "diversity_entropy_norm": -1.0,
      "semantic_cohesion": 1.0,
      "dup_ratio": 0.96,
      "bound_rate": 2.0
    },
    {
      "var": "teamSize",
      "rows": 12,
      "distinct": 1,
      "null_rate": -1.0,
      "label_resolution_rate": 1.0,
      "diversity_entropy_norm": -1.0,
      "semantic_cohesion": 1.0,
      "dup_ratio": 0.96,
      "bound_rate": 2.0
    },
    {
      "var": "prevalence",
      "rows": 12,
      "distinct": 1,
      "null_rate": 0.0,
      "label_resolution_rate": 1.0,
      "diversity_entropy_norm": -1.0,
      "semantic_cohesion": 1.0,
      "dup_ratio": 0.92,
      "bound_rate": 1.0
    }
  ]
}</t>
  </si>
  <si>
    <t>[{"var": "team", "rows": 12, "distinct": 12, "null_rate": 0.0, "label_resolution_rate": 1.0, "diversity_entropy_norm": 1.0, "semantic_cohesion": 0.52, "dup_ratio": 0.0, "bound_rate": 1.0}, {"var": "teamLabel", "rows": 12, "distinct": 11, "null_rate": 0.08333333333333333, "label_resolution_rate": 1.0, "diversity_entropy_norm": 1.0, "semantic_cohesion": 0.54, "dup_ratio": 0.0, "bound_rate": 0.9166666666666666}, {"var": "power", "rows": 12, "distinct": 3, "null_rate": 0.0, "label_resolution_rate": 1.0, "diversity_entropy_norm": 0.66, "semantic_cohesion": 0.2, "dup_ratio": 0.75, "bound_rate": 1.0}, {"var": "powerLabel", "rows": 12, "distinct": 3, "null_rate": 0.0, "label_resolution_rate": 1.0, "diversity_entropy_norm": 0.66, "semantic_cohesion": 0.2, "dup_ratio": 0.75, "bound_rate": 1.0}, {"var": "memberCount", "rows": 12, "distinct": 1, "null_rate": -1.0, "label_resolution_rate": 1.0, "diversity_entropy_norm": -1.0, "semantic_cohesion": 1.0, "dup_ratio": 0.96, "bound_rate": 2.0}, {"var": "teamSize", "rows": 12, "distinct": 1, "null_rate": -1.0, "label_resolution_rate": 1.0, "diversity_entropy_norm": -1.0, "semantic_cohesion": 1.0, "dup_ratio": 0.96, "bound_rate": 2.0}, {"var": "memberCount", "rows": 12, "distinct": 1, "null_rate": -1.0, "label_resolution_rate": 1.0, "diversity_entropy_norm": -1.0, "semantic_cohesion": 1.0, "dup_ratio": 0.96, "bound_rate": 2.0}, {"var": "teamSize", "rows": 12, "distinct": 1, "null_rate": -1.0, "label_resolution_rate": 1.0, "diversity_entropy_norm": -1.0, "semantic_cohesion": 1.0, "dup_ratio": 0.96, "bound_rate": 2.0}, {"var": "prevalence", "rows": 12, "distinct": 1, "null_rate": 0.0, "label_resolution_rate": 1.0, "diversity_entropy_norm": -1.0, "semantic_cohesion": 1.0, "dup_ratio": 0.92, "bound_rate":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</si>
</sst>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M9" sqref="M9"/>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107</v>
      </c>
      <c r="D2" t="s">
        <v>108</v>
      </c>
      <c r="E2" t="s">
        <v>109</v>
      </c>
      <c r="F2" t="s">
        <v>110</v>
      </c>
      <c r="G2" t="b">
        <v>1</v>
      </c>
      <c r="H2" t="b">
        <v>1</v>
      </c>
      <c r="I2" t="b">
        <v>1</v>
      </c>
      <c r="J2">
        <v>1</v>
      </c>
      <c r="K2">
        <v>2</v>
      </c>
      <c r="L2">
        <v>7.97</v>
      </c>
      <c r="M2">
        <v>8.0399999999999991</v>
      </c>
      <c r="N2">
        <v>7.97</v>
      </c>
      <c r="O2">
        <v>0</v>
      </c>
      <c r="P2">
        <v>0.68</v>
      </c>
      <c r="Q2">
        <v>0.75</v>
      </c>
      <c r="R2">
        <v>1</v>
      </c>
      <c r="S2" t="s">
        <v>27</v>
      </c>
      <c r="T2" t="s">
        <v>111</v>
      </c>
      <c r="U2" t="s">
        <v>28</v>
      </c>
      <c r="V2">
        <v>1</v>
      </c>
      <c r="W2">
        <v>1</v>
      </c>
      <c r="X2">
        <v>1</v>
      </c>
      <c r="Y2">
        <v>0</v>
      </c>
    </row>
    <row r="3" spans="1:25" x14ac:dyDescent="0.2">
      <c r="A3" t="s">
        <v>29</v>
      </c>
      <c r="B3" t="s">
        <v>30</v>
      </c>
      <c r="C3" t="s">
        <v>112</v>
      </c>
      <c r="D3" t="s">
        <v>113</v>
      </c>
      <c r="E3" t="s">
        <v>114</v>
      </c>
      <c r="F3" t="s">
        <v>115</v>
      </c>
      <c r="G3" t="b">
        <v>1</v>
      </c>
      <c r="H3" t="b">
        <v>1</v>
      </c>
      <c r="I3" t="b">
        <v>1</v>
      </c>
      <c r="J3">
        <v>1472</v>
      </c>
      <c r="K3">
        <v>3</v>
      </c>
      <c r="L3">
        <v>120.06</v>
      </c>
      <c r="M3">
        <v>120.21</v>
      </c>
      <c r="N3">
        <v>117.78</v>
      </c>
      <c r="O3">
        <v>7.0000000000000007E-2</v>
      </c>
      <c r="P3">
        <v>0.71</v>
      </c>
      <c r="Q3">
        <v>0.75</v>
      </c>
      <c r="R3">
        <v>0.74</v>
      </c>
      <c r="S3" t="s">
        <v>27</v>
      </c>
      <c r="T3" t="s">
        <v>116</v>
      </c>
      <c r="U3" t="s">
        <v>28</v>
      </c>
      <c r="V3">
        <v>1</v>
      </c>
      <c r="W3">
        <v>1</v>
      </c>
      <c r="X3">
        <v>1</v>
      </c>
      <c r="Y3">
        <v>0.6544444444444445</v>
      </c>
    </row>
    <row r="4" spans="1:25" x14ac:dyDescent="0.2">
      <c r="A4" t="s">
        <v>31</v>
      </c>
      <c r="B4" t="s">
        <v>32</v>
      </c>
      <c r="C4" t="s">
        <v>117</v>
      </c>
      <c r="D4" t="s">
        <v>118</v>
      </c>
      <c r="E4" t="s">
        <v>119</v>
      </c>
      <c r="F4" t="s">
        <v>120</v>
      </c>
      <c r="G4" t="b">
        <v>1</v>
      </c>
      <c r="H4" t="b">
        <v>1</v>
      </c>
      <c r="I4" t="b">
        <v>1</v>
      </c>
      <c r="J4">
        <v>2</v>
      </c>
      <c r="K4">
        <v>4</v>
      </c>
      <c r="L4">
        <v>4.17</v>
      </c>
      <c r="M4">
        <v>4.3899999999999997</v>
      </c>
      <c r="N4">
        <v>4.1100000000000003</v>
      </c>
      <c r="O4">
        <v>0.03</v>
      </c>
      <c r="P4">
        <v>0.76</v>
      </c>
      <c r="Q4">
        <v>0.78</v>
      </c>
      <c r="R4">
        <v>0.98</v>
      </c>
      <c r="S4" t="s">
        <v>27</v>
      </c>
      <c r="T4" t="s">
        <v>121</v>
      </c>
      <c r="U4" t="s">
        <v>28</v>
      </c>
      <c r="V4">
        <v>1</v>
      </c>
      <c r="W4">
        <v>1</v>
      </c>
      <c r="X4">
        <v>1</v>
      </c>
      <c r="Y4">
        <v>6.9999999999999993E-2</v>
      </c>
    </row>
    <row r="5" spans="1:25" x14ac:dyDescent="0.2">
      <c r="A5" t="s">
        <v>33</v>
      </c>
      <c r="B5" t="s">
        <v>34</v>
      </c>
      <c r="C5" t="s">
        <v>122</v>
      </c>
      <c r="D5" t="s">
        <v>123</v>
      </c>
      <c r="E5" t="s">
        <v>124</v>
      </c>
      <c r="F5" t="s">
        <v>125</v>
      </c>
      <c r="G5" t="b">
        <v>1</v>
      </c>
      <c r="H5" t="b">
        <v>1</v>
      </c>
      <c r="I5" t="b">
        <v>1</v>
      </c>
      <c r="J5">
        <v>1</v>
      </c>
      <c r="K5">
        <v>4</v>
      </c>
      <c r="L5">
        <v>11.41</v>
      </c>
      <c r="M5">
        <v>19.420000000000002</v>
      </c>
      <c r="N5">
        <v>13.8</v>
      </c>
      <c r="O5">
        <v>7.0000000000000007E-2</v>
      </c>
      <c r="P5">
        <v>0.67</v>
      </c>
      <c r="Q5">
        <v>0.74</v>
      </c>
      <c r="R5">
        <v>1</v>
      </c>
      <c r="S5" t="s">
        <v>27</v>
      </c>
      <c r="T5" t="s">
        <v>126</v>
      </c>
      <c r="U5" t="s">
        <v>28</v>
      </c>
      <c r="V5">
        <v>1</v>
      </c>
      <c r="W5">
        <v>1</v>
      </c>
      <c r="X5">
        <v>1</v>
      </c>
      <c r="Y5">
        <v>0</v>
      </c>
    </row>
    <row r="6" spans="1:25" x14ac:dyDescent="0.2">
      <c r="A6" t="s">
        <v>35</v>
      </c>
      <c r="B6" t="s">
        <v>36</v>
      </c>
      <c r="C6" t="s">
        <v>127</v>
      </c>
      <c r="D6" t="s">
        <v>128</v>
      </c>
      <c r="E6" t="s">
        <v>129</v>
      </c>
      <c r="F6" t="s">
        <v>130</v>
      </c>
      <c r="G6" t="b">
        <v>1</v>
      </c>
      <c r="H6" t="b">
        <v>1</v>
      </c>
      <c r="I6" t="b">
        <v>1</v>
      </c>
      <c r="J6">
        <v>3</v>
      </c>
      <c r="K6">
        <v>5</v>
      </c>
      <c r="L6">
        <v>19.36</v>
      </c>
      <c r="M6">
        <v>22.78</v>
      </c>
      <c r="N6">
        <v>17.190000000000001</v>
      </c>
      <c r="O6">
        <v>0.05</v>
      </c>
      <c r="P6">
        <v>0.7</v>
      </c>
      <c r="Q6">
        <v>0.79</v>
      </c>
      <c r="R6">
        <v>0.84</v>
      </c>
      <c r="S6" t="s">
        <v>27</v>
      </c>
      <c r="T6" t="s">
        <v>131</v>
      </c>
      <c r="U6" t="s">
        <v>28</v>
      </c>
      <c r="V6">
        <v>1</v>
      </c>
      <c r="W6">
        <v>1</v>
      </c>
      <c r="X6">
        <v>1</v>
      </c>
      <c r="Y6">
        <v>0.1946666666666666</v>
      </c>
    </row>
    <row r="7" spans="1:25" x14ac:dyDescent="0.2">
      <c r="A7" t="s">
        <v>37</v>
      </c>
      <c r="B7" t="s">
        <v>38</v>
      </c>
      <c r="C7" t="s">
        <v>132</v>
      </c>
      <c r="D7" t="s">
        <v>133</v>
      </c>
      <c r="E7" t="s">
        <v>134</v>
      </c>
      <c r="F7" t="s">
        <v>135</v>
      </c>
      <c r="G7" t="b">
        <v>1</v>
      </c>
      <c r="H7" t="b">
        <v>1</v>
      </c>
      <c r="I7" t="b">
        <v>1</v>
      </c>
      <c r="J7">
        <v>125</v>
      </c>
      <c r="K7">
        <v>4</v>
      </c>
      <c r="L7">
        <v>597.16999999999996</v>
      </c>
      <c r="M7">
        <v>1338.06</v>
      </c>
      <c r="N7">
        <v>828.47</v>
      </c>
      <c r="O7">
        <v>0.02</v>
      </c>
      <c r="P7">
        <v>0.67</v>
      </c>
      <c r="Q7">
        <v>0.79</v>
      </c>
      <c r="R7">
        <v>0.82</v>
      </c>
      <c r="S7" t="s">
        <v>136</v>
      </c>
      <c r="T7" t="s">
        <v>137</v>
      </c>
      <c r="U7" t="s">
        <v>28</v>
      </c>
      <c r="V7">
        <v>1</v>
      </c>
      <c r="W7">
        <v>0.5</v>
      </c>
      <c r="X7">
        <v>0.75</v>
      </c>
      <c r="Y7">
        <v>0.53</v>
      </c>
    </row>
    <row r="8" spans="1:25" x14ac:dyDescent="0.2">
      <c r="A8" t="s">
        <v>39</v>
      </c>
      <c r="B8" t="s">
        <v>40</v>
      </c>
      <c r="C8" t="s">
        <v>138</v>
      </c>
      <c r="D8" t="s">
        <v>139</v>
      </c>
      <c r="E8" t="s">
        <v>140</v>
      </c>
      <c r="F8" t="s">
        <v>141</v>
      </c>
      <c r="G8" t="b">
        <v>0</v>
      </c>
      <c r="H8" t="b">
        <v>0</v>
      </c>
      <c r="I8" t="b">
        <v>0</v>
      </c>
      <c r="J8">
        <v>0</v>
      </c>
      <c r="K8">
        <v>0</v>
      </c>
      <c r="O8">
        <v>0</v>
      </c>
      <c r="P8">
        <v>0</v>
      </c>
      <c r="Q8">
        <v>0</v>
      </c>
      <c r="R8">
        <v>0</v>
      </c>
      <c r="S8" t="s">
        <v>27</v>
      </c>
      <c r="T8" t="s">
        <v>27</v>
      </c>
      <c r="U8" t="s">
        <v>28</v>
      </c>
      <c r="V8">
        <v>0</v>
      </c>
      <c r="W8">
        <v>0</v>
      </c>
      <c r="X8">
        <v>0</v>
      </c>
      <c r="Y8">
        <v>0</v>
      </c>
    </row>
    <row r="9" spans="1:25" x14ac:dyDescent="0.2">
      <c r="A9" t="s">
        <v>41</v>
      </c>
      <c r="B9" t="s">
        <v>42</v>
      </c>
      <c r="C9" t="s">
        <v>142</v>
      </c>
      <c r="D9" t="s">
        <v>143</v>
      </c>
      <c r="E9" t="s">
        <v>144</v>
      </c>
      <c r="F9" t="s">
        <v>145</v>
      </c>
      <c r="G9" t="b">
        <v>1</v>
      </c>
      <c r="H9" t="b">
        <v>1</v>
      </c>
      <c r="I9" t="b">
        <v>1</v>
      </c>
      <c r="J9">
        <v>1</v>
      </c>
      <c r="K9">
        <v>3</v>
      </c>
      <c r="L9">
        <v>16.829999999999998</v>
      </c>
      <c r="M9">
        <v>17.97</v>
      </c>
      <c r="N9">
        <v>16.579999999999998</v>
      </c>
      <c r="O9">
        <v>0</v>
      </c>
      <c r="P9">
        <v>0.73</v>
      </c>
      <c r="Q9">
        <v>0.77</v>
      </c>
      <c r="R9">
        <v>1</v>
      </c>
      <c r="S9" t="s">
        <v>27</v>
      </c>
      <c r="T9" t="s">
        <v>146</v>
      </c>
      <c r="U9" t="s">
        <v>28</v>
      </c>
      <c r="V9">
        <v>1</v>
      </c>
      <c r="W9">
        <v>1</v>
      </c>
      <c r="X9">
        <v>1</v>
      </c>
      <c r="Y9">
        <v>0</v>
      </c>
    </row>
    <row r="10" spans="1:25" x14ac:dyDescent="0.2">
      <c r="A10" t="s">
        <v>43</v>
      </c>
      <c r="B10" t="s">
        <v>44</v>
      </c>
      <c r="C10" t="s">
        <v>147</v>
      </c>
      <c r="D10" t="s">
        <v>148</v>
      </c>
      <c r="E10" t="s">
        <v>149</v>
      </c>
      <c r="F10" t="s">
        <v>150</v>
      </c>
      <c r="G10" t="b">
        <v>1</v>
      </c>
      <c r="H10" t="b">
        <v>1</v>
      </c>
      <c r="I10" t="b">
        <v>1</v>
      </c>
      <c r="J10">
        <v>401</v>
      </c>
      <c r="K10">
        <v>4</v>
      </c>
      <c r="L10">
        <v>58.21</v>
      </c>
      <c r="M10">
        <v>61.11</v>
      </c>
      <c r="N10">
        <v>59.12</v>
      </c>
      <c r="O10">
        <v>0</v>
      </c>
      <c r="P10">
        <v>0.8</v>
      </c>
      <c r="Q10">
        <v>0.79</v>
      </c>
      <c r="R10">
        <v>0.71</v>
      </c>
      <c r="S10" t="s">
        <v>27</v>
      </c>
      <c r="T10" t="s">
        <v>151</v>
      </c>
      <c r="U10" t="s">
        <v>28</v>
      </c>
      <c r="V10">
        <v>1</v>
      </c>
      <c r="W10">
        <v>1</v>
      </c>
      <c r="X10">
        <v>1</v>
      </c>
      <c r="Y10">
        <v>0.68</v>
      </c>
    </row>
    <row r="11" spans="1:25" x14ac:dyDescent="0.2">
      <c r="A11" t="s">
        <v>45</v>
      </c>
      <c r="B11" t="s">
        <v>46</v>
      </c>
      <c r="C11" t="s">
        <v>152</v>
      </c>
      <c r="D11" t="s">
        <v>153</v>
      </c>
      <c r="E11" t="s">
        <v>154</v>
      </c>
      <c r="F11" t="s">
        <v>155</v>
      </c>
      <c r="G11" t="b">
        <v>1</v>
      </c>
      <c r="H11" t="b">
        <v>1</v>
      </c>
      <c r="I11" t="b">
        <v>1</v>
      </c>
      <c r="J11">
        <v>1</v>
      </c>
      <c r="K11">
        <v>2</v>
      </c>
      <c r="L11">
        <v>14.77</v>
      </c>
      <c r="M11">
        <v>17.309999999999999</v>
      </c>
      <c r="N11">
        <v>15.5</v>
      </c>
      <c r="O11">
        <v>0</v>
      </c>
      <c r="P11">
        <v>0.61</v>
      </c>
      <c r="Q11">
        <v>0.75</v>
      </c>
      <c r="R11">
        <v>1</v>
      </c>
      <c r="S11" t="s">
        <v>27</v>
      </c>
      <c r="T11" t="s">
        <v>156</v>
      </c>
      <c r="U11" t="s">
        <v>28</v>
      </c>
      <c r="V11">
        <v>1</v>
      </c>
      <c r="W11">
        <v>1</v>
      </c>
      <c r="X11">
        <v>1</v>
      </c>
      <c r="Y11">
        <v>0</v>
      </c>
    </row>
    <row r="12" spans="1:25" x14ac:dyDescent="0.2">
      <c r="A12" t="s">
        <v>47</v>
      </c>
      <c r="B12" t="s">
        <v>48</v>
      </c>
      <c r="C12" t="s">
        <v>138</v>
      </c>
      <c r="D12" t="s">
        <v>157</v>
      </c>
      <c r="E12" t="s">
        <v>140</v>
      </c>
      <c r="F12" t="s">
        <v>158</v>
      </c>
      <c r="G12" t="b">
        <v>0</v>
      </c>
      <c r="H12" t="b">
        <v>0</v>
      </c>
      <c r="I12" t="b">
        <v>0</v>
      </c>
      <c r="J12">
        <v>0</v>
      </c>
      <c r="K12">
        <v>0</v>
      </c>
      <c r="O12">
        <v>0</v>
      </c>
      <c r="P12">
        <v>0</v>
      </c>
      <c r="Q12">
        <v>0</v>
      </c>
      <c r="R12">
        <v>0</v>
      </c>
      <c r="S12" t="s">
        <v>27</v>
      </c>
      <c r="T12" t="s">
        <v>27</v>
      </c>
      <c r="U12" t="s">
        <v>28</v>
      </c>
      <c r="V12">
        <v>0</v>
      </c>
      <c r="W12">
        <v>0</v>
      </c>
      <c r="X12">
        <v>0</v>
      </c>
      <c r="Y12">
        <v>0</v>
      </c>
    </row>
    <row r="13" spans="1:25" x14ac:dyDescent="0.2">
      <c r="A13" t="s">
        <v>49</v>
      </c>
      <c r="B13" t="s">
        <v>50</v>
      </c>
      <c r="C13" t="s">
        <v>159</v>
      </c>
      <c r="D13" t="s">
        <v>160</v>
      </c>
      <c r="E13" t="s">
        <v>161</v>
      </c>
      <c r="F13" t="s">
        <v>162</v>
      </c>
      <c r="G13" t="b">
        <v>1</v>
      </c>
      <c r="H13" t="b">
        <v>1</v>
      </c>
      <c r="I13" t="b">
        <v>1</v>
      </c>
      <c r="J13">
        <v>1</v>
      </c>
      <c r="K13">
        <v>5</v>
      </c>
      <c r="L13">
        <v>16.309999999999999</v>
      </c>
      <c r="M13">
        <v>18.57</v>
      </c>
      <c r="N13">
        <v>16.96</v>
      </c>
      <c r="O13">
        <v>0</v>
      </c>
      <c r="P13">
        <v>0.74</v>
      </c>
      <c r="Q13">
        <v>0.75</v>
      </c>
      <c r="R13">
        <v>1</v>
      </c>
      <c r="S13" t="s">
        <v>163</v>
      </c>
      <c r="T13" t="s">
        <v>164</v>
      </c>
      <c r="U13" t="s">
        <v>28</v>
      </c>
      <c r="V13">
        <v>1</v>
      </c>
      <c r="W13">
        <v>0.6</v>
      </c>
      <c r="X13">
        <v>0.8</v>
      </c>
      <c r="Y13">
        <v>0.1333333333333333</v>
      </c>
    </row>
    <row r="14" spans="1:25" x14ac:dyDescent="0.2">
      <c r="A14" t="s">
        <v>51</v>
      </c>
      <c r="B14" t="s">
        <v>52</v>
      </c>
      <c r="C14" t="s">
        <v>165</v>
      </c>
      <c r="D14" t="s">
        <v>166</v>
      </c>
      <c r="E14" t="s">
        <v>167</v>
      </c>
      <c r="F14" t="s">
        <v>168</v>
      </c>
      <c r="G14" t="b">
        <v>1</v>
      </c>
      <c r="H14" t="b">
        <v>1</v>
      </c>
      <c r="I14" t="b">
        <v>1</v>
      </c>
      <c r="J14">
        <v>1033</v>
      </c>
      <c r="K14">
        <v>4</v>
      </c>
      <c r="L14">
        <v>82.37</v>
      </c>
      <c r="M14">
        <v>85.92</v>
      </c>
      <c r="N14">
        <v>83.45</v>
      </c>
      <c r="O14">
        <v>0.08</v>
      </c>
      <c r="P14">
        <v>0.69</v>
      </c>
      <c r="Q14">
        <v>0.79</v>
      </c>
      <c r="R14">
        <v>0.81</v>
      </c>
      <c r="S14" t="s">
        <v>27</v>
      </c>
      <c r="T14" t="s">
        <v>169</v>
      </c>
      <c r="U14" t="s">
        <v>55</v>
      </c>
      <c r="V14">
        <v>1</v>
      </c>
      <c r="W14">
        <v>1</v>
      </c>
      <c r="X14">
        <v>1</v>
      </c>
      <c r="Y14">
        <v>0.61833333333333329</v>
      </c>
    </row>
    <row r="15" spans="1:25" x14ac:dyDescent="0.2">
      <c r="A15" t="s">
        <v>53</v>
      </c>
      <c r="B15" t="s">
        <v>54</v>
      </c>
      <c r="C15" t="s">
        <v>138</v>
      </c>
      <c r="D15" t="s">
        <v>170</v>
      </c>
      <c r="E15" t="s">
        <v>140</v>
      </c>
      <c r="F15" t="s">
        <v>171</v>
      </c>
      <c r="G15" t="b">
        <v>0</v>
      </c>
      <c r="H15" t="b">
        <v>0</v>
      </c>
      <c r="I15" t="b">
        <v>0</v>
      </c>
      <c r="J15">
        <v>0</v>
      </c>
      <c r="K15">
        <v>0</v>
      </c>
      <c r="O15">
        <v>0</v>
      </c>
      <c r="P15">
        <v>0</v>
      </c>
      <c r="Q15">
        <v>0</v>
      </c>
      <c r="R15">
        <v>0</v>
      </c>
      <c r="S15" t="s">
        <v>27</v>
      </c>
      <c r="T15" t="s">
        <v>27</v>
      </c>
      <c r="U15" t="s">
        <v>55</v>
      </c>
      <c r="V15">
        <v>0</v>
      </c>
      <c r="W15">
        <v>0</v>
      </c>
      <c r="X15">
        <v>0</v>
      </c>
      <c r="Y15">
        <v>0</v>
      </c>
    </row>
    <row r="16" spans="1:25" x14ac:dyDescent="0.2">
      <c r="A16" t="s">
        <v>56</v>
      </c>
      <c r="B16" t="s">
        <v>57</v>
      </c>
      <c r="C16" t="s">
        <v>172</v>
      </c>
      <c r="D16" t="s">
        <v>173</v>
      </c>
      <c r="E16" t="s">
        <v>174</v>
      </c>
      <c r="F16" t="s">
        <v>175</v>
      </c>
      <c r="G16" t="b">
        <v>1</v>
      </c>
      <c r="H16" t="b">
        <v>1</v>
      </c>
      <c r="I16" t="b">
        <v>1</v>
      </c>
      <c r="J16">
        <v>432</v>
      </c>
      <c r="K16">
        <v>3</v>
      </c>
      <c r="L16">
        <v>41.97</v>
      </c>
      <c r="M16">
        <v>42.63</v>
      </c>
      <c r="N16">
        <v>42.01</v>
      </c>
      <c r="O16">
        <v>0.16</v>
      </c>
      <c r="P16">
        <v>0.75</v>
      </c>
      <c r="Q16">
        <v>0.82</v>
      </c>
      <c r="R16">
        <v>0.92</v>
      </c>
      <c r="S16" t="s">
        <v>27</v>
      </c>
      <c r="T16" t="s">
        <v>58</v>
      </c>
      <c r="U16" t="s">
        <v>55</v>
      </c>
      <c r="V16">
        <v>1</v>
      </c>
      <c r="W16">
        <v>1</v>
      </c>
      <c r="X16">
        <v>1</v>
      </c>
      <c r="Y16">
        <v>0.44</v>
      </c>
    </row>
    <row r="17" spans="1:25" x14ac:dyDescent="0.2">
      <c r="A17" t="s">
        <v>59</v>
      </c>
      <c r="B17" t="s">
        <v>60</v>
      </c>
      <c r="C17" t="s">
        <v>176</v>
      </c>
      <c r="D17" t="s">
        <v>177</v>
      </c>
      <c r="E17" t="s">
        <v>178</v>
      </c>
      <c r="F17" t="s">
        <v>179</v>
      </c>
      <c r="G17" t="b">
        <v>1</v>
      </c>
      <c r="H17" t="b">
        <v>0</v>
      </c>
      <c r="I17" t="b">
        <v>1</v>
      </c>
      <c r="J17">
        <v>0</v>
      </c>
      <c r="K17">
        <v>3</v>
      </c>
      <c r="L17">
        <v>15.83</v>
      </c>
      <c r="M17">
        <v>16.96</v>
      </c>
      <c r="N17">
        <v>13.6</v>
      </c>
      <c r="O17">
        <v>0.14000000000000001</v>
      </c>
      <c r="P17">
        <v>0.73</v>
      </c>
      <c r="Q17">
        <v>0.78</v>
      </c>
      <c r="S17" t="s">
        <v>61</v>
      </c>
      <c r="T17" t="s">
        <v>62</v>
      </c>
      <c r="U17" t="s">
        <v>55</v>
      </c>
      <c r="V17">
        <v>1</v>
      </c>
      <c r="W17">
        <v>0</v>
      </c>
      <c r="X17">
        <v>0.5</v>
      </c>
      <c r="Y17">
        <v>0.33333333333333331</v>
      </c>
    </row>
    <row r="18" spans="1:25" x14ac:dyDescent="0.2">
      <c r="A18" t="s">
        <v>63</v>
      </c>
      <c r="B18" t="s">
        <v>64</v>
      </c>
      <c r="C18" t="s">
        <v>180</v>
      </c>
      <c r="D18" t="s">
        <v>181</v>
      </c>
      <c r="E18" t="s">
        <v>182</v>
      </c>
      <c r="F18" t="s">
        <v>183</v>
      </c>
      <c r="G18" t="b">
        <v>1</v>
      </c>
      <c r="H18" t="b">
        <v>1</v>
      </c>
      <c r="I18" t="b">
        <v>1</v>
      </c>
      <c r="J18">
        <v>502</v>
      </c>
      <c r="K18">
        <v>4</v>
      </c>
      <c r="L18">
        <v>245.45</v>
      </c>
      <c r="M18">
        <v>251.07</v>
      </c>
      <c r="N18">
        <v>241.7</v>
      </c>
      <c r="O18">
        <v>0</v>
      </c>
      <c r="P18">
        <v>0.75</v>
      </c>
      <c r="Q18">
        <v>0.75</v>
      </c>
      <c r="R18">
        <v>0.98</v>
      </c>
      <c r="S18" t="s">
        <v>65</v>
      </c>
      <c r="T18" t="s">
        <v>184</v>
      </c>
      <c r="U18" t="s">
        <v>55</v>
      </c>
      <c r="V18">
        <v>1</v>
      </c>
      <c r="W18">
        <v>0.75</v>
      </c>
      <c r="X18">
        <v>0.875</v>
      </c>
      <c r="Y18">
        <v>0.3125</v>
      </c>
    </row>
    <row r="19" spans="1:25" x14ac:dyDescent="0.2">
      <c r="A19" t="s">
        <v>66</v>
      </c>
      <c r="B19" t="s">
        <v>67</v>
      </c>
      <c r="C19" t="s">
        <v>185</v>
      </c>
      <c r="D19" t="s">
        <v>186</v>
      </c>
      <c r="E19" t="s">
        <v>187</v>
      </c>
      <c r="F19" t="s">
        <v>188</v>
      </c>
      <c r="G19" t="b">
        <v>1</v>
      </c>
      <c r="H19" t="b">
        <v>1</v>
      </c>
      <c r="I19" t="b">
        <v>1</v>
      </c>
      <c r="J19">
        <v>366</v>
      </c>
      <c r="K19">
        <v>4</v>
      </c>
      <c r="L19">
        <v>42.25</v>
      </c>
      <c r="M19">
        <v>43.96</v>
      </c>
      <c r="N19">
        <v>42.72</v>
      </c>
      <c r="O19">
        <v>0.04</v>
      </c>
      <c r="P19">
        <v>0.82</v>
      </c>
      <c r="Q19">
        <v>0.78</v>
      </c>
      <c r="R19">
        <v>0.64</v>
      </c>
      <c r="S19" t="s">
        <v>189</v>
      </c>
      <c r="T19" t="s">
        <v>190</v>
      </c>
      <c r="U19" t="s">
        <v>55</v>
      </c>
      <c r="V19">
        <v>1</v>
      </c>
      <c r="W19">
        <v>0.75</v>
      </c>
      <c r="X19">
        <v>0.875</v>
      </c>
      <c r="Y19">
        <v>0.64500000000000002</v>
      </c>
    </row>
    <row r="20" spans="1:25" x14ac:dyDescent="0.2">
      <c r="A20" t="s">
        <v>68</v>
      </c>
      <c r="B20" t="s">
        <v>69</v>
      </c>
      <c r="C20" t="s">
        <v>191</v>
      </c>
      <c r="D20" t="s">
        <v>192</v>
      </c>
      <c r="E20" t="s">
        <v>193</v>
      </c>
      <c r="F20" t="s">
        <v>194</v>
      </c>
      <c r="G20" t="b">
        <v>1</v>
      </c>
      <c r="H20" t="b">
        <v>1</v>
      </c>
      <c r="I20" t="b">
        <v>1</v>
      </c>
      <c r="J20">
        <v>73</v>
      </c>
      <c r="K20">
        <v>4</v>
      </c>
      <c r="L20">
        <v>36.69</v>
      </c>
      <c r="M20">
        <v>38.29</v>
      </c>
      <c r="N20">
        <v>37.22</v>
      </c>
      <c r="O20">
        <v>0.03</v>
      </c>
      <c r="P20">
        <v>0.79</v>
      </c>
      <c r="Q20">
        <v>0.77</v>
      </c>
      <c r="R20">
        <v>0.74</v>
      </c>
      <c r="S20" t="s">
        <v>195</v>
      </c>
      <c r="T20" t="s">
        <v>196</v>
      </c>
      <c r="U20" t="s">
        <v>55</v>
      </c>
      <c r="V20">
        <v>1</v>
      </c>
      <c r="W20">
        <v>0.75</v>
      </c>
      <c r="X20">
        <v>0.875</v>
      </c>
      <c r="Y20">
        <v>0.63249999999999995</v>
      </c>
    </row>
    <row r="21" spans="1:25" x14ac:dyDescent="0.2">
      <c r="A21" t="s">
        <v>70</v>
      </c>
      <c r="B21" t="s">
        <v>71</v>
      </c>
      <c r="C21" t="s">
        <v>197</v>
      </c>
      <c r="D21" t="s">
        <v>198</v>
      </c>
      <c r="E21" t="s">
        <v>199</v>
      </c>
      <c r="F21" t="s">
        <v>200</v>
      </c>
      <c r="G21" t="b">
        <v>1</v>
      </c>
      <c r="H21" t="b">
        <v>1</v>
      </c>
      <c r="I21" t="b">
        <v>1</v>
      </c>
      <c r="J21">
        <v>1</v>
      </c>
      <c r="K21">
        <v>2</v>
      </c>
      <c r="L21">
        <v>17.62</v>
      </c>
      <c r="M21">
        <v>18.489999999999998</v>
      </c>
      <c r="N21">
        <v>15.18</v>
      </c>
      <c r="O21">
        <v>0.03</v>
      </c>
      <c r="P21">
        <v>0.63</v>
      </c>
      <c r="Q21">
        <v>0.75</v>
      </c>
      <c r="R21">
        <v>1</v>
      </c>
      <c r="S21" t="s">
        <v>27</v>
      </c>
      <c r="T21" t="s">
        <v>201</v>
      </c>
      <c r="U21" t="s">
        <v>55</v>
      </c>
      <c r="V21">
        <v>1</v>
      </c>
      <c r="W21">
        <v>1</v>
      </c>
      <c r="X21">
        <v>1</v>
      </c>
      <c r="Y21">
        <v>0</v>
      </c>
    </row>
    <row r="22" spans="1:25" x14ac:dyDescent="0.2">
      <c r="A22" t="s">
        <v>72</v>
      </c>
      <c r="B22" t="s">
        <v>73</v>
      </c>
      <c r="C22" t="s">
        <v>138</v>
      </c>
      <c r="D22" t="s">
        <v>202</v>
      </c>
      <c r="E22" t="s">
        <v>140</v>
      </c>
      <c r="F22" t="s">
        <v>203</v>
      </c>
      <c r="G22" t="b">
        <v>0</v>
      </c>
      <c r="H22" t="b">
        <v>0</v>
      </c>
      <c r="I22" t="b">
        <v>0</v>
      </c>
      <c r="J22">
        <v>0</v>
      </c>
      <c r="K22">
        <v>0</v>
      </c>
      <c r="O22">
        <v>0</v>
      </c>
      <c r="P22">
        <v>0</v>
      </c>
      <c r="Q22">
        <v>0</v>
      </c>
      <c r="R22">
        <v>0</v>
      </c>
      <c r="S22" t="s">
        <v>27</v>
      </c>
      <c r="T22" t="s">
        <v>27</v>
      </c>
      <c r="U22" t="s">
        <v>55</v>
      </c>
      <c r="V22">
        <v>0</v>
      </c>
      <c r="W22">
        <v>0</v>
      </c>
      <c r="X22">
        <v>0</v>
      </c>
      <c r="Y22">
        <v>0</v>
      </c>
    </row>
    <row r="23" spans="1:25" x14ac:dyDescent="0.2">
      <c r="A23" t="s">
        <v>74</v>
      </c>
      <c r="B23" t="s">
        <v>75</v>
      </c>
      <c r="C23" t="s">
        <v>204</v>
      </c>
      <c r="D23" t="s">
        <v>205</v>
      </c>
      <c r="E23" t="s">
        <v>204</v>
      </c>
      <c r="F23" t="s">
        <v>206</v>
      </c>
      <c r="G23" t="b">
        <v>1</v>
      </c>
      <c r="H23" t="b">
        <v>1</v>
      </c>
      <c r="I23" t="b">
        <v>1</v>
      </c>
      <c r="J23">
        <v>7722</v>
      </c>
      <c r="K23">
        <v>4</v>
      </c>
      <c r="L23">
        <v>3038.73</v>
      </c>
      <c r="M23">
        <v>3583.58</v>
      </c>
      <c r="N23">
        <v>3208.82</v>
      </c>
      <c r="O23">
        <v>0.06</v>
      </c>
      <c r="P23">
        <v>0.64</v>
      </c>
      <c r="Q23">
        <v>0.8</v>
      </c>
      <c r="R23">
        <v>0.73</v>
      </c>
      <c r="S23" t="s">
        <v>207</v>
      </c>
      <c r="T23" t="s">
        <v>208</v>
      </c>
      <c r="U23" t="s">
        <v>55</v>
      </c>
      <c r="V23">
        <v>1</v>
      </c>
      <c r="W23">
        <v>0.75</v>
      </c>
      <c r="X23">
        <v>0.875</v>
      </c>
      <c r="Y23">
        <v>0.63416666666666666</v>
      </c>
    </row>
    <row r="24" spans="1:25" x14ac:dyDescent="0.2">
      <c r="A24" t="s">
        <v>76</v>
      </c>
      <c r="B24" t="s">
        <v>77</v>
      </c>
      <c r="C24" t="s">
        <v>209</v>
      </c>
      <c r="D24" t="s">
        <v>210</v>
      </c>
      <c r="E24" t="s">
        <v>211</v>
      </c>
      <c r="F24" t="s">
        <v>212</v>
      </c>
      <c r="G24" t="b">
        <v>1</v>
      </c>
      <c r="H24" t="b">
        <v>1</v>
      </c>
      <c r="I24" t="b">
        <v>1</v>
      </c>
      <c r="J24">
        <v>38889</v>
      </c>
      <c r="K24">
        <v>6</v>
      </c>
      <c r="L24">
        <v>2834.7</v>
      </c>
      <c r="M24">
        <v>3023.15</v>
      </c>
      <c r="N24">
        <v>2889.1</v>
      </c>
      <c r="O24">
        <v>0.06</v>
      </c>
      <c r="P24">
        <v>0.71</v>
      </c>
      <c r="Q24">
        <v>0.74</v>
      </c>
      <c r="R24">
        <v>0.94</v>
      </c>
      <c r="S24" t="s">
        <v>27</v>
      </c>
      <c r="T24" t="s">
        <v>213</v>
      </c>
      <c r="U24" t="s">
        <v>55</v>
      </c>
      <c r="V24">
        <v>1</v>
      </c>
      <c r="W24">
        <v>1</v>
      </c>
      <c r="X24">
        <v>1</v>
      </c>
      <c r="Y24">
        <v>0.42222222222222222</v>
      </c>
    </row>
    <row r="25" spans="1:25" x14ac:dyDescent="0.2">
      <c r="A25" t="s">
        <v>78</v>
      </c>
      <c r="B25" t="s">
        <v>79</v>
      </c>
      <c r="C25" t="s">
        <v>214</v>
      </c>
      <c r="D25" t="s">
        <v>215</v>
      </c>
      <c r="E25" t="s">
        <v>216</v>
      </c>
      <c r="F25" t="s">
        <v>217</v>
      </c>
      <c r="G25" t="b">
        <v>1</v>
      </c>
      <c r="H25" t="b">
        <v>1</v>
      </c>
      <c r="I25" t="b">
        <v>1</v>
      </c>
      <c r="J25">
        <v>736</v>
      </c>
      <c r="K25">
        <v>4</v>
      </c>
      <c r="L25">
        <v>62.41</v>
      </c>
      <c r="M25">
        <v>62.89</v>
      </c>
      <c r="N25">
        <v>61.06</v>
      </c>
      <c r="O25">
        <v>0.05</v>
      </c>
      <c r="P25">
        <v>0.74</v>
      </c>
      <c r="Q25">
        <v>0.82</v>
      </c>
      <c r="R25">
        <v>0.79</v>
      </c>
      <c r="S25" t="s">
        <v>65</v>
      </c>
      <c r="T25" t="s">
        <v>218</v>
      </c>
      <c r="U25" t="s">
        <v>84</v>
      </c>
      <c r="V25">
        <v>1</v>
      </c>
      <c r="W25">
        <v>0.75</v>
      </c>
      <c r="X25">
        <v>0.875</v>
      </c>
      <c r="Y25">
        <v>0.47500000000000009</v>
      </c>
    </row>
    <row r="26" spans="1:25" x14ac:dyDescent="0.2">
      <c r="A26" t="s">
        <v>80</v>
      </c>
      <c r="B26" t="s">
        <v>81</v>
      </c>
      <c r="C26" t="s">
        <v>138</v>
      </c>
      <c r="D26" t="s">
        <v>219</v>
      </c>
      <c r="E26" t="s">
        <v>140</v>
      </c>
      <c r="F26" t="s">
        <v>220</v>
      </c>
      <c r="G26" t="b">
        <v>0</v>
      </c>
      <c r="H26" t="b">
        <v>0</v>
      </c>
      <c r="I26" t="b">
        <v>0</v>
      </c>
      <c r="J26">
        <v>0</v>
      </c>
      <c r="K26">
        <v>0</v>
      </c>
      <c r="O26">
        <v>0</v>
      </c>
      <c r="P26">
        <v>0</v>
      </c>
      <c r="Q26">
        <v>0</v>
      </c>
      <c r="R26">
        <v>0</v>
      </c>
      <c r="S26" t="s">
        <v>27</v>
      </c>
      <c r="T26" t="s">
        <v>27</v>
      </c>
      <c r="U26" t="s">
        <v>84</v>
      </c>
      <c r="V26">
        <v>0</v>
      </c>
      <c r="W26">
        <v>0</v>
      </c>
      <c r="X26">
        <v>0</v>
      </c>
      <c r="Y26">
        <v>0</v>
      </c>
    </row>
    <row r="27" spans="1:25" x14ac:dyDescent="0.2">
      <c r="A27" t="s">
        <v>82</v>
      </c>
      <c r="B27" t="s">
        <v>83</v>
      </c>
      <c r="C27" t="s">
        <v>221</v>
      </c>
      <c r="D27" t="s">
        <v>222</v>
      </c>
      <c r="E27" t="s">
        <v>223</v>
      </c>
      <c r="F27" t="s">
        <v>224</v>
      </c>
      <c r="G27" t="b">
        <v>1</v>
      </c>
      <c r="H27" t="b">
        <v>1</v>
      </c>
      <c r="I27" t="b">
        <v>1</v>
      </c>
      <c r="J27">
        <v>140</v>
      </c>
      <c r="K27">
        <v>5</v>
      </c>
      <c r="L27">
        <v>42.26</v>
      </c>
      <c r="M27">
        <v>43.73</v>
      </c>
      <c r="N27">
        <v>41.57</v>
      </c>
      <c r="O27">
        <v>0.03</v>
      </c>
      <c r="P27">
        <v>0.78</v>
      </c>
      <c r="Q27">
        <v>0.78</v>
      </c>
      <c r="R27">
        <v>0.7</v>
      </c>
      <c r="S27" t="s">
        <v>225</v>
      </c>
      <c r="T27" t="s">
        <v>226</v>
      </c>
      <c r="U27" t="s">
        <v>84</v>
      </c>
      <c r="V27">
        <v>1</v>
      </c>
      <c r="W27">
        <v>0.6</v>
      </c>
      <c r="X27">
        <v>0.8</v>
      </c>
      <c r="Y27">
        <v>0.55799999999999994</v>
      </c>
    </row>
    <row r="28" spans="1:25" x14ac:dyDescent="0.2">
      <c r="A28" t="s">
        <v>85</v>
      </c>
      <c r="B28" t="s">
        <v>86</v>
      </c>
      <c r="C28" t="s">
        <v>227</v>
      </c>
      <c r="D28" t="s">
        <v>228</v>
      </c>
      <c r="E28" t="s">
        <v>229</v>
      </c>
      <c r="F28" t="s">
        <v>230</v>
      </c>
      <c r="G28" t="b">
        <v>1</v>
      </c>
      <c r="H28" t="b">
        <v>1</v>
      </c>
      <c r="I28" t="b">
        <v>1</v>
      </c>
      <c r="J28">
        <v>2859</v>
      </c>
      <c r="K28">
        <v>3</v>
      </c>
      <c r="L28">
        <v>13574.02</v>
      </c>
      <c r="M28">
        <v>14203.98</v>
      </c>
      <c r="N28">
        <v>13302.51</v>
      </c>
      <c r="O28">
        <v>0.05</v>
      </c>
      <c r="P28">
        <v>0.65</v>
      </c>
      <c r="Q28">
        <v>0.78</v>
      </c>
      <c r="R28">
        <v>0.94</v>
      </c>
      <c r="S28" t="s">
        <v>27</v>
      </c>
      <c r="T28" t="s">
        <v>231</v>
      </c>
      <c r="U28" t="s">
        <v>84</v>
      </c>
      <c r="V28">
        <v>1</v>
      </c>
      <c r="W28">
        <v>1</v>
      </c>
      <c r="X28">
        <v>1</v>
      </c>
      <c r="Y28">
        <v>0.37111111111111122</v>
      </c>
    </row>
    <row r="29" spans="1:25" x14ac:dyDescent="0.2">
      <c r="A29" t="s">
        <v>87</v>
      </c>
      <c r="B29" t="s">
        <v>88</v>
      </c>
      <c r="C29" t="s">
        <v>232</v>
      </c>
      <c r="D29" t="s">
        <v>233</v>
      </c>
      <c r="E29" t="s">
        <v>234</v>
      </c>
      <c r="F29" t="s">
        <v>235</v>
      </c>
      <c r="G29" t="b">
        <v>1</v>
      </c>
      <c r="H29" t="b">
        <v>1</v>
      </c>
      <c r="I29" t="b">
        <v>1</v>
      </c>
      <c r="J29">
        <v>309</v>
      </c>
      <c r="K29">
        <v>6</v>
      </c>
      <c r="L29">
        <v>54.07</v>
      </c>
      <c r="M29">
        <v>57.68</v>
      </c>
      <c r="N29">
        <v>54.81</v>
      </c>
      <c r="O29">
        <v>0.03</v>
      </c>
      <c r="P29">
        <v>0.75</v>
      </c>
      <c r="Q29">
        <v>0.76</v>
      </c>
      <c r="R29">
        <v>0.9</v>
      </c>
      <c r="S29" t="s">
        <v>27</v>
      </c>
      <c r="T29" t="s">
        <v>236</v>
      </c>
      <c r="U29" t="s">
        <v>84</v>
      </c>
      <c r="V29">
        <v>1</v>
      </c>
      <c r="W29">
        <v>1</v>
      </c>
      <c r="X29">
        <v>1</v>
      </c>
      <c r="Y29">
        <v>0.54944444444444451</v>
      </c>
    </row>
    <row r="30" spans="1:25" x14ac:dyDescent="0.2">
      <c r="A30" t="s">
        <v>89</v>
      </c>
      <c r="B30" t="s">
        <v>90</v>
      </c>
      <c r="C30" t="s">
        <v>138</v>
      </c>
      <c r="D30" t="s">
        <v>237</v>
      </c>
      <c r="E30" t="s">
        <v>140</v>
      </c>
      <c r="F30" t="s">
        <v>238</v>
      </c>
      <c r="G30" t="b">
        <v>0</v>
      </c>
      <c r="H30" t="b">
        <v>0</v>
      </c>
      <c r="I30" t="b">
        <v>0</v>
      </c>
      <c r="J30">
        <v>0</v>
      </c>
      <c r="K30">
        <v>0</v>
      </c>
      <c r="O30">
        <v>0</v>
      </c>
      <c r="P30">
        <v>0</v>
      </c>
      <c r="Q30">
        <v>0</v>
      </c>
      <c r="R30">
        <v>0</v>
      </c>
      <c r="S30" t="s">
        <v>27</v>
      </c>
      <c r="T30" t="s">
        <v>27</v>
      </c>
      <c r="U30" t="s">
        <v>84</v>
      </c>
      <c r="V30">
        <v>0</v>
      </c>
      <c r="W30">
        <v>0</v>
      </c>
      <c r="X30">
        <v>0</v>
      </c>
      <c r="Y30">
        <v>0</v>
      </c>
    </row>
    <row r="31" spans="1:25" x14ac:dyDescent="0.2">
      <c r="A31" t="s">
        <v>91</v>
      </c>
      <c r="B31" t="s">
        <v>92</v>
      </c>
      <c r="C31" t="s">
        <v>239</v>
      </c>
      <c r="D31" t="s">
        <v>240</v>
      </c>
      <c r="E31" t="s">
        <v>241</v>
      </c>
      <c r="F31" t="s">
        <v>242</v>
      </c>
      <c r="G31" t="b">
        <v>1</v>
      </c>
      <c r="H31" t="b">
        <v>1</v>
      </c>
      <c r="I31" t="b">
        <v>1</v>
      </c>
      <c r="J31">
        <v>0</v>
      </c>
      <c r="K31">
        <v>4</v>
      </c>
      <c r="L31">
        <v>8.73</v>
      </c>
      <c r="M31">
        <v>8.82</v>
      </c>
      <c r="N31">
        <v>8.76</v>
      </c>
      <c r="O31">
        <v>0</v>
      </c>
      <c r="P31">
        <v>0.65</v>
      </c>
      <c r="Q31">
        <v>0.73</v>
      </c>
      <c r="S31" t="s">
        <v>243</v>
      </c>
      <c r="T31" t="s">
        <v>244</v>
      </c>
      <c r="U31" t="s">
        <v>84</v>
      </c>
      <c r="V31">
        <v>1</v>
      </c>
      <c r="W31">
        <v>0</v>
      </c>
      <c r="X31">
        <v>0.5</v>
      </c>
      <c r="Y31">
        <v>0.33333333333333331</v>
      </c>
    </row>
    <row r="32" spans="1:25" x14ac:dyDescent="0.2">
      <c r="A32" t="s">
        <v>93</v>
      </c>
      <c r="B32" t="s">
        <v>94</v>
      </c>
      <c r="C32" t="s">
        <v>245</v>
      </c>
      <c r="D32" t="s">
        <v>246</v>
      </c>
      <c r="E32" t="s">
        <v>247</v>
      </c>
      <c r="F32" t="s">
        <v>248</v>
      </c>
      <c r="G32" t="b">
        <v>1</v>
      </c>
      <c r="H32" t="b">
        <v>1</v>
      </c>
      <c r="I32" t="b">
        <v>1</v>
      </c>
      <c r="J32">
        <v>391</v>
      </c>
      <c r="K32">
        <v>8</v>
      </c>
      <c r="L32">
        <v>69.61</v>
      </c>
      <c r="M32">
        <v>81.96</v>
      </c>
      <c r="N32">
        <v>72.12</v>
      </c>
      <c r="O32">
        <v>0</v>
      </c>
      <c r="P32">
        <v>0.72</v>
      </c>
      <c r="Q32">
        <v>0.79</v>
      </c>
      <c r="R32">
        <v>0.87</v>
      </c>
      <c r="S32" t="s">
        <v>249</v>
      </c>
      <c r="T32" t="s">
        <v>250</v>
      </c>
      <c r="U32" t="s">
        <v>84</v>
      </c>
      <c r="V32">
        <v>1</v>
      </c>
      <c r="W32">
        <v>0.625</v>
      </c>
      <c r="X32">
        <v>0.8125</v>
      </c>
      <c r="Y32">
        <v>0.2475</v>
      </c>
    </row>
    <row r="33" spans="1:25" x14ac:dyDescent="0.2">
      <c r="A33" t="s">
        <v>95</v>
      </c>
      <c r="B33" t="s">
        <v>96</v>
      </c>
      <c r="C33" t="s">
        <v>251</v>
      </c>
      <c r="D33" t="s">
        <v>252</v>
      </c>
      <c r="E33" t="s">
        <v>253</v>
      </c>
      <c r="F33" t="s">
        <v>254</v>
      </c>
      <c r="G33" t="b">
        <v>1</v>
      </c>
      <c r="H33" t="b">
        <v>1</v>
      </c>
      <c r="I33" t="b">
        <v>1</v>
      </c>
      <c r="J33">
        <v>38889</v>
      </c>
      <c r="K33">
        <v>5</v>
      </c>
      <c r="L33">
        <v>2398.86</v>
      </c>
      <c r="M33">
        <v>2659.87</v>
      </c>
      <c r="N33">
        <v>2475.61</v>
      </c>
      <c r="O33">
        <v>0.12</v>
      </c>
      <c r="P33">
        <v>0.72</v>
      </c>
      <c r="Q33">
        <v>0.79</v>
      </c>
      <c r="R33">
        <v>0.93</v>
      </c>
      <c r="S33" t="s">
        <v>27</v>
      </c>
      <c r="T33" t="s">
        <v>255</v>
      </c>
      <c r="U33" t="s">
        <v>84</v>
      </c>
      <c r="V33">
        <v>1</v>
      </c>
      <c r="W33">
        <v>1</v>
      </c>
      <c r="X33">
        <v>1</v>
      </c>
      <c r="Y33">
        <v>0.37133333333333329</v>
      </c>
    </row>
    <row r="34" spans="1:25" x14ac:dyDescent="0.2">
      <c r="A34" t="s">
        <v>97</v>
      </c>
      <c r="B34" t="s">
        <v>98</v>
      </c>
      <c r="C34" t="s">
        <v>256</v>
      </c>
      <c r="D34" t="s">
        <v>257</v>
      </c>
      <c r="E34" t="s">
        <v>258</v>
      </c>
      <c r="F34" t="s">
        <v>259</v>
      </c>
      <c r="G34" t="b">
        <v>1</v>
      </c>
      <c r="H34" t="b">
        <v>1</v>
      </c>
      <c r="I34" t="b">
        <v>1</v>
      </c>
      <c r="J34">
        <v>12</v>
      </c>
      <c r="K34">
        <v>9</v>
      </c>
      <c r="L34">
        <v>23.03</v>
      </c>
      <c r="M34">
        <v>24.12</v>
      </c>
      <c r="N34">
        <v>21.76</v>
      </c>
      <c r="O34">
        <v>7.0000000000000007E-2</v>
      </c>
      <c r="P34">
        <v>0.67</v>
      </c>
      <c r="Q34">
        <v>0.79</v>
      </c>
      <c r="R34">
        <v>0.86</v>
      </c>
      <c r="S34" t="s">
        <v>27</v>
      </c>
      <c r="T34" t="s">
        <v>260</v>
      </c>
      <c r="U34" t="s">
        <v>84</v>
      </c>
      <c r="V34">
        <v>1</v>
      </c>
      <c r="W34">
        <v>1</v>
      </c>
      <c r="X34">
        <v>1</v>
      </c>
      <c r="Y34">
        <v>0.13333333333333339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103</v>
      </c>
      <c r="B1" s="2" t="s">
        <v>104</v>
      </c>
      <c r="C1" s="2" t="s">
        <v>105</v>
      </c>
      <c r="D1" s="2" t="s">
        <v>106</v>
      </c>
    </row>
    <row r="2" spans="1:4" x14ac:dyDescent="0.2">
      <c r="A2" t="str" cm="1">
        <f t="array" ref="A2:A4">_xlfn.UNIQUE(All!U2:U34)</f>
        <v>simple</v>
      </c>
      <c r="B2">
        <f>COUNTIF(All!U2:U34,Filter!A2)</f>
        <v>12</v>
      </c>
      <c r="C2">
        <f>COUNTIFS(All!$G:$G, TRUE, All!$U:$U, A2)</f>
        <v>10</v>
      </c>
      <c r="D2">
        <f>COUNTIFS(All!$G:$G, TRUE,
          All!$H:$H, TRUE,
          All!$I:$I, TRUE,
          All!$U:$U, A2)</f>
        <v>10</v>
      </c>
    </row>
    <row r="3" spans="1:4" x14ac:dyDescent="0.2">
      <c r="A3" t="str">
        <v>moderate</v>
      </c>
      <c r="B3">
        <f>COUNTIF(All!U3:U35,Filter!A3)</f>
        <v>11</v>
      </c>
      <c r="C3">
        <f>COUNTIFS(All!$G:$G, TRUE, All!$U:$U, A3)</f>
        <v>9</v>
      </c>
      <c r="D3">
        <f>COUNTIFS(All!$G:$G, TRUE,
          All!$H:$H, TRUE,
          All!$I:$I, TRUE,
          All!$U:$U, A3)</f>
        <v>8</v>
      </c>
    </row>
    <row r="4" spans="1:4" x14ac:dyDescent="0.2">
      <c r="A4" t="str">
        <v>complex</v>
      </c>
      <c r="B4">
        <f>COUNTIF(All!U4:U36,Filter!A4)</f>
        <v>10</v>
      </c>
      <c r="C4">
        <f>COUNTIFS(All!$G:$G, TRUE, All!$U:$U, A4)</f>
        <v>8</v>
      </c>
      <c r="D4">
        <f>COUNTIFS(All!$G:$G, TRUE,
          All!$H:$H, TRUE,
          All!$I:$I, TRUE,
          All!$U:$U, A4)</f>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99</v>
      </c>
      <c r="P1" s="1" t="s">
        <v>100</v>
      </c>
      <c r="Q1" s="1" t="s">
        <v>101</v>
      </c>
    </row>
    <row r="2" spans="1:17" x14ac:dyDescent="0.2">
      <c r="A2" t="s">
        <v>28</v>
      </c>
      <c r="B2" s="3">
        <f>AVERAGEIFS(All!$J:$J,
            All!$G:$G, TRUE,
            All!$H:$H, TRUE,
            All!$I:$I, TRUE,
            All!$U:$U, A2)</f>
        <v>200.8</v>
      </c>
      <c r="C2" s="3">
        <f>AVERAGEIFS(All!K:K,
            All!$G:$G, TRUE,
            All!$H:$H, TRUE,
            All!$I:$I, TRUE,
            All!$U:$U, $A2)</f>
        <v>3.6</v>
      </c>
      <c r="D2" s="3">
        <f>AVERAGEIFS(All!L:L,
            All!$G:$G, TRUE,
            All!$H:$H, TRUE,
            All!$I:$I, TRUE,
            All!$U:$U, $A2)</f>
        <v>86.625999999999991</v>
      </c>
      <c r="E2" s="3">
        <f>AVERAGEIFS(All!M:M,
            All!$G:$G, TRUE,
            All!$H:$H, TRUE,
            All!$I:$I, TRUE,
            All!$U:$U, $A2)</f>
        <v>162.78599999999997</v>
      </c>
      <c r="F2" s="3">
        <f>AVERAGEIFS(All!N:N,
            All!$G:$G, TRUE,
            All!$H:$H, TRUE,
            All!$I:$I, TRUE,
            All!$U:$U, $A2)</f>
        <v>109.748</v>
      </c>
      <c r="G2" s="3">
        <f>AVERAGEIFS(All!O:O,
            All!$G:$G, TRUE,
            All!$H:$H, TRUE,
            All!$I:$I, TRUE,
            All!$U:$U, $A2)</f>
        <v>2.4E-2</v>
      </c>
      <c r="H2" s="3">
        <f>AVERAGEIFS(All!P:P,
            All!$G:$G, TRUE,
            All!$H:$H, TRUE,
            All!$I:$I, TRUE,
            All!$U:$U, $A2)</f>
        <v>0.70700000000000007</v>
      </c>
      <c r="I2" s="3">
        <f>AVERAGEIFS(All!Q:Q,
            All!$G:$G, TRUE,
            All!$H:$H, TRUE,
            All!$I:$I, TRUE,
            All!$U:$U, $A2)</f>
        <v>0.76600000000000013</v>
      </c>
      <c r="J2" s="3">
        <f>AVERAGEIFS(All!R:R,
            All!$G:$G, TRUE,
            All!$H:$H, TRUE,
            All!$I:$I, TRUE,
            All!$U:$U, $A2)</f>
        <v>0.90900000000000003</v>
      </c>
      <c r="K2" s="3">
        <f>AVERAGEIFS(All!V:V,
            All!$G:$G, TRUE,
            All!$H:$H, TRUE,
            All!$I:$I, TRUE,
            All!$U:$U, $A2)</f>
        <v>1</v>
      </c>
      <c r="L2" s="3">
        <f>AVERAGEIFS(All!W:W,
            All!$G:$G, TRUE,
            All!$H:$H, TRUE,
            All!$I:$I, TRUE,
            All!$U:$U, $A2)</f>
        <v>0.90999999999999992</v>
      </c>
      <c r="M2" s="3">
        <f>AVERAGEIFS(All!X:X,
            All!$G:$G, TRUE,
            All!$H:$H, TRUE,
            All!$I:$I, TRUE,
            All!$U:$U, $A2)</f>
        <v>0.95500000000000007</v>
      </c>
      <c r="N2" s="3">
        <f>AVERAGEIFS(All!Y:Y,
            All!$G:$G, TRUE,
            All!$H:$H, TRUE,
            All!$I:$I, TRUE,
            All!$U:$U, $A2)</f>
        <v>0.22624444444444441</v>
      </c>
      <c r="O2" s="3">
        <f>COUNTIFS(All!G:G,TRUE,All!$U:$U,$A2)/COUNTIF(All!$U2:$U34,Filter!$A2)</f>
        <v>0.83333333333333337</v>
      </c>
      <c r="P2" s="3">
        <f>COUNTIFS(All!H:H,TRUE,All!$U:$U,$A2)/COUNTIF(All!$U2:$U34,Filter!$A2)</f>
        <v>0.83333333333333337</v>
      </c>
      <c r="Q2" s="3">
        <f>COUNTIFS(All!I:I,TRUE,All!$U:$U,$A2)/COUNTIF(All!$U2:$U34,Filter!$A2)</f>
        <v>0.83333333333333337</v>
      </c>
    </row>
    <row r="3" spans="1:17" x14ac:dyDescent="0.2">
      <c r="A3" t="s">
        <v>55</v>
      </c>
      <c r="B3" s="3">
        <f>AVERAGEIFS(All!$J:$J,
            All!$G:$G, TRUE,
            All!$H:$H, TRUE,
            All!$I:$I, TRUE,
            All!$U:$U, A3)</f>
        <v>6127.25</v>
      </c>
      <c r="C3" s="3">
        <f>AVERAGEIFS(All!K:K,
            All!$G:$G, TRUE,
            All!$H:$H, TRUE,
            All!$I:$I, TRUE,
            All!$U:$U, $A3)</f>
        <v>3.875</v>
      </c>
      <c r="D3" s="3">
        <f>AVERAGEIFS(All!L:L,
            All!$G:$G, TRUE,
            All!$H:$H, TRUE,
            All!$I:$I, TRUE,
            All!$U:$U, $A3)</f>
        <v>792.47249999999997</v>
      </c>
      <c r="E3" s="3">
        <f>AVERAGEIFS(All!M:M,
            All!$G:$G, TRUE,
            All!$H:$H, TRUE,
            All!$I:$I, TRUE,
            All!$U:$U, $A3)</f>
        <v>885.88625000000002</v>
      </c>
      <c r="F3" s="3">
        <f>AVERAGEIFS(All!N:N,
            All!$G:$G, TRUE,
            All!$H:$H, TRUE,
            All!$I:$I, TRUE,
            All!$U:$U, $A3)</f>
        <v>820.02500000000009</v>
      </c>
      <c r="G3" s="3">
        <f>AVERAGEIFS(All!O:O,
            All!$G:$G, TRUE,
            All!$H:$H, TRUE,
            All!$I:$I, TRUE,
            All!$U:$U, $A3)</f>
        <v>5.7499999999999996E-2</v>
      </c>
      <c r="H3" s="3">
        <f>AVERAGEIFS(All!P:P,
            All!$G:$G, TRUE,
            All!$H:$H, TRUE,
            All!$I:$I, TRUE,
            All!$U:$U, $A3)</f>
        <v>0.72249999999999992</v>
      </c>
      <c r="I3" s="3">
        <f>AVERAGEIFS(All!Q:Q,
            All!$G:$G, TRUE,
            All!$H:$H, TRUE,
            All!$I:$I, TRUE,
            All!$U:$U, $A3)</f>
        <v>0.77500000000000002</v>
      </c>
      <c r="J3" s="3">
        <f>AVERAGEIFS(All!R:R,
            All!$G:$G, TRUE,
            All!$H:$H, TRUE,
            All!$I:$I, TRUE,
            All!$U:$U, $A3)</f>
        <v>0.84499999999999997</v>
      </c>
      <c r="K3" s="3">
        <f>AVERAGEIFS(All!V:V,
            All!$G:$G, TRUE,
            All!$H:$H, TRUE,
            All!$I:$I, TRUE,
            All!$U:$U, $A3)</f>
        <v>1</v>
      </c>
      <c r="L3" s="3">
        <f>AVERAGEIFS(All!W:W,
            All!$G:$G, TRUE,
            All!$H:$H, TRUE,
            All!$I:$I, TRUE,
            All!$U:$U, $A3)</f>
        <v>0.875</v>
      </c>
      <c r="M3" s="3">
        <f>AVERAGEIFS(All!X:X,
            All!$G:$G, TRUE,
            All!$H:$H, TRUE,
            All!$I:$I, TRUE,
            All!$U:$U, $A3)</f>
        <v>0.9375</v>
      </c>
      <c r="N3" s="3">
        <f>AVERAGEIFS(All!Y:Y,
            All!$G:$G, TRUE,
            All!$H:$H, TRUE,
            All!$I:$I, TRUE,
            All!$U:$U, $A3)</f>
        <v>0.46309027777777773</v>
      </c>
      <c r="O3" s="3">
        <f>COUNTIFS(All!G:G,TRUE,All!$U:$U,$A3)/COUNTIF(All!$U3:$U35,Filter!$A3)</f>
        <v>0.81818181818181823</v>
      </c>
      <c r="P3" s="3">
        <f>COUNTIFS(All!H:H,TRUE,All!$U:$U,$A3)/COUNTIF(All!$U3:$U35,Filter!$A3)</f>
        <v>0.72727272727272729</v>
      </c>
      <c r="Q3" s="3">
        <f>COUNTIFS(All!I:I,TRUE,All!$U:$U,$A3)/COUNTIF(All!$U3:$U35,Filter!$A3)</f>
        <v>0.81818181818181823</v>
      </c>
    </row>
    <row r="4" spans="1:17" x14ac:dyDescent="0.2">
      <c r="A4" t="s">
        <v>84</v>
      </c>
      <c r="B4" s="3">
        <f>AVERAGEIFS(All!$J:$J,
            All!$G:$G, TRUE,
            All!$H:$H, TRUE,
            All!$I:$I, TRUE,
            All!$U:$U, A4)</f>
        <v>5417</v>
      </c>
      <c r="C4" s="3">
        <f>AVERAGEIFS(All!K:K,
            All!$G:$G, TRUE,
            All!$H:$H, TRUE,
            All!$I:$I, TRUE,
            All!$U:$U, $A4)</f>
        <v>5.5</v>
      </c>
      <c r="D4" s="3">
        <f>AVERAGEIFS(All!L:L,
            All!$G:$G, TRUE,
            All!$H:$H, TRUE,
            All!$I:$I, TRUE,
            All!$U:$U, $A4)</f>
        <v>2029.1237500000002</v>
      </c>
      <c r="E4" s="3">
        <f>AVERAGEIFS(All!M:M,
            All!$G:$G, TRUE,
            All!$H:$H, TRUE,
            All!$I:$I, TRUE,
            All!$U:$U, $A4)</f>
        <v>2142.8812499999999</v>
      </c>
      <c r="F4" s="3">
        <f>AVERAGEIFS(All!N:N,
            All!$G:$G, TRUE,
            All!$H:$H, TRUE,
            All!$I:$I, TRUE,
            All!$U:$U, $A4)</f>
        <v>2004.7750000000001</v>
      </c>
      <c r="G4" s="3">
        <f>AVERAGEIFS(All!O:O,
            All!$G:$G, TRUE,
            All!$H:$H, TRUE,
            All!$I:$I, TRUE,
            All!$U:$U, $A4)</f>
        <v>4.3750000000000004E-2</v>
      </c>
      <c r="H4" s="3">
        <f>AVERAGEIFS(All!P:P,
            All!$G:$G, TRUE,
            All!$H:$H, TRUE,
            All!$I:$I, TRUE,
            All!$U:$U, $A4)</f>
        <v>0.71</v>
      </c>
      <c r="I4" s="3">
        <f>AVERAGEIFS(All!Q:Q,
            All!$G:$G, TRUE,
            All!$H:$H, TRUE,
            All!$I:$I, TRUE,
            All!$U:$U, $A4)</f>
        <v>0.78</v>
      </c>
      <c r="J4" s="3">
        <f>AVERAGEIFS(All!R:R,
            All!$G:$G, TRUE,
            All!$H:$H, TRUE,
            All!$I:$I, TRUE,
            All!$U:$U, $A4)</f>
        <v>0.85571428571428565</v>
      </c>
      <c r="K4" s="3">
        <f>AVERAGEIFS(All!V:V,
            All!$G:$G, TRUE,
            All!$H:$H, TRUE,
            All!$I:$I, TRUE,
            All!$U:$U, $A4)</f>
        <v>1</v>
      </c>
      <c r="L4" s="3">
        <f>AVERAGEIFS(All!W:W,
            All!$G:$G, TRUE,
            All!$H:$H, TRUE,
            All!$I:$I, TRUE,
            All!$U:$U, $A4)</f>
        <v>0.74687499999999996</v>
      </c>
      <c r="M4" s="3">
        <f>AVERAGEIFS(All!X:X,
            All!$G:$G, TRUE,
            All!$H:$H, TRUE,
            All!$I:$I, TRUE,
            All!$U:$U, $A4)</f>
        <v>0.87343749999999998</v>
      </c>
      <c r="N4" s="3">
        <f>AVERAGEIFS(All!Y:Y,
            All!$G:$G, TRUE,
            All!$H:$H, TRUE,
            All!$I:$I, TRUE,
            All!$U:$U, $A4)</f>
        <v>0.37988194444444445</v>
      </c>
      <c r="O4" s="3">
        <f>COUNTIFS(All!G:G,TRUE,All!$U:$U,$A4)/COUNTIF(All!$U4:$U36,Filter!$A4)</f>
        <v>0.8</v>
      </c>
      <c r="P4" s="3">
        <f>COUNTIFS(All!H:H,TRUE,All!$U:$U,$A4)/COUNTIF(All!$U4:$U36,Filter!$A4)</f>
        <v>0.8</v>
      </c>
      <c r="Q4" s="3">
        <f>COUNTIFS(All!I:I,TRUE,All!$U:$U,$A4)/COUNTIF(All!$U4:$U36,Filter!$A4)</f>
        <v>0.8</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99</v>
      </c>
      <c r="P1" s="4" t="s">
        <v>100</v>
      </c>
      <c r="Q1" s="4" t="s">
        <v>101</v>
      </c>
    </row>
    <row r="2" spans="1:17" x14ac:dyDescent="0.2">
      <c r="A2" s="3" t="s">
        <v>102</v>
      </c>
      <c r="B2" s="3">
        <f>AVERAGEIFS(All!J:J,All!$G:$G, TRUE,All!$H:$H, TRUE,All!$I:$I, TRUE)</f>
        <v>3629.3076923076924</v>
      </c>
      <c r="C2" s="3">
        <f>AVERAGEIFS(All!K:K,All!$G:$G, TRUE,All!$H:$H, TRUE,All!$I:$I, TRUE)</f>
        <v>4.2692307692307692</v>
      </c>
      <c r="D2" s="3">
        <f>AVERAGEIFS(All!L:L,All!$G:$G, TRUE,All!$H:$H, TRUE,All!$I:$I, TRUE)</f>
        <v>901.50115384615378</v>
      </c>
      <c r="E2" s="3">
        <f>AVERAGEIFS(All!M:M,All!$G:$G, TRUE,All!$H:$H, TRUE,All!$I:$I, TRUE)</f>
        <v>994.53846153846121</v>
      </c>
      <c r="F2" s="3">
        <f>AVERAGEIFS(All!N:N,All!$G:$G, TRUE,All!$H:$H, TRUE,All!$I:$I, TRUE)</f>
        <v>911.37999999999988</v>
      </c>
      <c r="G2" s="3">
        <f>AVERAGEIFS(All!O:O,All!$G:$G, TRUE,All!$H:$H, TRUE,All!$I:$I, TRUE)</f>
        <v>4.0384615384615394E-2</v>
      </c>
      <c r="H2" s="3">
        <f>AVERAGEIFS(All!P:P,All!$G:$G, TRUE,All!$H:$H, TRUE,All!$I:$I, TRUE)</f>
        <v>0.71269230769230774</v>
      </c>
      <c r="I2" s="3">
        <f>AVERAGEIFS(All!Q:Q,All!$G:$G, TRUE,All!$H:$H, TRUE,All!$I:$I, TRUE)</f>
        <v>0.77307692307692311</v>
      </c>
      <c r="J2" s="3">
        <f>AVERAGEIFS(All!R:R,All!$G:$G, TRUE,All!$H:$H, TRUE,All!$I:$I, TRUE)</f>
        <v>0.87360000000000004</v>
      </c>
      <c r="K2" s="3">
        <f>AVERAGEIFS(All!V:V,All!$G:$G, TRUE,All!$H:$H, TRUE,All!$I:$I, TRUE)</f>
        <v>1</v>
      </c>
      <c r="L2" s="3">
        <f>AVERAGEIFS(All!W:W,All!$G:$G, TRUE,All!$H:$H, TRUE,All!$I:$I, TRUE)</f>
        <v>0.84903846153846163</v>
      </c>
      <c r="M2" s="3">
        <f>AVERAGEIFS(All!X:X,All!$G:$G, TRUE,All!$H:$H, TRUE,All!$I:$I, TRUE)</f>
        <v>0.92451923076923082</v>
      </c>
      <c r="N2" s="3">
        <f>AVERAGEIFS(All!Y:Y,All!$G:$G, TRUE,All!$H:$H, TRUE,All!$I:$I, TRUE)</f>
        <v>0.34639316239316248</v>
      </c>
      <c r="O2" s="3">
        <f>COUNTIFS(All!G:G,TRUE)/COUNTA(All!$U2:$U34)</f>
        <v>0.81818181818181823</v>
      </c>
      <c r="P2" s="3">
        <f>COUNTIFS(All!H:H,TRUE)/COUNTA(All!$U2:$U34)</f>
        <v>0.78787878787878785</v>
      </c>
      <c r="Q2" s="3">
        <f>COUNTIFS(All!I:I,TRUE)/COUNTA(All!$U2:$U34)</f>
        <v>0.81818181818181823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2025-11-27T18:52:59Z</dcterms:modified>
</cp:coreProperties>
</file>