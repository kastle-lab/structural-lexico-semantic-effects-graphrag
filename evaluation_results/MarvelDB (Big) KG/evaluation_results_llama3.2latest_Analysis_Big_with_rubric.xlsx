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chrisdavisj/Downloads/results_filtered/"/>
    </mc:Choice>
  </mc:AlternateContent>
  <xr:revisionPtr revIDLastSave="0" documentId="8_{00DBD64B-4753-D644-AF99-6781359CE9BF}" xr6:coauthVersionLast="47" xr6:coauthVersionMax="47" xr10:uidLastSave="{00000000-0000-0000-0000-000000000000}"/>
  <bookViews>
    <workbookView xWindow="0" yWindow="680" windowWidth="29400" windowHeight="17160" xr2:uid="{00000000-000D-0000-FFFF-FFFF00000000}"/>
  </bookViews>
  <sheets>
    <sheet name="All" sheetId="1" r:id="rId1"/>
    <sheet name="Filter" sheetId="4" r:id="rId2"/>
    <sheet name="By-CQ-Level" sheetId="2" r:id="rId3"/>
    <sheet name="Overal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Q2" i="3"/>
  <c r="O2" i="3"/>
  <c r="L2" i="3"/>
  <c r="M2" i="3"/>
  <c r="N2" i="3"/>
  <c r="K2" i="3"/>
  <c r="C2" i="3"/>
  <c r="D2" i="3"/>
  <c r="E2" i="3"/>
  <c r="F2" i="3"/>
  <c r="G2" i="3"/>
  <c r="H2" i="3"/>
  <c r="I2" i="3"/>
  <c r="J2" i="3"/>
  <c r="B2" i="3"/>
  <c r="P2" i="2"/>
  <c r="Q2" i="2"/>
  <c r="P3" i="2"/>
  <c r="Q3" i="2"/>
  <c r="P4" i="2"/>
  <c r="Q4" i="2"/>
  <c r="O3" i="2"/>
  <c r="O4" i="2"/>
  <c r="O2" i="2"/>
  <c r="L2" i="2"/>
  <c r="M2" i="2"/>
  <c r="N2" i="2"/>
  <c r="L3" i="2"/>
  <c r="M3" i="2"/>
  <c r="N3" i="2"/>
  <c r="L4" i="2"/>
  <c r="M4" i="2"/>
  <c r="N4" i="2"/>
  <c r="K3" i="2"/>
  <c r="K4" i="2"/>
  <c r="K2" i="2"/>
  <c r="D2" i="2"/>
  <c r="E2" i="2"/>
  <c r="F2" i="2"/>
  <c r="G2" i="2"/>
  <c r="H2" i="2"/>
  <c r="I2" i="2"/>
  <c r="J2" i="2"/>
  <c r="D3" i="2"/>
  <c r="E3" i="2"/>
  <c r="F3" i="2"/>
  <c r="G3" i="2"/>
  <c r="H3" i="2"/>
  <c r="I3" i="2"/>
  <c r="J3" i="2"/>
  <c r="D4" i="2"/>
  <c r="E4" i="2"/>
  <c r="F4" i="2"/>
  <c r="G4" i="2"/>
  <c r="H4" i="2"/>
  <c r="I4" i="2"/>
  <c r="J4" i="2"/>
  <c r="C3" i="2"/>
  <c r="C4" i="2"/>
  <c r="C2" i="2"/>
  <c r="B3" i="2"/>
  <c r="B4" i="2"/>
  <c r="B2" i="2"/>
  <c r="B3" i="4"/>
  <c r="B4" i="4"/>
  <c r="B2" i="4"/>
  <c r="D3" i="4"/>
  <c r="D4" i="4"/>
  <c r="D2" i="4"/>
  <c r="C3" i="4"/>
  <c r="C4" i="4"/>
  <c r="C2" i="4"/>
  <c r="A2" i="4" a="1"/>
  <c r="A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<sst xmlns="http://schemas.openxmlformats.org/spreadsheetml/2006/main" count="364" uniqueCount="237">
  <si>
    <t>CQ</t>
  </si>
  <si>
    <t>Prompt</t>
  </si>
  <si>
    <t>Claude_Result</t>
  </si>
  <si>
    <t>Claude_Raw</t>
  </si>
  <si>
    <t>sparql_query</t>
  </si>
  <si>
    <t>eval_json</t>
  </si>
  <si>
    <t>syntax_ok</t>
  </si>
  <si>
    <t>satisfiable</t>
  </si>
  <si>
    <t>deterministic</t>
  </si>
  <si>
    <t>rows</t>
  </si>
  <si>
    <t>vars</t>
  </si>
  <si>
    <t>latency_p50_ms</t>
  </si>
  <si>
    <t>latency_p95_ms</t>
  </si>
  <si>
    <t>latency_mean_ms</t>
  </si>
  <si>
    <t>lexical_query_overlap</t>
  </si>
  <si>
    <t>semantic_similarity_to_CQ</t>
  </si>
  <si>
    <t>semantic_soft_coverage_to_CQ</t>
  </si>
  <si>
    <t>tuple_cohesion</t>
  </si>
  <si>
    <t>always_unbound_vars</t>
  </si>
  <si>
    <t>variables</t>
  </si>
  <si>
    <t>difficulty</t>
  </si>
  <si>
    <t>determinism_score</t>
  </si>
  <si>
    <t>satisfiability_binding_score</t>
  </si>
  <si>
    <t>h1_overall</t>
  </si>
  <si>
    <t>semantic_diversity_score</t>
  </si>
  <si>
    <t>Who are all the characters available?</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</si>
  <si>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</si>
  <si>
    <t>[]</t>
  </si>
  <si>
    <t>simple</t>
  </si>
  <si>
    <t>What are all the movies (and/or TV shows) available?</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</si>
  <si>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</si>
  <si>
    <t>What are the real names and/or primary aliases for each of the characters?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</si>
  <si>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</si>
  <si>
    <t>What are all the associated species or types (e.g., human, Asgardian, AI) for each of the characters?</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</si>
  <si>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</si>
  <si>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What are all the origin locations (e.g., homeworld, birthplace, base) for each of the characters?</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</si>
  <si>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</si>
  <si>
    <t>What are all the release dates (or years), if available, for each of the movies?</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</si>
  <si>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</si>
  <si>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Who are all the director(s) for each of the movies?</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</si>
  <si>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</si>
  <si>
    <t>What are all the listed powers or abilities for each of the characters?</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</si>
  <si>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</si>
  <si>
    <t>What are all the team or organization affiliations for each of the characters?</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</si>
  <si>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</si>
  <si>
    <t>What are all the locations (places) available?</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</si>
  <si>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</si>
  <si>
    <t>What are all the available movies and their directors?</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</si>
  <si>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</si>
  <si>
    <t>What are all the available characters and their primary alias/real name?</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</si>
  <si>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</si>
  <si>
    <t>What are all the character–movie appearance pairs (which characters appear in which movies) available?</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</si>
  <si>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</si>
  <si>
    <t>What are all the actor–character pairs (which actors portray which characters) available?</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</si>
  <si>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</si>
  <si>
    <t>moderate</t>
  </si>
  <si>
    <t>What are all the character–team–movie triples available where a character is a member of a team and appears in a movie?</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</si>
  <si>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</si>
  <si>
    <t>What are all the character–power–movie triples available with respect to characters with specific powers and the movies they appear in?</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</si>
  <si>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</si>
  <si>
    <t>What are all the pairs of characters that are linked through movies and co-appear in at least two movies?</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</si>
  <si>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</si>
  <si>
    <t>What are all the teams and the set of members for each team available?</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</si>
  <si>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</si>
  <si>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What are all the movies and the set of teams that have at least one member appearing in them?</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</si>
  <si>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</si>
  <si>
    <t>What are all locations that are associated with at least one character appearance (e.g., origin or major setting)?</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</si>
  <si>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</si>
  <si>
    <t>What are all the director–actor pairs linked through movies available?</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</si>
  <si>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</si>
  <si>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What are all the available distinct powers and the set of characters associated with each power?</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</si>
  <si>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</si>
  <si>
    <t>What are all the pairs of characters available that have co-appeared in a movie?</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</si>
  <si>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</si>
  <si>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How many movies does each character appear in (character appearance count)?</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</si>
  <si>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</si>
  <si>
    <t>What are all the movies and their counts for each pair of characters that co-appear in multiple movies?</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</si>
  <si>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</si>
  <si>
    <t>What are all the unions of movies for each of the teams in which any of their members appear (team-level filmography)?</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</si>
  <si>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</si>
  <si>
    <t>complex</t>
  </si>
  <si>
    <t>Who are the distinct characters that possess a power, their counts, and rank-ordered by popularity?</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</si>
  <si>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</si>
  <si>
    <t>Who are all the bridge characters that are members of more than one team, and what are those team combinations?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</si>
  <si>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</si>
  <si>
    <t>What are all the sets of characters that have been portrayed across all movies by each of the actors?</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</si>
  <si>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</si>
  <si>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What are all the locations used as settings or associated contexts for multiple movies and/or characters and the counts of those associations?</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</si>
  <si>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</si>
  <si>
    <t>What is the number of unique teams, unique powers, and unique locations represented via their characters for each of the movies?</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</si>
  <si>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</si>
  <si>
    <t>Who are all the other characters connected via shared movie appearances for each of the characters (character co-appearance network)?</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</si>
  <si>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</si>
  <si>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</si>
  <si>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</si>
  <si>
    <t>syntax_ok_rate</t>
  </si>
  <si>
    <t>satisfiable_rate</t>
  </si>
  <si>
    <t>deterministic_rate</t>
  </si>
  <si>
    <t>ALL</t>
  </si>
  <si>
    <t>Complexity</t>
  </si>
  <si>
    <t>Total</t>
  </si>
  <si>
    <t>Valid Syntax</t>
  </si>
  <si>
    <t>Valid all</t>
  </si>
  <si>
    <t>SELECT ?s ?p ?o 
WHERE {
  ?s a owl:NamedNodeNamespace .
  { ?s : id ?id } UNION
  ( SELECT ?s WHERE { ?s : label ?s } )
}
ORDER BY DESC(NULLIF(count(?s),0)) LIMIT 10</t>
  </si>
  <si>
    <t>model='llama3.2:latest' created_at='2025-11-19T23:33:54.933479746Z' done=True done_reason='stop' total_duration=106388311413 load_duration=9962450495 prompt_eval_count=89782 prompt_eval_duration=94573813194 eval_count=62 eval_duration=1561477799 message=Message(role='assistant', content='SELECT ?s ?p ?o \nWHERE {\n  ?s a owl:NamedNodeNamespace .\n  { ?s : id ?id } UNION\n  ( SELECT ?s WHERE { ?s : label ?s } )\n}\nORDER BY DESC(NULLIF(count(?s),0)) LIMIT 10',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</si>
  <si>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?p ?o 
WHERE {
  ?s a owl:NamedNodeNamespace .
  { ?s : id ?id } UNION
  ( SELECT ?s WHERE { ?s : label ?s } )
}
ORDER BY DESC(NULLIF(count(?s),0)) LIMIT 10</t>
  </si>
  <si>
    <t>ERROR: QueryBadFormed: A bad request has been sent to the endpoint: probably the SPARQL query is badly formed. 
Response:
b'Parse error: Line 15, column 8: Unresolved prefixed name: :\n'</t>
  </si>
  <si>
    <t>```sparql
PREFIX skos &lt;http://www.w3.org/2004/02/skos/core#&gt;
PREFIX rdf &lt;http://www.w3.org/1999/02/22-rdf-syntax-ns#&gt;
PREFIX rdfs &lt;http://www.w3.org/2000/01/rdf-schema#&gt;
SELECT ?query 
WHERE {
  BIND("CONSTRUCT { ?query skos:prefLabel \" competency question \". } AS ?result)
}
```</t>
  </si>
  <si>
    <t>model='llama3.2:latest' created_at='2025-11-19T23:35:36.328784097Z' done=True done_reason='stop' total_duration=100325896173 load_duration=1576169155 prompt_eval_count=89788 prompt_eval_duration=95891411395 eval_count=99 eval_duration=2517235643 message=Message(role='assistant', content='```sparql\nPREFIX skos &lt;http://www.w3.org/2004/02/skos/core#&gt;\nPREFIX rdf &lt;http://www.w3.org/1999/02/22-rdf-syntax-ns#&gt;\nPREFIX rdfs &lt;http://www.w3.org/2000/01/rdf-schema#&gt;\n\nSELECT ?query \nWHERE {\n  BIND("CONSTRUCT { ?query skos:prefLabel \\" competency question \\". } AS ?result)\n}\n```',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</si>
  <si>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skos &lt;http://www.w3.org/2004/02/skos/core#&gt;
PREFIX rdf &lt;http://www.w3.org/1999/02/22-rdf-syntax-ns#&gt;
PREFIX rdfs &lt;http://www.w3.org/2000/01/rdf-schema#&gt;
SELECT ?query 
WHERE {
  BIND("CONSTRUCT { ?query skos:prefLabel \" competency question \". } AS ?result)
}</t>
  </si>
  <si>
    <t>ERROR: QueryBadFormed: A bad request has been sent to the endpoint: probably the SPARQL query is badly formed. 
Response:
b'Parse error: Lexical error at line 13, column 12.  Encountered: \'32\' (32), after prefix "skos"\n'</t>
  </si>
  <si>
    <t>SELECT ?s ?p ?o 
WHERE {
  ?s ?p ?o . FILTER ( NOT EXISTS ({?s ?p ?o.} ) )
}
ORDER BY DESC (?)</t>
  </si>
  <si>
    <t>model='llama3.2:latest' created_at='2025-11-19T23:37:15.070202351Z' done=True done_reason='stop' total_duration=98351554513 load_duration=1139413568 prompt_eval_count=89790 prompt_eval_duration=95940403965 eval_count=39 eval_duration=982642550 message=Message(role='assistant', content='SELECT ?s ?p ?o \nWHERE {\n  ?s ?p ?o . FILTER ( NOT EXISTS ({?s ?p ?o.} ) )\n}\nORDER BY DESC (?)',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</si>
  <si>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?p ?o 
WHERE {
  ?s ?p ?o . FILTER ( NOT EXISTS ({?s ?p ?o.} ) )
}
ORDER BY DESC (?)</t>
  </si>
  <si>
    <t>ERROR: QueryBadFormed: A bad request has been sent to the endpoint: probably the SPARQL query is badly formed. 
Response:
b'Parse error: Encountered " "(" "( "" at line 14, column 34.\n'</t>
  </si>
  <si>
    <t>SELECT ?s ?p ?o 
WHERE {
  ?s a &lt;http://www.w3.org/2000/01/rdf-schema#Concept&gt; .
  filter(regex(?s, "^http://dbkwik.webdatacommons.org/marvel.wikia.com/resource/", "i")).
  ?s &lt;http://schema.org/ontology#label&gt; ?o .
}
RETURN json(?)</t>
  </si>
  <si>
    <t>model='llama3.2:latest' created_at='2025-11-19T23:38:55.446059186Z' done=True done_reason='stop' total_duration=99732519203 load_duration=1413748681 prompt_eval_count=89801 prompt_eval_duration=95883589945 eval_count=83 eval_duration=2105119047 message=Message(role='assistant', content='SELECT ?s ?p ?o \nWHERE {\n  ?s a &lt;http://www.w3.org/2000/01/rdf-schema#Concept&gt; .\n  filter(regex(?s, "^http://dbkwik.webdatacommons.org/marvel.wikia.com/resource/", "i")).\n  ?s &lt;http://schema.org/ontology#label&gt; ?o .\n}\nRETURN json(?)',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</si>
  <si>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?p ?o 
WHERE {
  ?s a &lt;http://www.w3.org/2000/01/rdf-schema#Concept&gt; .
  filter(regex(?s, "^http://dbkwik.webdatacommons.org/marvel.wikia.com/resource/", "i")).
  ?s &lt;http://schema.org/ontology#label&gt; ?o .
}
RETURN json(?)</t>
  </si>
  <si>
    <t>ERROR: QueryBadFormed: A bad request has been sent to the endpoint: probably the SPARQL query is badly formed. 
Response:
b'Parse error: Lexical error at line 19, column 7.  Encountered: \'32\' (32), after prefix "RETURN"\n'</t>
  </si>
  <si>
    <t>```sparql
PREFIX ns1: &lt;http://dbkwik.webdatacommons.org/marvel.wikia.com/property/&gt;
PREFIX ns2: &lt;http://dbkwik.webdatacommons.org/marvel.wikia.com/class/r&gt;
PREFIX owl: &lt;http://www.w3.org/2002/07/owl#&gt;
SELECT ?uri
WHERE {
  ?uri a ns1:origin.
}
```</t>
  </si>
  <si>
    <t>model='llama3.2:latest' created_at='2025-11-19T23:40:36.774926573Z' done=True done_reason='stop' total_duration=100103024772 load_duration=1616197026 prompt_eval_count=89799 prompt_eval_duration=95973784656 eval_count=86 eval_duration=2184153813 message=Message(role='assistant', content='```sparql\nPREFIX ns1: &lt;http://dbkwik.webdatacommons.org/marvel.wikia.com/property/&gt;\nPREFIX ns2: &lt;http://dbkwik.webdatacommons.org/marvel.wikia.com/class/r&gt;\nPREFIX owl: &lt;http://www.w3.org/2002/07/owl#&gt;\n\nSELECT ?uri\nWHERE {\n  ?uri a ns1:origin.\n}\n```', thinking=None, images=None, tool_calls=None)</t>
  </si>
  <si>
    <t>PREFIX dc: &lt;http://purl.org/dc/elements/1.1/&gt;
PREFIX dcterms: &lt;http://purl.org/dc/terms/&gt;
PREFIX foaf: &lt;http://xmlns.com/foaf/0.1/&gt;
PREFIX ns3: &lt;http://dbkwik.webdatacommons.org/marvel.wikia.com/property/%3&gt;
PREFIX ns7: &lt;http://dbkwik.webdatacommons.org/marvel.wikia.com/property/alternate232%60&gt;
PREFIX rdf: &lt;http://www.w3.org/1999/02/22-rdf-syntax-ns#&gt;
PREFIX rdfs: &lt;http://www.w3.org/2000/01/rdf-schema#&gt;
PREFIX skos: &lt;http://www.w3.org/2004/02/skos/core#&gt;
PREFIX xsd: &lt;http://www.w3.org/2001/XMLSchema#&gt;
PREFIX ns1: &lt;http://dbkwik.webdatacommons.org/marvel.wikia.com/property/&gt;
PREFIX ns2: &lt;http://dbkwik.webdatacommons.org/marvel.wikia.com/class/r&gt;
PREFIX owl: &lt;http://www.w3.org/2002/07/owl#&gt;
SELECT ?uri
WHERE {
  ?uri a ns1:origin.
}</t>
  </si>
  <si>
    <t>{
  "cq_text": "What are all the origin locations (e.g., homeworld, birthplace, base) for each of the characters?",
  "syntax_ok": true,
  "satisfiable": false,
  "deterministic": true,
  "latency": {
    "p50_ms": 7.17,
    "p95_ms": 14.27,
    "mean_ms": 9.5
  },
  "rows": 0,
  "vars": 1,
  "always_unbound_vars": [
    "uri"
  ],
  "lexical_query_overlap": 0.0,
  "semantic_similarity_to_CQ": 0.63,
  "semantic_soft_coverage_to_CQ": 0.73,
  "tuple_cohesion": null,
  "variables": [
    {
      "var": "uri",
      "rows": 0,
      "distinct": 0,
      "null_rate": 1.0,
      "label_resolution_rate": 0.0,
      "diversity_entropy_norm": 0.0,
      "semantic_cohesion": 1.0,
      "dup_ratio": 0.0,
      "bound_rate": 0.0
    }
  ]
}</t>
  </si>
  <si>
    <t>["uri"]</t>
  </si>
  <si>
    <t>[{"var": "uri", "rows": 0, "distinct": 0, "null_rate": 1.0, "label_resolution_rate": 0.0, "diversity_entropy_norm": 0.0, "semantic_cohesion": 1.0, "dup_ratio": 0.0, "bound_rate": 0.0}]</t>
  </si>
  <si>
    <t>```
PREFIX skos: &lt;http://www.w3.org/2004/02/skos/core#&gt;
PREFIX owl: &lt;http://www.w3.org/2002/07/owl#&gt;
SELECT ?q 
WHERE {
  ?q a skos:Concept .
  SERVICE dfn:query {"?s rdfs:*; bind(str(?s) + " ") as "?qs" . }
}
```</t>
  </si>
  <si>
    <t>model='llama3.2:latest' created_at='2025-11-19T23:42:16.839166473Z' done=True done_reason='stop' total_duration=99610530594 load_duration=1126077521 prompt_eval_count=89794 prompt_eval_duration=95961800655 eval_count=86 eval_duration=2181805866 message=Message(role='assistant', content='```\nPREFIX skos: &lt;http://www.w3.org/2004/02/skos/core#&gt;\nPREFIX owl: &lt;http://www.w3.org/2002/07/owl#&gt;\n\nSELECT ?q \nWHERE {\n  ?q a skos:Concept .\n  SERVICE dfn:query {"?s rdfs:*; bind(str(?s) + " ") as "?qs" . }\n}\n```',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</si>
  <si>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rdf: &lt;http://www.w3.org/1999/02/22-rdf-syntax-ns#&gt;
PREFIX rdfs: &lt;http://www.w3.org/2000/01/rdf-schema#&gt;
PREFIX xsd: &lt;http://www.w3.org/2001/XMLSchema#&gt;
PREFIX skos: &lt;http://www.w3.org/2004/02/skos/core#&gt;
PREFIX owl: &lt;http://www.w3.org/2002/07/owl#&gt;
SELECT ?q 
WHERE {
  ?q a skos:Concept .
  SERVICE dfn:query {"?s rdfs:*; bind(str(?s) + " ") as "?qs" . }
}</t>
  </si>
  <si>
    <t>ERROR: QueryBadFormed: A bad request has been sent to the endpoint: probably the SPARQL query is badly formed. 
Response:
b'Parse error: Line 15, column 11: Unresolved prefixed name: dfn:query\n'</t>
  </si>
  <si>
    <t>SELECT DISTINCT ?s 
WHERE {
  ?s a owl:Class .
}</t>
  </si>
  <si>
    <t>model='llama3.2:latest' created_at='2025-11-19T23:43:54.902103698Z' done=True done_reason='stop' total_duration=97761988188 load_duration=1092909436 prompt_eval_count=89788 prompt_eval_duration=95976997131 eval_count=17 eval_duration=418082197 message=Message(role='assistant', content='SELECT DISTINCT ?s \nWHERE {\n  ?s a owl:Class .\n}',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</si>
  <si>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DISTINCT ?s 
WHERE {
  ?s a owl:Class .
}</t>
  </si>
  <si>
    <t>{
  "cq_text": "Who are all the director(s) for each of the movies?",
  "syntax_ok": true,
  "satisfiable": true,
  "deterministic": true,
  "latency": {
    "p50_ms": 13.67,
    "p95_ms": 21.35,
    "mean_ms": 16.17
  },
  "rows": 186,
  "vars": 0,
  "always_unbound_vars": [],
  "lexical_query_overlap": 0.08,
  "semantic_similarity_to_CQ": 0.6,
  "semantic_soft_coverage_to_CQ": 0.7,
  "tuple_cohesion": null,
  "variables": []
}</t>
  </si>
  <si>
    <t>SELECT DISTINCT ?uri WHERE { ?uri a :Marvel_Wiki.}</t>
  </si>
  <si>
    <t>model='llama3.2:latest' created_at='2025-11-19T23:45:34.012916493Z' done=True done_reason='stop' total_duration=98040818057 load_duration=1394713926 prompt_eval_count=89789 prompt_eval_duration=95978081474 eval_count=16 eval_duration=395471396 message=Message(role='assistant', content='SELECT DISTINCT ?uri WHERE { ?uri a :Marvel_Wiki.}',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</si>
  <si>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DISTINCT ?uri WHERE { ?uri a :Marvel_Wiki.}</t>
  </si>
  <si>
    <t>ERROR: QueryBadFormed: A bad request has been sent to the endpoint: probably the SPARQL query is badly formed. 
Response:
b'Parse error: Line 13, column 21: Unresolved prefixed name: :Marvel_Wiki\n'</t>
  </si>
  <si>
    <t>SELECT ?p ?o 
WHERE { ?p ?o . FILTER ( REGEX ("^http://dbkwik.webdatacommons.org/marvel.wikia.com/resource/") ) }</t>
  </si>
  <si>
    <t>model='llama3.2:latest' created_at='2025-11-19T23:47:14.092055407Z' done=True done_reason='stop' total_duration=99142746882 load_duration=1947470988 prompt_eval_count=89790 prompt_eval_duration=95930218681 eval_count=39 eval_duration=977161651 message=Message(role='assistant', content='SELECT ?p ?o \nWHERE { ?p ?o . FILTER ( REGEX ("^http://dbkwik.webdatacommons.org/marvel.wikia.com/resource/") ) }',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</si>
  <si>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?p ?o 
WHERE { ?p ?o . FILTER ( REGEX ("^http://dbkwik.webdatacommons.org/marvel.wikia.com/resource/") ) }</t>
  </si>
  <si>
    <t>ERROR: QueryBadFormed: A bad request has been sent to the endpoint: probably the SPARQL query is badly formed. 
Response:
b'Parse error: Encountered " "." ". "" at line 13, column 20.\n'</t>
  </si>
  <si>
    <t>SELECT DISTINCT ?query 
FROM [Your Database] 
WHERE [ competency question ] LIKE "%What are all the locations (places) available?" 
AND EXISTS (
    SELECT * 
    FROM [schema]
    WHERE column = 'query' AND value = '&lt;SPARQL query to answer the competency question&gt;' )</t>
  </si>
  <si>
    <t>model='llama3.2:latest' created_at='2025-11-19T23:48:54.791367552Z' done=True done_reason='stop' total_duration=99607777012 load_duration=1762571869 prompt_eval_count=89785 prompt_eval_duration=95925596128 eval_count=64 eval_duration=1612063812 message=Message(role='assistant', content='SELECT DISTINCT ?query \nFROM [Your Database] \nWHERE [ competency question ] LIKE "%What are all the locations (places) available?" \nAND EXISTS (\n    SELECT * \n    FROM [schema]\n    WHERE column = \'query\' AND value = \'&lt;SPARQL query to answer the competency question&gt;\' )',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</si>
  <si>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DISTINCT ?query 
FROM [Your Database] 
WHERE [ competency question ] LIKE "%What are all the locations (places) available?" 
AND EXISTS (
    SELECT * 
    FROM [schema]
    WHERE column = 'query' AND value = '&lt;SPARQL query to answer the competency question&gt;' )</t>
  </si>
  <si>
    <t>ERROR: QueryBadFormed: A bad request has been sent to the endpoint: probably the SPARQL query is badly formed. 
Response:
b'Parse error: Encountered " "[" "[ "" at line 14, column 6.\n'</t>
  </si>
  <si>
    <t>```
PREFIX ns1: &lt;http://dbkwik.webdatacommons.org/marvel.wikia.com/property/&gt;
SELECT ?s ?o WHERE {
  ?s a ns1:A1ternate .
  ?s a ns1:after .
  ?s a ns1:before .
  ?s a ns1:align .
  ?s a ns1:alternate .
  ?s a ns1:appearing .
  ?s a ns1:background .
  ?s a ns1:baseofoperations .
  ?s a ns1:body .
  ?s a ns1:border .
  ?s a ns1:box .
  ?s a ns1:box1Image .
  ?s a ns1:box1Text .
  ?s a ns1:box2Image .
  ?s a ns1:box2Text .
  ?s a ns1:box3Image .
  ?s a ns1:box3Text .
  ?s a ns1:box4Image .
  ?s a ns1:box4Text .
  ?s a ns1:box5Image .
  ?s a ns1:box5Text .
  ?s a ns1:box6Image .
  ?s a ns1:box6Text .
  ?s a ns1:box7Image .
  ?s a ns1:box7Text .
  ?s a ns1:box8Image .
  ?s a ns1:box8Text .
  ?s a ns1:charref .
  ?s a ns1:citizenship .
  ?s a ns1:colourist .
  ?s a ns1:creators .
  ?s a ns1:crossovers .
  ?s a ns1:death .
  ?s a ns1:description .
  ?s a ns1:durability .
  ?s a ns1:editor .
  ?s a ns1:endmonth .
  ?s a ns1:endyear .
  ?s a ns1:energyProjection .
  ?s a ns1:equipment .
  ?s a ns1:explanation .
  ?s a ns1:externallinks .
  ?s a ns1:eyes .
  ?s a ns1:fandurability .
  ?s a ns1:fanenergyProjection .
  ?s a ns1:fanfightingSkills .
  ?s a ns1:fanintelligence .
  ?s a ns1:fanreference .
  ?s a ns1:fanspeed .
  ?s a ns1:fanstrength .
  ?s a ns1:featured .
  ?s a ns1:fightingSkills .
  ?s a ns1:first .
  ?s a ns1:firstissue .
  ?s a ns1:formattedtitle .
  ?s a ns1:gender .
  ?s a ns1:group .
  ?s a ns1:hair .
  ?s a ns1:historytext .
  ?s a ns1:id .
  ?s a ns1:identity .
  ?s a ns1:imageSize .
  ?s a ns1:imagesize .
  ?s a ns1:inker .
  ?s a ns1:intelligence .
  ?s a ns1:issueimage .
  ?s a ns1:issuelist .
  ?s a ns1:lastissue .
  ?s a ns1:letterer .
  ?s a ns1:links .
  ?s a ns1:linktext .
  ?s a ns1:logo .
  ?s a ns1:mainCharacter .
  ?s a ns1:mainImageSize .
  ?s a ns1:mainPicSize .
  ?s a ns1:mainimagesize .
  ?s a ns1:message .
  ?s a ns1:month .
  ?s a ns1:movies .
  ?s a ns1:name .
  ?s a ns1:newHeader .
  ?s a ns1:newHeader1X .
  ?s a ns1:next .
  ?s a ns1:nextissue .
  ?s a ns1:nextvol .
  ?s a ns1:note .
  ?s a ns1:notes .
  ?s a ns1:origin .
  ?s a ns1:other .
  ?s a ns1:others .
  ?s a ns1:penciler .
  ?s a ns1:placeofbirth .
  ?s a ns1:powers .
  ?s a ns1:previous .
  ?s a ns1:previousissue .
  ?s a ns1:previousvol .
  ?s a ns1:pthers .
  ?s a ns1:publisher .
  ?s a ns1:realname .
  ?s a ns1:realted .
  ?s a ns1:reference .
  ?s a ns1:references .
  ?s a ns1:relatives .
  ?s a ns1:solicit .
  ?s a ns1:speed .
  ?s a ns1:startmonth .
  ?s a ns1:startyear .
  ?s a ns1:story .
  ?s a ns1:story1link .
  ?s a ns1:story3link .
  ?s a ns1:storyarcs .
  ?s a ns1:strength .
  ?s a ns1:teames .
  ?s a ns1:teams .
  ?s a ns1:television .
  ?s a ns1:title .
  ?s a ns1:titleImage .
  ?s a ns1:totalissues .
  ?s a ns1:trivia .
  ?s a ns1:type .
  ?s a ns1:universe .
  ?s a ns1:videoGame .
  ?s a ns1:videoGames .
  ?s a ns1:volumelogo .
  ?s a ns1:width .
  ?s a ns1:writer .
  ?s a ns1:years .
}</t>
  </si>
  <si>
    <t>model='llama3.2:latest' created_at='2025-11-20T14:22:45.842114108Z' done=True done_reason='stop' total_duration=131619765834 load_duration=1531984097 prompt_eval_count=89785 prompt_eval_duration=95943373550 eval_count=1270 eval_duration=32995225044 message=Message(role='assistant', content='```\nPREFIX ns1: &lt;http://dbkwik.webdatacommons.org/marvel.wikia.com/property/&gt;\n\nSELECT ?s ?o WHERE {\n  ?s a ns1:A1ternate .\n  ?s a ns1:after .\n  ?s a ns1:before .\n  ?s a ns1:align .\n  ?s a ns1:alternate .\n  ?s a ns1:appearing .\n  ?s a ns1:background .\n  ?s a ns1:baseofoperations .\n  ?s a ns1:body .\n  ?s a ns1:border .\n  ?s a ns1:box .\n  ?s a ns1:box1Image .\n  ?s a ns1:box1Text .\n  ?s a ns1:box2Image .\n  ?s a ns1:box2Text .\n  ?s a ns1:box3Image .\n  ?s a ns1:box3Text .\n  ?s a ns1:box4Image .\n  ?s a ns1:box4Text .\n  ?s a ns1:box5Image .\n  ?s a ns1:box5Text .\n  ?s a ns1:box6Image .\n  ?s a ns1:box6Text .\n  ?s a ns1:box7Image .\n  ?s a ns1:box7Text .\n  ?s a ns1:box8Image .\n  ?s a ns1:box8Text .\n  ?s a ns1:charref .\n  ?s a ns1:citizenship .\n  ?s a ns1:colourist .\n  ?s a ns1:creators .\n  ?s a ns1:crossovers .\n  ?s a ns1:death .\n  ?s a ns1:description .\n  ?s a ns1:durability .\n  ?s a ns1:editor .\n  ?s a ns1:endmonth .\n  ?s a ns1:endyear .\n  ?s a ns1:energyProjection .\n  ?s a ns1:equipment .\n  ?s a ns1:explanation .\n  ?s a ns1:externallinks .\n  ?s a ns1:eyes .\n  ?s a ns1:fandurability .\n  ?s a ns1:fanenergyProjection .\n  ?s a ns1:fanfightingSkills .\n  ?s a ns1:fanintelligence .\n  ?s a ns1:fanreference .\n  ?s a ns1:fanspeed .\n  ?s a ns1:fanstrength .\n  ?s a ns1:featured .\n  ?s a ns1:fightingSkills .\n  ?s a ns1:first .\n  ?s a ns1:firstissue .\n  ?s a ns1:formattedtitle .\n  ?s a ns1:gender .\n  ?s a ns1:group .\n  ?s a ns1:hair .\n  ?s a ns1:historytext .\n  ?s a ns1:id .\n  ?s a ns1:identity .\n  ?s a ns1:imageSize .\n  ?s a ns1:imagesize .\n  ?s a ns1:inker .\n  ?s a ns1:intelligence .\n  ?s a ns1:issueimage .\n  ?s a ns1:issuelist .\n  ?s a ns1:lastissue .\n  ?s a ns1:letterer .\n  ?s a ns1:links .\n  ?s a ns1:linktext .\n  ?s a ns1:logo .\n  ?s a ns1:mainCharacter .\n  ?s a ns1:mainImageSize .\n  ?s a ns1:mainPicSize .\n  ?s a ns1:mainimagesize .\n  ?s a ns1:message .\n  ?s a ns1:month .\n  ?s a ns1:movies .\n  ?s a ns1:name .\n  ?s a ns1:newHeader .\n  ?s a ns1:newHeader1X .\n  ?s a ns1:next .\n  ?s a ns1:nextissue .\n  ?s a ns1:nextvol .\n  ?s a ns1:note .\n  ?s a ns1:notes .\n  ?s a ns1:origin .\n  ?s a ns1:other .\n  ?s a ns1:others .\n  ?s a ns1:penciler .\n  ?s a ns1:placeofbirth .\n  ?s a ns1:powers .\n  ?s a ns1:previous .\n  ?s a ns1:previousissue .\n  ?s a ns1:previousvol .\n  ?s a ns1:pthers .\n  ?s a ns1:publisher .\n  ?s a ns1:realname .\n  ?s a ns1:realted .\n  ?s a ns1:reference .\n  ?s a ns1:references .\n  ?s a ns1:relatives .\n  ?s a ns1:solicit .\n  ?s a ns1:speed .\n  ?s a ns1:startmonth .\n  ?s a ns1:startyear .\n  ?s a ns1:story .\n  ?s a ns1:story1link .\n  ?s a ns1:story3link .\n  ?s a ns1:storyarcs .\n  ?s a ns1:strength .\n  ?s a ns1:teames .\n  ?s a ns1:teams .\n  ?s a ns1:television .\n  ?s a ns1:title .\n  ?s a ns1:titleImage .\n  ?s a ns1:totalissues .\n  ?s a ns1:trivia .\n  ?s a ns1:type .\n  ?s a ns1:universe .\n  ?s a ns1:videoGame .\n  ?s a ns1:videoGames .\n  ?s a ns1:volumelogo .\n  ?s a ns1:width .\n  ?s a ns1:writer .\n  ?s a ns1:years .\n}', thinking=None,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</si>
  <si>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?s ?o WHERE {
  ?s a ns1:A1ternate .
  ?s a ns1:after .
  ?s a ns1:before .
  ?s a ns1:align .
  ?s a ns1:alternate .
  ?s a ns1:appearing .
  ?s a ns1:background .
  ?s a ns1:baseofoperations .
  ?s a ns1:body .
  ?s a ns1:border .
  ?s a ns1:box .
  ?s a ns1:box1Image .
  ?s a ns1:box1Text .
  ?s a ns1:box2Image .
  ?s a ns1:box2Text .
  ?s a ns1:box3Image .
  ?s a ns1:box3Text .
  ?s a ns1:box4Image .
  ?s a ns1:box4Text .
  ?s a ns1:box5Image .
  ?s a ns1:box5Text .
  ?s a ns1:box6Image .
  ?s a ns1:box6Text .
  ?s a ns1:box7Image .
  ?s a ns1:box7Text .
  ?s a ns1:box8Image .
  ?s a ns1:box8Text .
  ?s a ns1:charref .
  ?s a ns1:citizenship .
  ?s a ns1:colourist .
  ?s a ns1:creators .
  ?s a ns1:crossovers .
  ?s a ns1:death .
  ?s a ns1:description .
  ?s a ns1:durability .
  ?s a ns1:editor .
  ?s a ns1:endmonth .
  ?s a ns1:endyear .
  ?s a ns1:energyProjection .
  ?s a ns1:equipment .
  ?s a ns1:explanation .
  ?s a ns1:externallinks .
  ?s a ns1:eyes .
  ?s a ns1:fandurability .
  ?s a ns1:fanenergyProjection .
  ?s a ns1:fanfightingSkills .
  ?s a ns1:fanintelligence .
  ?s a ns1:fanreference .
  ?s a ns1:fanspeed .
  ?s a ns1:fanstrength .
  ?s a ns1:featured .
  ?s a ns1:fightingSkills .
  ?s a ns1:first .
  ?s a ns1:firstissue .
  ?s a ns1:formattedtitle .
  ?s a ns1:gender .
  ?s a ns1:group .
  ?s a ns1:hair .
  ?s a ns1:historytext .
  ?s a ns1:id .
  ?s a ns1:identity .
  ?s a ns1:imageSize .
  ?s a ns1:imagesize .
  ?s a ns1:inker .
  ?s a ns1:intelligence .
  ?s a ns1:issueimage .
  ?s a ns1:issuelist .
  ?s a ns1:lastissue .
  ?s a ns1:letterer .
  ?s a ns1:links .
  ?s a ns1:linktext .
  ?s a ns1:logo .
  ?s a ns1:mainCharacter .
  ?s a ns1:mainImageSize .
  ?s a ns1:mainPicSize .
  ?s a ns1:mainimagesize .
  ?s a ns1:message .
  ?s a ns1:month .
  ?s a ns1:movies .
  ?s a ns1:name .
  ?s a ns1:newHeader .
  ?s a ns1:newHeader1X .
  ?s a ns1:next .
  ?s a ns1:nextissue .
  ?s a ns1:nextvol .
  ?s a ns1:note .
  ?s a ns1:notes .
  ?s a ns1:origin .
  ?s a ns1:other .
  ?s a ns1:others .
  ?s a ns1:penciler .
  ?s a ns1:placeofbirth .
  ?s a ns1:powers .
  ?s a ns1:previous .
  ?s a ns1:previousissue .
  ?s a ns1:previousvol .
  ?s a ns1:pthers .
  ?s a ns1:publisher .
  ?s a ns1:realname .
  ?s a ns1:realted .
  ?s a ns1:reference .
  ?s a ns1:references .
  ?s a ns1:relatives .
  ?s a ns1:solicit .
  ?s a ns1:speed .
  ?s a ns1:startmonth .
  ?s a ns1:startyear .
  ?s a ns1:story .
  ?s a ns1:story1link .
  ?s a ns1:story3link .
  ?s a ns1:storyarcs .
  ?s a ns1:strength .
  ?s a ns1:teames .
  ?s a ns1:teams .
  ?s a ns1:television .
  ?s a ns1:title .
  ?s a ns1:titleImage .
  ?s a ns1:totalissues .
  ?s a ns1:trivia .
  ?s a ns1:type .
  ?s a ns1:universe .
  ?s a ns1:videoGame .
  ?s a ns1:videoGames .
  ?s a ns1:volumelogo .
  ?s a ns1:width .
  ?s a ns1:writer .
  ?s a ns1:years .
}</t>
  </si>
  <si>
    <t>{
  "cq_text": "What are all the available movies and their directors?",
  "syntax_ok": true,
  "satisfiable": false,
  "deterministic": true,
  "latency": {
    "p50_ms": 23.75,
    "p95_ms": 24.96,
    "mean_ms": 23.23
  },
  "rows": 0,
  "vars": 0,
  "always_unbound_vars": [],
  "lexical_query_overlap": 0.0,
  "semantic_similarity_to_CQ": 0.62,
  "semantic_soft_coverage_to_CQ": 0.76,
  "tuple_cohesion": null,
  "variables": []
}</t>
  </si>
  <si>
    <t>SELECT ?s 
WHERE {
  ?s a &lt;http://www.w3.org/2000/01/rdf-schema#Property&gt;
}</t>
  </si>
  <si>
    <t>model='llama3.2:latest' created_at='2025-11-20T14:24:24.364924337Z' done=True done_reason='stop' total_duration=98093443179 load_duration=1102636355 prompt_eval_count=89789 prompt_eval_duration=95976080945 eval_count=30 eval_duration=747794330 message=Message(role='assistant', content='SELECT ?s \nWHERE {\n  ?s a &lt;http://www.w3.org/2000/01/rdf-schema#Property&gt;\n}',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</si>
  <si>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WHERE {
  ?s a &lt;http://www.w3.org/2000/01/rdf-schema#Property&gt;
}</t>
  </si>
  <si>
    <t>{
  "cq_text": "What are all the available characters and their primary alias/real name?",
  "syntax_ok": true,
  "satisfiable": false,
  "deterministic": true,
  "latency": {
    "p50_ms": 9.88,
    "p95_ms": 11.31,
    "mean_ms": 9.91
  },
  "rows": 0,
  "vars": 0,
  "always_unbound_vars": [],
  "lexical_query_overlap": 0.0,
  "semantic_similarity_to_CQ": 0.61,
  "semantic_soft_coverage_to_CQ": 0.68,
  "tuple_cohesion": null,
  "variables": []
}</t>
  </si>
  <si>
    <t>```
SELECT ?s 
WHERE {
  BIND ("PREFIX ns1: &lt;http://dbkwik.webdatacommons.org/marvel.wikia.com/property/&gt;;
         PREFIX ns2: &lt;http://dbkwik.webdatacommons.org/marvel.wikia.com/class/r&gt;;
         PREFIX ns3: &lt;http://dbkwik.webdatacommons.org/marvel.wikia.com/property/%3&gt;;
         PREFIX rdfs: &lt;http://www.w3.org/2000/01/rdf-schema#&gt;;
         PREFIX owl: &lt;http://www.w3.org/2002/07/owl#&gt;;
         PREFIX rdf: &lt;http://www.w3.org/1999/02/22-rdf-syntax-ns#&gt;;
         PREFIX skos: &lt;http://www.w3.org/2004/02/skos/core#&gt;;
         PREFIX xsd: &lt;http://www.w3.org/2001/XMLSchema#&gt;;
  SELECT ?s ?p ?o
  WHERE { 
    ?s rdfs:label ?label .
    ?s ns3:CdivAlign ?value .
    ?s ns3:appearing ?value2 .
    ?s ns3:description ?description .
    ?s ns7:_ ?value .
    ?s owl:sameAs ?url .
  }")
```</t>
  </si>
  <si>
    <t>model='llama3.2:latest' created_at='2025-11-20T14:26:10.780500304Z' done=True done_reason='stop' total_duration=105303485699 load_duration=2004664488 prompt_eval_count=89794 prompt_eval_duration=95960759950 eval_count=270 eval_duration=6878720943 message=Message(role='assistant', content='```\nSELECT ?s \nWHERE {\n  BIND ("PREFIX ns1: &lt;http://dbkwik.webdatacommons.org/marvel.wikia.com/property/&gt;;\n         PREFIX ns2: &lt;http://dbkwik.webdatacommons.org/marvel.wikia.com/class/r&gt;;\n         PREFIX ns3: &lt;http://dbkwik.webdatacommons.org/marvel.wikia.com/property/%3&gt;;\n         PREFIX rdfs: &lt;http://www.w3.org/2000/01/rdf-schema#&gt;;\n         PREFIX owl: &lt;http://www.w3.org/2002/07/owl#&gt;;\n         PREFIX rdf: &lt;http://www.w3.org/1999/02/22-rdf-syntax-ns#&gt;;\n         PREFIX skos: &lt;http://www.w3.org/2004/02/skos/core#&gt;;\n         PREFIX xsd: &lt;http://www.w3.org/2001/XMLSchema#&gt;;\n\n  SELECT ?s ?p ?o\n  WHERE { \n    ?s rdfs:label ?label .\n    ?s ns3:CdivAlign ?value .\n    ?s ns3:appearing ?value2 .\n    ?s ns3:description ?description .\n    ?s ns7:_ ?value .\n    ?s owl:sameAs ?url .\n  }")\n```', thinking=None, images=None, tool_calls=None)</t>
  </si>
  <si>
    <t>PREFIX dc: &lt;http://purl.org/dc/elements/1.1/&gt;
PREFIX dcterms: &lt;http://purl.org/dc/terms/&gt;
PREFIX foaf: &lt;http://xmlns.com/foaf/0.1/&gt;
PREFIX ns7: &lt;http://dbkwik.webdatacommons.org/marvel.wikia.com/property/alternate232%60&gt;
SELECT ?s 
WHERE {
  BIND ("PREFIX ns1: &lt;http://dbkwik.webdatacommons.org/marvel.wikia.com/property/&gt;;
         PREFIX ns2: &lt;http://dbkwik.webdatacommons.org/marvel.wikia.com/class/r&gt;;
         PREFIX ns3: &lt;http://dbkwik.webdatacommons.org/marvel.wikia.com/property/%3&gt;;
         PREFIX rdfs: &lt;http://www.w3.org/2000/01/rdf-schema#&gt;;
         PREFIX owl: &lt;http://www.w3.org/2002/07/owl#&gt;;
         PREFIX rdf: &lt;http://www.w3.org/1999/02/22-rdf-syntax-ns#&gt;;
         PREFIX skos: &lt;http://www.w3.org/2004/02/skos/core#&gt;;
         PREFIX xsd: &lt;http://www.w3.org/2001/XMLSchema#&gt;;
  SELECT ?s ?p ?o
  WHERE { 
    ?s rdfs:label ?label .
    ?s ns3:CdivAlign ?value .
    ?s ns3:appearing ?value2 .
    ?s ns3:description ?description .
    ?s ns7:_ ?value .
    ?s owl:sameAs ?url .
  }")</t>
  </si>
  <si>
    <t>{
  "cq_text": "What are all the character\u2013movie appearance pairs (which characters appear in which movies) available?",
  "syntax_ok": false,
  "syntax_msg": "Unbalanced braces"
}</t>
  </si>
  <si>
    <t>```
PREFIX ns1: &lt;http://dbkwik.webdata.commons.org/marvel.wikia.com/property/&gt;
PREFIX ns2: &lt;http://dbkwik.webdata.commons.org/marvel.wikia.com/class/r&gt;
PREFIX ns3: &lt;http://dbkwik.webdata.commons.org/marvel.wikia.com/property/%3&gt;
PREFIX ns7: &lt;http://dbkwik.webdatacommons.org/marvel.wikia.com/property/alternate232%60&gt;
SELECT ?q WHERE {
  ?q a ns2:Thing .
  {?q ns1:alternate ?alt .}
  {?alt ns7: a rdf:Property .}
  {?alt rdfs:label "Alternate232`"@en .}
  UNION
  {?q ns3:CdivAlign ?d .}
  {?d ns2:wikiPageWikiLink ?e .}
  {?e ns1:formattedtitle "div align"@en .}
  UNION
  {?q ns1:a1ternate ?a .}
  {?a rdfs:label "A1ternate"@en .}
  UNION
  -- Actors-Character pairs
  {?q ns2:wikiPageExternalLink ?r .
   FILTER(REGEX(LOWER(?r), "actor|character") )
    UNION
    {?q ns2:wikiPageWikiLink ?e .
      FILTER(REGEX(LOWER(?e), "actor|character") ) }
    UNION
    {?q ns1:citizenship ?c .}
    {?c rdfs:label ?cLabel .}
    UNION
    {?q ns1:creators ?c .
     {?c rdfs:label ?cLabel .}
     UNION
     {?q ns1:fanspeed ?s .}
     {?s rdfs:label ?sLabel .} }
  FILTER(REGEX(LOWER(?q), "[a-z]{2,}") )
  UNION
  {?q ns2:wikiPageExternalLink ?e .
   FILTER(REGEX(LOWER(?e), "actor|character") )
    UNION
    {?q ns1:citizenship ?c .}
    {?c rdfs:label ?cLabel .} }
  FILTER(REGEX(LOWER(?q), "[A-Z]{2,}") )
}
```</t>
  </si>
  <si>
    <t>model='llama3.2:latest' created_at='2025-11-20T14:28:01.462564916Z' done=True done_reason='stop' total_duration=110394169500 load_duration=977296253 prompt_eval_count=89792 prompt_eval_duration=96050175585 eval_count=497 eval_duration=12733578452 message=Message(role='assistant', content='```\nPREFIX ns1: &lt;http://dbkwik.webdata.commons.org/marvel.wikia.com/property/&gt;\nPREFIX ns2: &lt;http://dbkwik.webdata.commons.org/marvel.wikia.com/class/r&gt;\nPREFIX ns3: &lt;http://dbkwik.webdata.commons.org/marvel.wikia.com/property/%3&gt;\nPREFIX ns7: &lt;http://dbkwik.webdatacommons.org/marvel.wikia.com/property/alternate232%60&gt;\n\nSELECT ?q WHERE {\n  ?q a ns2:Thing .\n  {?q ns1:alternate ?alt .}\n  {?alt ns7: a rdf:Property .}\n  {?alt rdfs:label "Alternate232`"@en .}\n  UNION\n  {?q ns3:CdivAlign ?d .}\n  {?d ns2:wikiPageWikiLink ?e .}\n  {?e ns1:formattedtitle "div align"@en .}\n  UNION\n  {?q ns1:a1ternate ?a .}\n  {?a rdfs:label "A1ternate"@en .}\n  UNION\n  -- Actors-Character pairs\n  {?q ns2:wikiPageExternalLink ?r .\n   FILTER(REGEX(LOWER(?r), "actor|character") )\n    UNION\n    {?q ns2:wikiPageWikiLink ?e .\n      FILTER(REGEX(LOWER(?e), "actor|character") ) }\n    UNION\n    {?q ns1:citizenship ?c .}\n    {?c rdfs:label ?cLabel .}\n    UNION\n    {?q ns1:creators ?c .\n     {?c rdfs:label ?cLabel .}\n     UNION\n     {?q ns1:fanspeed ?s .}\n     {?s rdfs:label ?sLabel .} }\n  FILTER(REGEX(LOWER(?q), "[a-z]{2,}") )\n  UNION\n  {?q ns2:wikiPageExternalLink ?e .\n   FILTER(REGEX(LOWER(?e), "actor|character") )\n    UNION\n    {?q ns1:citizenship ?c .}\n    {?c rdfs:label ?cLabel .} }\n  FILTER(REGEX(LOWER(?q), "[A-Z]{2,}") )\n}\n```', thinking=None, images=None, tool_calls=None)</t>
  </si>
  <si>
    <t>PREFIX dc: &lt;http://purl.org/dc/elements/1.1/&gt;
PREFIX dcterms: &lt;http://purl.org/dc/terms/&gt;
PREFIX foaf: &lt;http://xmlns.com/foaf/0.1/&gt;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PREFIX ns2: &lt;http://dbkwik.webdata.commons.org/marvel.wikia.com/class/r&gt;
PREFIX ns3: &lt;http://dbkwik.webdata.commons.org/marvel.wikia.com/property/%3&gt;
PREFIX ns7: &lt;http://dbkwik.webdatacommons.org/marvel.wikia.com/property/alternate232%60&gt;
SELECT ?q WHERE {
  ?q a ns2:Thing .
  {?q ns1:alternate ?alt .}
  {?alt ns7: a rdf:Property .}
  {?alt rdfs:label "Alternate232`"@en .}
  UNION
  {?q ns3:CdivAlign ?d .}
  {?d ns2:wikiPageWikiLink ?e .}
  {?e ns1:formattedtitle "div align"@en .}
  UNION
  {?q ns1:a1ternate ?a .}
  {?a rdfs:label "A1ternate"@en .}
  UNION
  -- Actors-Character pairs
  {?q ns2:wikiPageExternalLink ?r .
   FILTER(REGEX(LOWER(?r), "actor|character") )
    UNION
    {?q ns2:wikiPageWikiLink ?e .
      FILTER(REGEX(LOWER(?e), "actor|character") ) }
    UNION
    {?q ns1:citizenship ?c .}
    {?c rdfs:label ?cLabel .}
    UNION
    {?q ns1:creators ?c .
     {?c rdfs:label ?cLabel .}
     UNION
     {?q ns1:fanspeed ?s .}
     {?s rdfs:label ?sLabel .} }
  FILTER(REGEX(LOWER(?q), "[a-z]{2,}") )
  UNION
  {?q ns2:wikiPageExternalLink ?e .
   FILTER(REGEX(LOWER(?e), "actor|character") )
    UNION
    {?q ns1:citizenship ?c .}
    {?c rdfs:label ?cLabel .} }
  FILTER(REGEX(LOWER(?q), "[A-Z]{2,}") )
}</t>
  </si>
  <si>
    <t>{
  "cq_text": "What are all the actor\u2013character pairs (which actors portray which characters) available?",
  "syntax_ok": false,
  "syntax_msg": "Unbalanced braces"
}</t>
  </si>
  <si>
    <t>SELECT * FROM `wikibase:Item` WHERE id = 'http://dbkwik.webdatacommons.org/marvel wikia.com/resource/$$_Maje$tic' LIMIT 1;</t>
  </si>
  <si>
    <t>model='llama3.2:latest' created_at='2025-11-20T14:29:40.943876416Z' done=True done_reason='stop' total_duration=98862283913 load_duration=1543781893 prompt_eval_count=89801 prompt_eval_duration=96009934202 eval_count=41 eval_duration=1026938512 message=Message(role='assistant', content="SELECT * FROM `wikibase:Item` WHERE id = 'http://dbkwik.webdatacommons.org/marvel wikia.com/resource/$$_Maje$tic' LIMIT 1;",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</si>
  <si>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 FROM `wikibase:Item` WHERE id = 'http://dbkwik.webdatacommons.org/marvel wikia.com/resource/$$_Maje$tic' LIMIT 1;</t>
  </si>
  <si>
    <t>ERROR: QueryBadFormed: A bad request has been sent to the endpoint: probably the SPARQL query is badly formed. 
Response:
b"Parse error: Lexical error at line 13, column 15.  Encountered: '96' (96),\n"</t>
  </si>
  <si>
    <t>SELECT ?prefix (SAMPLED FROM wdt:Q5 WHERE wdt:P31 = wdt:P31 AND wdt:P22 IN ('http://dbkwik.webdatacommons.org/marvel.wikia.com/resource/' + STRFTO (INT (SUBSTR(wdt:SAMPlename, INSTR(wdt:SAMPlabel, '(') + 1 , INSTR(wdt:SAMPlabel, ')') - INSTR(wdt:SAMPlabel, '('))))) GROUP BY ?prefix HAVING COUNT(DISTINCT ?prefix) &gt; 5</t>
  </si>
  <si>
    <t>model='llama3.2:latest' created_at='2025-11-20T14:31:21.512399149Z' done=True done_reason='stop' total_duration=100300444501 load_duration=941026905 prompt_eval_count=89800 prompt_eval_duration=96031989677 eval_count=118 eval_duration=2989500235 message=Message(role='assistant', content="SELECT ?prefix (SAMPLED FROM wdt:Q5 WHERE wdt:P31 = wdt:P31 AND wdt:P22 IN ('http://dbkwik.webdatacommons.org/marvel.wikia.com/resource/' + STRFTO (INT (SUBSTR(wdt:SAMPlename, INSTR(wdt:SAMPlabel, '(') + 1 , INSTR(wdt:SAMPlabel, ')') - INSTR(wdt:SAMPlabel, '('))))) GROUP BY ?prefix HAVING COUNT(DISTINCT ?prefix) &gt; 5",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</si>
  <si>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?prefix (SAMPLED FROM wdt:Q5 WHERE wdt:P31 = wdt:P31 AND wdt:P22 IN ('http://dbkwik.webdatacommons.org/marvel.wikia.com/resource/' + STRFTO (INT (SUBSTR(wdt:SAMPlename, INSTR(wdt:SAMPlabel, '(') + 1 , INSTR(wdt:SAMPlabel, ')') - INSTR(wdt:SAMPlabel, '('))))) GROUP BY ?prefix HAVING COUNT(DISTINCT ?prefix) &gt; 5</t>
  </si>
  <si>
    <t>ERROR: QueryBadFormed: A bad request has been sent to the endpoint: probably the SPARQL query is badly formed. 
Response:
b'Parse error: Lexical error at line 13, column 24.  Encountered: \'32\' (32), after prefix "D"\n'</t>
  </si>
  <si>
    <t>```
SELECT ?s 
WHERE {
  ?s a owl:Class .
  FILTER ( CONTAINS(LCASE(str(?s)), 'A') )  
  RETURN ?s 
}
```</t>
  </si>
  <si>
    <t>model='llama3.2:latest' created_at='2025-11-20T14:33:01.231892221Z' done=True done_reason='stop' total_duration=98727950178 load_duration=1440905759 prompt_eval_count=89797 prompt_eval_duration=95993692155 eval_count=40 eval_duration=1002003543 message=Message(role='assistant', content="```\nSELECT ?s \nWHERE {\n  ?s a owl:Class .\n  FILTER ( CONTAINS(LCASE(str(?s)), 'A') )  \n  RETURN ?s \n}\n```",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</si>
  <si>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WHERE {
  ?s a owl:Class .
  FILTER ( CONTAINS(LCASE(str(?s)), 'A') )  
  RETURN ?s 
}</t>
  </si>
  <si>
    <t>ERROR: QueryBadFormed: A bad request has been sent to the endpoint: probably the SPARQL query is badly formed. 
Response:
b'Parse error: Lexical error at line 16, column 9.  Encountered: \'32\' (32), after prefix "RETURN"\n'</t>
  </si>
  <si>
    <t>```
SELECT 
  ?s
  ,str_concat(str_to_string(?s) , ' ') as label 
  ,str_concat(str_to_string(str_after(str_to_string(?s))) , ' ') as next 
FROM 
  dbkwik.webdatacommons.org 
WHERE 
  NOT EXISTS (
    SELECT 
      1 
    FROM 
      dbkwik.webdatacommons.org 
    WHERE 
      str_starts_with(str_to_string(?s) , '?') 
  )
UNION ALL 
SELECT 
  ?s
  ,str_concat(str_to_string(?s) , ' ') as label 
  ,str_concat(str_to_string(str_before(str_to_string(?s))) , ' ') as previous 
FROM 
  dbkwik.webdatacommons.org 
WHERE 
  NOT EXISTS (
    SELECT 
      1 
    FROM 
      dbkwik.webdatacommons.org 
    WHERE 
      str_starts_with(str_to_string(?s) , '?') 
  )
ORDER BY 
  label;
```</t>
  </si>
  <si>
    <t>model='llama3.2:latest' created_at='2025-11-20T14:34:45.164287767Z' done=True done_reason='stop' total_duration=103105790336 load_duration=1316589059 prompt_eval_count=89790 prompt_eval_duration=96011075477 eval_count=210 eval_duration=5362310958 message=Message(role='assistant', content="```\nSELECT \n  ?s\n  ,str_concat(str_to_string(?s) , ' ') as label \n  ,str_concat(str_to_string(str_after(str_to_string(?s))) , ' ') as next \nFROM \n  dbkwik.webdatacommons.org \nWHERE \n  NOT EXISTS (\n    SELECT \n      1 \n    FROM \n      dbkwik.webdatacommons.org \n    WHERE \n      str_starts_with(str_to_string(?s) , '?') \n  )\nUNION ALL \nSELECT \n  ?s\n  ,str_concat(str_to_string(?s) , ' ') as label \n  ,str_concat(str_to_string(str_before(str_to_string(?s))) , ' ') as previous \nFROM \n  dbkwik.webdatacommons.org \nWHERE \n  NOT EXISTS (\n    SELECT \n      1 \n    FROM \n      dbkwik.webdatacommons.org \n    WHERE \n      str_starts_with(str_to_string(?s) , '?') \n  )\nORDER BY \n  label;\n```",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</si>
  <si>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,str_concat(str_to_string(?s) , ' ') as label 
  ,str_concat(str_to_string(str_after(str_to_string(?s))) , ' ') as next 
FROM 
  dbkwik.webdatacommons.org 
WHERE 
  NOT EXISTS (
    SELECT 
      1 
    FROM 
      dbkwik.webdatacommons.org 
    WHERE 
      str_starts_with(str_to_string(?s) , '?') 
  )
UNION ALL 
SELECT 
  ?s
  ,str_concat(str_to_string(?s) , ' ') as label 
  ,str_concat(str_to_string(str_before(str_to_string(?s))) , ' ') as previous 
FROM 
  dbkwik.webdatacommons.org 
WHERE 
  NOT EXISTS (
    SELECT 
      1 
    FROM 
      dbkwik.webdatacommons.org 
    WHERE 
      str_starts_with(str_to_string(?s) , '?') 
  )
ORDER BY 
  label;</t>
  </si>
  <si>
    <t>ERROR: QueryBadFormed: A bad request has been sent to the endpoint: probably the SPARQL query is badly formed. 
Response:
b'Parse error: Encountered " "," ", "" at line 15, column 3.\n'</t>
  </si>
  <si>
    <t>```
SELECT ?s ?o 
WHERE {
  BIND("SELECT * FROM ?s WHERE ?o = '&lt;$_Maje$tic&gt;'") AS ?query
}
```</t>
  </si>
  <si>
    <t>model='llama3.2:latest' created_at='2025-11-20T14:36:23.955178961Z' done=True done_reason='stop' total_duration=98266408635 load_duration=1070307045 prompt_eval_count=89795 prompt_eval_duration=95991060599 eval_count=37 eval_duration=926950697 message=Message(role='assistant', content='```\nSELECT ?s ?o \nWHERE {\n  BIND("SELECT * FROM ?s WHERE ?o = \'&lt;$_Maje$tic&gt;\'") AS ?query\n}\n```',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</si>
  <si>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?o 
WHERE {
  BIND("SELECT * FROM ?s WHERE ?o = '&lt;$_Maje$tic&gt;'") AS ?query
}</t>
  </si>
  <si>
    <t>ERROR: QueryBadFormed: A bad request has been sent to the endpoint: probably the SPARQL query is badly formed. 
Response:
b'Parse error: Encountered " ")" ") "" at line 14, column 52.\n'</t>
  </si>
  <si>
    <t>```sparql
PREFIX skos: &lt;http://www.w3.org/2004/02/skos/core#&gt;
PREFIX xsd: &lt;http://www.w3.org/2001/XMLSchema#&gt;
SELECT ?uri ?label 
WHERE {
    ?uri skos:altLabel ?label .
}
```
Note that the query above will only return URIs with labels, but in this case, we want to filter by specific class labels. We can use a more complex query to include those:
```sparql
PREFIX skos: &lt;http://www.w3.org/2004/02/skos/core#&gt;
PREFIX xsd: &lt;http://www.w3.org/2001/XMLSchema#&gt;
SELECT ?uri ?label 
WHERE {
    ?uri skos:altLabel "$$ Maje$tic"@en .
}
```</t>
  </si>
  <si>
    <t>model='llama3.2:latest' created_at='2025-11-20T14:38:06.417721879Z' done=True done_reason='stop' total_duration=102040185554 load_duration=1320058084 prompt_eval_count=89797 prompt_eval_duration=95953097162 eval_count=172 eval_duration=4377577613 message=Message(role='assistant', content='```sparql\nPREFIX skos: &lt;http://www.w3.org/2004/02/skos/core#&gt;\nPREFIX xsd: &lt;http://www.w3.org/2001/XMLSchema#&gt;\n\nSELECT ?uri ?label \nWHERE {\n    ?uri skos:altLabel ?label .\n}\n```\n\nNote that the query above will only return URIs with labels, but in this case, we want to filter by specific class labels. We can use a more complex query to include those:\n\n```sparql\nPREFIX skos: &lt;http://www.w3.org/2004/02/skos/core#&gt;\nPREFIX xsd: &lt;http://www.w3.org/2001/XMLSchema#&gt;\n\nSELECT ?uri ?label \nWHERE {\n    ?uri skos:altLabel "$$ Maje$tic"@en .\n}\n```',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</si>
  <si>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?uri ?label 
WHERE {
    ?uri skos:altLabel ?label .
}</t>
  </si>
  <si>
    <t>ERROR: Unable to allocate 371. GiB for an array with shape (315408, 315408) and data type float32</t>
  </si>
  <si>
    <t>SELECT ?p ?o 
WHERE {
  ?e1 wdt :ComicBook .
  FILTER ( CONTAINS(LOWER(CURRENT_DATE()), LOWER(str_replace(LOWER(TTL:definition), "/date/", "2023-12-16")) )
  ) WITH (
    ?e2 wikibase:label ?t .
    ?e3 wdt :Category
  ) 
  { ?e1 wdt :Title ?e2 .
       SELECT ?e3 WHERE {
          ?e3 wdt :Category .
          FILTER ( CONTAINS(LOWER(CURRENT_DATE()), LOWER(str_replace(LOWER(TTL:definition), "/date/", "2023-12-16")) )
          ) 
        }
    } 
  UNION ALL
    { ?e1 wdt :StoryArc .
      SELECT ?e2 WHERE {
        ?e2 wikibase:label ?t .
        FILTER ( CONTAINS(LOWER(CURRENT_DATE()), LOWER(str_replace(LOWER(TTL:definition), "/date/", "2023-12-16")) )
      } 
    }
}</t>
  </si>
  <si>
    <t>model='llama3.2:latest' created_at='2025-11-20T14:39:50.013344434Z' done=True done_reason='stop' total_duration=103137467510 load_duration=1077477954 prompt_eval_count=89788 prompt_eval_duration=96004895101 eval_count=221 eval_duration=5632006462 message=Message(role='assistant', content='SELECT ?p ?o \nWHERE {\n  ?e1 wdt :ComicBook .\n  FILTER ( CONTAINS(LOWER(CURRENT_DATE()), LOWER(str_replace(LOWER(TTL:definition), "/date/", "2023-12-16")) )\n  ) WITH (\n    ?e2 wikibase:label ?t .\n    ?e3 wdt :Category\n  ) \n  { ?e1 wdt :Title ?e2 .\n       SELECT ?e3 WHERE {\n          ?e3 wdt :Category .\n          FILTER ( CONTAINS(LOWER(CURRENT_DATE()), LOWER(str_replace(LOWER(TTL:definition), "/date/", "2023-12-16")) )\n          ) \n        }\n    } \n  UNION ALL\n    { ?e1 wdt :StoryArc .\n      SELECT ?e2 WHERE {\n        ?e2 wikibase:label ?t .\n        FILTER ( CONTAINS(LOWER(CURRENT_DATE()), LOWER(str_replace(LOWER(TTL:definition), "/date/", "2023-12-16")) )\n      } \n    }\n}',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</si>
  <si>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?p ?o 
WHERE {
  ?e1 wdt :ComicBook .
  FILTER ( CONTAINS(LOWER(CURRENT_DATE()), LOWER(str_replace(LOWER(TTL:definition), "/date/", "2023-12-16")) )
  ) WITH (
    ?e2 wikibase:label ?t .
    ?e3 wdt :Category
  ) 
  { ?e1 wdt :Title ?e2 .
       SELECT ?e3 WHERE {
          ?e3 wdt :Category .
          FILTER ( CONTAINS(LOWER(CURRENT_DATE()), LOWER(str_replace(LOWER(TTL:definition), "/date/", "2023-12-16")) )
          ) 
        }
    } 
  UNION ALL
    { ?e1 wdt :StoryArc .
      SELECT ?e2 WHERE {
        ?e2 wikibase:label ?t .
        FILTER ( CONTAINS(LOWER(CURRENT_DATE()), LOWER(str_replace(LOWER(TTL:definition), "/date/", "2023-12-16")) )
      } 
    }
}</t>
  </si>
  <si>
    <t>ERROR: QueryBadFormed: A bad request has been sent to the endpoint: probably the SPARQL query is badly formed. 
Response:
b'Parse error: Lexical error at line 14, column 10.  Encountered: \'32\' (32), after prefix "wdt"\n'</t>
  </si>
  <si>
    <t>```sparql
PREFIX ns1: &lt;http://dbkwik.webdatacommons.org/marvel.wikia.com/property/&gt;
PREFIX ns2: &lt;http://dbkwik.webdatacommons.org/marvel.wikia.com/class/&gt;
PREFIX ns3: &lt;http://dbkwik.webdatacommons.org/marvel.wikia.com/property/%3&gt;
PREFIX owl: &lt;http://www.w3.org/2002/07/owl#&gt;
SELECT ?s ?p ?o WHERE {
  ?s owl:sameAs ?url.
  FILTER ( CONTAINS(LCASE(STR(?url)), 'https://marvel.fandom.com/wiki/' ) ).
  BIND(RDF(:uri, ns1:powers, "Powers"@en) AS ?o).
}
```</t>
  </si>
  <si>
    <t>model='llama3.2:latest' created_at='2025-11-20T14:41:32.261568147Z' done=True done_reason='stop' total_duration=101754871460 load_duration=1264333955 prompt_eval_count=89792 prompt_eval_duration=96038230628 eval_count=160 eval_duration=4072772217 message=Message(role='assistant', content='```sparql\nPREFIX ns1: &lt;http://dbkwik.webdatacommons.org/marvel.wikia.com/property/&gt;\nPREFIX ns2: &lt;http://dbkwik.webdatacommons.org/marvel.wikia.com/class/&gt;\nPREFIX ns3: &lt;http://dbkwik.webdatacommons.org/marvel.wikia.com/property/%3&gt;\nPREFIX owl: &lt;http://www.w3.org/2002/07/owl#&gt;\n\nSELECT ?s ?p ?o WHERE {\n  ?s owl:sameAs ?url.\n  FILTER ( CONTAINS(LCASE(STR(?url)), \'https://marvel.fandom.com/wiki/\' ) ).\n  BIND(RDF(:uri, ns1:powers, "Powers"@en) AS ?o).\n}\n```', thinking=None, images=None, tool_calls=None)</t>
  </si>
  <si>
    <t>PREFIX dc: &lt;http://purl.org/dc/elements/1.1/&gt;
PREFIX dcterms: &lt;http://purl.org/dc/terms/&gt;
PREFIX foaf: &lt;http://xmlns.com/foaf/0.1/&gt;
PREFIX ns7: &lt;http://dbkwik.webdatacommons.org/marvel.wikia.com/property/alternate232%60&gt;
PREFIX rdf: &lt;http://www.w3.org/1999/02/22-rdf-syntax-ns#&gt;
PREFIX rdfs: &lt;http://www.w3.org/2000/01/rdf-schema#&gt;
PREFIX skos: &lt;http://www.w3.org/2004/02/skos/core#&gt;
PREFIX xsd: &lt;http://www.w3.org/2001/XMLSchema#&gt;
PREFIX ns1: &lt;http://dbkwik.webdatacommons.org/marvel.wikia.com/property/&gt;
PREFIX ns2: &lt;http://dbkwik.webdatacommons.org/marvel.wikia.com/class/&gt;
PREFIX ns3: &lt;http://dbkwik.webdatacommons.org/marvel.wikia.com/property/%3&gt;
PREFIX owl: &lt;http://www.w3.org/2002/07/owl#&gt;
SELECT ?s ?p ?o WHERE {
  ?s owl:sameAs ?url.
  FILTER ( CONTAINS(LCASE(STR(?url)), 'https://marvel.fandom.com/wiki/' ) ).
  BIND(RDF(:uri, ns1:powers, "Powers"@en) AS ?o).
}</t>
  </si>
  <si>
    <t>ERROR: QueryBadFormed: A bad request has been sent to the endpoint: probably the SPARQL query is badly formed. 
Response:
b'Parse error: Lexical error at line 16, column 11.  Encountered: \'40\' (40), after prefix "RDF"\n'</t>
  </si>
  <si>
    <t>SELECT DISTINCT ?item 
WHERE {
  ?item wdt:P31 wd:Q5 .
}</t>
  </si>
  <si>
    <t>model='llama3.2:latest' created_at='2025-11-20T14:43:11.785173485Z' done=True done_reason='stop' total_duration=98313776689 load_duration=1616304554 prompt_eval_count=89792 prompt_eval_duration=95921156093 eval_count=21 eval_duration=517042312 message=Message(role='assistant', content='SELECT DISTINCT ?item \nWHERE {\n  ?item wdt:P31 wd:Q5 .\n}',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</si>
  <si>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DISTINCT ?item 
WHERE {
  ?item wdt:P31 wd:Q5 .
}</t>
  </si>
  <si>
    <t>ERROR: QueryBadFormed: A bad request has been sent to the endpoint: probably the SPARQL query is badly formed. 
Response:
b'Parse error: Line 14, column 9: Unresolved prefixed name: wdt:P31\n'</t>
  </si>
  <si>
    <t>SELECT [value AS uri] FROM ? WHERE lang = 'en' AND label NOT IN ('Alpha Flight', 'Alpha Flight Vol 2 1', 'Alpha Flight Omnijet', 'Alpha Flight Presents TPB Vol 1')</t>
  </si>
  <si>
    <t>model='llama3.2:latest' created_at='2025-11-20T14:44:50.771483004Z' done=True done_reason='stop' total_duration=98694355686 load_duration=1196371068 prompt_eval_count=89788 prompt_eval_duration=95983255268 eval_count=49 eval_duration=1234795076 message=Message(role='assistant', content="SELECT [value AS uri] FROM ? WHERE lang = 'en' AND label NOT IN ('Alpha Flight', 'Alpha Flight Vol 2 1', 'Alpha Flight Omnijet', 'Alpha Flight Presents TPB Vol 1')",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</si>
  <si>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[value AS uri] FROM ? WHERE lang = 'en' AND label NOT IN ('Alpha Flight', 'Alpha Flight Vol 2 1', 'Alpha Flight Omnijet', 'Alpha Flight Presents TPB Vol 1')</t>
  </si>
  <si>
    <t>ERROR: QueryBadFormed: A bad request has been sent to the endpoint: probably the SPARQL query is badly formed. 
Response:
b'Parse error: Encountered " "[" "[ "" at line 13, column 8.\n'</t>
  </si>
  <si>
    <t>SELECT ?q 
WHERE {
  UNION ALL 
  SELECT "What are all the movies and their counts for each pair of characters that co-appear in multiple movies?" AS q
}</t>
  </si>
  <si>
    <t>model='llama3.2:latest' created_at='2025-11-20T14:46:29.55166424Z' done=True done_reason='stop' total_duration=98455640128 load_duration=1167129539 prompt_eval_count=89796 prompt_eval_duration=96035055262 eval_count=39 eval_duration=976433378 message=Message(role='assistant', content='SELECT ?q \nWHERE {\n  UNION ALL \n  SELECT "What are all the movies and their counts for each pair of characters that co-appear in multiple movies?" AS q\n}',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</si>
  <si>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?q 
WHERE {
  UNION ALL 
  SELECT "What are all the movies and their counts for each pair of characters that co-appear in multiple movies?" AS q
}</t>
  </si>
  <si>
    <t>ERROR: QueryBadFormed: A bad request has been sent to the endpoint: probably the SPARQL query is badly formed. 
Response:
b'Parse error: Encountered " "union" "UNION "" at line 14, column 3.\n'</t>
  </si>
  <si>
    <t>SELECT ?s ?p ?o 
WHERE { ?s &lt;http://dbkwik.webdatacommons.org/marvel.wikia.com/resource/%7BF1%27_Law_Vol_1_6%7D&gt; ?p ?o }</t>
  </si>
  <si>
    <t>model='llama3.2:latest' created_at='2025-11-20T14:48:08.809020153Z' done=True done_reason='stop' total_duration=98769122161 load_duration=1094704805 prompt_eval_count=89800 prompt_eval_duration=96054412664 eval_count=53 eval_duration=1334117071 message=Message(role='assistant', content='SELECT ?s ?p ?o \nWHERE { ?s &lt;http://dbkwik.webdatacommons.org/marvel.wikia.com/resource/%7BF1%27_Law_Vol_1_6%7D&gt; ?p ?o }',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</si>
  <si>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?p ?o 
WHERE { ?s &lt;http://dbkwik.webdatacommons.org/marvel.wikia.com/resource/%7BF1%27_Law_Vol_1_6%7D&gt; ?p ?o }</t>
  </si>
  <si>
    <t>ERROR: QueryBadFormed: A bad request has been sent to the endpoint: probably the SPARQL query is badly formed. 
Response:
b'Parse error: Encountered " &lt;VAR1&gt; "?o "" at line 13, column 105.\n'</t>
  </si>
  <si>
    <t>SELECT ?s 
WHERE {
  { 
    BIND(
      CONCAT(
        '"https://www.marvel.com/wikia/Category:' || 
        SUBSTR(LCASE(SUBSTRING((SELECT COUNT(*) FROM ?p WHERE ?p &lt;&gt; 'http://dbkwik.webdatacommons.org/marvel.wikia.com/resource/'' AND CONTAINS('Wiki'))), INSTR(SUBSTRING((SELECT COUNT(*) FROM ?p WHERE ?p &lt;&gt; 'http://dbkwik.webdatacommons.org/marvel.wikia.com/resource/'' AND CONTAINS('Wiki')), 'Wiki') - 1) || 
        '-A')), 
        '"http://dbkwik.webdatacommons.org/wikia/'
    ) as ?s
  } 
  FILTER ( CONTAINS(?s, 'https://en.wikipedia.org/') OR CONTAINS(?s, 'https://www.marvel.com/wikia/Category:') )
  ?s
}</t>
  </si>
  <si>
    <t>model='llama3.2:latest' created_at='2025-11-20T14:49:51.753340254Z' done=True done_reason='stop' total_duration=102284312070 load_duration=898713058 prompt_eval_count=89795 prompt_eval_duration=95981203104 eval_count=196 eval_duration=5000199034 message=Message(role='assistant', content='SELECT ?s \nWHERE {\n  { \n    BIND(\n      CONCAT(\n        \'"https://www.marvel.com/wikia/Category:\' || \n        SUBSTR(LCASE(SUBSTRING((SELECT COUNT(*) FROM ?p WHERE ?p &lt;&gt; \'http://dbkwik.webdatacommons.org/marvel.wikia.com/resource/\'\' AND CONTAINS(\'Wiki\'))), INSTR(SUBSTRING((SELECT COUNT(*) FROM ?p WHERE ?p &lt;&gt; \'http://dbkwik.webdatacommons.org/marvel.wikia.com/resource/\'\' AND CONTAINS(\'Wiki\')), \'Wiki\') - 1) || \n        \'-A\')), \n        \'"http://dbkwik.webdatacommons.org/wikia/\'\n    ) as ?s\n  } \n  FILTER ( CONTAINS(?s, \'https://en.wikipedia.org/\') OR CONTAINS(?s, \'https://www.marvel.com/wikia/Category:\') )\n  ?s\n}',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</si>
  <si>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WHERE {
  { 
    BIND(
      CONCAT(
        '"https://www.marvel.com/wikia/Category:' || 
        SUBSTR(LCASE(SUBSTRING((SELECT COUNT(*) FROM ?p WHERE ?p &lt;&gt; 'http://dbkwik.webdatacommons.org/marvel.wikia.com/resource/'' AND CONTAINS('Wiki'))), INSTR(SUBSTRING((SELECT COUNT(*) FROM ?p WHERE ?p &lt;&gt; 'http://dbkwik.webdatacommons.org/marvel.wikia.com/resource/'' AND CONTAINS('Wiki')), 'Wiki') - 1) || 
        '-A')), 
        '"http://dbkwik.webdatacommons.org/wikia/'
    ) as ?s
  } 
  FILTER ( CONTAINS(?s, 'https://en.wikipedia.org/') OR CONTAINS(?s, 'https://www.marvel.com/wikia/Category:') )
  ?s
}</t>
  </si>
  <si>
    <t>ERROR: QueryBadFormed: A bad request has been sent to the endpoint: probably the SPARQL query is badly formed. 
Response:
b'Parse error: Encountered " "in" "IN "" at line 18, column 28.\n'</t>
  </si>
  <si>
    <t>```sparql
SELECT ?query 
WHERE {
  ?query = "prefix dc : &lt;http://purl.org/dc/elements/1.1/&gt; ;
           prefix dcterms : &lt;http://purl.org/dc/terms/&gt; ;
           prefix foaf : &lt;http://xmlns.com/foaf/0.1/&gt; ;
           prefix ns1 : &lt;http://dbkwik.webdatacommons.org/marvel.wikia.com/property/&gt; ;
           prefix ns2 : &lt;http://dbkwik.webdatacommons.org/ontology/&gt; ;
           prefix ns3 : &lt;http://dbkwik.webdatacommons.org/marvel.wikia.com/property/%3&gt; ;
           prefix ns7 : &lt;http://dbkwik.webdatacommons.org/marvelwikia.com/property/alternate232%60&gt; ;
           SELECT ?bridgeCharacter 
             { 
               ?bridgeCharacter foaf:isAffiliationOf ?team.  
               UNION
               { ?team ns1:teames ?bridgeCharacter. }
               UNION
               { ?bridgeCharacter ns3:appearing ?team. }   
               UNION
               { ?bridgeCharacter ns7: a ?team. }
             }
           SELECT (GROUP_CONCAT(DISTINCT ?character AS TEXT SEPARATOR ",") 
                  (SELECT ?character 
                   FROM { 
                     ?team ns1:teams ?member.  
                     ?member foaf:isAffiliationOf ?team.
                     UNION
                     ?team ns2:members ?member.  
                     } GROUP BY ?team) 
              AS teamMembers) 
           FILTER (COUNT(DISTINCT ?character) &gt; 1)
             WHERE {
               ?bridgeCharacter ns3:creators ?creator.
               ?creator dcterms:contributor ?issue.
               ?team ns2:members ?issue.
               UNION
               { ?creator ns7:_ a ?issue. }
             }
            ORDER BY (COUNT(DISTINCT ?character) DESC)
            LIMIT 1"
}
```</t>
  </si>
  <si>
    <t>model='llama3.2:latest' created_at='2025-11-20T14:51:41.622509781Z' done=True done_reason='stop' total_duration=108990434492 load_duration=1898830112 prompt_eval_count=89797 prompt_eval_duration=95923232736 eval_count=415 eval_duration=10593146842 message=Message(role='assistant', content='```sparql\nSELECT ?query \nWHERE {\n  ?query = "prefix dc : &lt;http://purl.org/dc/elements/1.1/&gt; ;\n           prefix dcterms : &lt;http://purl.org/dc/terms/&gt; ;\n           prefix foaf : &lt;http://xmlns.com/foaf/0.1/&gt; ;\n           prefix ns1 : &lt;http://dbkwik.webdatacommons.org/marvel.wikia.com/property/&gt; ;\n           prefix ns2 : &lt;http://dbkwik.webdatacommons.org/ontology/&gt; ;\n           prefix ns3 : &lt;http://dbkwik.webdatacommons.org/marvel.wikia.com/property/%3&gt; ;\n           prefix ns7 : &lt;http://dbkwik.webdatacommons.org/marvelwikia.com/property/alternate232%60&gt; ;\n\n           SELECT ?bridgeCharacter \n             { \n               ?bridgeCharacter foaf:isAffiliationOf ?team.  \n               UNION\n               { ?team ns1:teames ?bridgeCharacter. }\n               UNION\n               { ?bridgeCharacter ns3:appearing ?team. }   \n               UNION\n               { ?bridgeCharacter ns7: a ?team. }\n             }\n\n           SELECT (GROUP_CONCAT(DISTINCT ?character AS TEXT SEPARATOR ",") \n                  (SELECT ?character \n                   FROM { \n                     ?team ns1:teams ?member.  \n                     ?member foaf:isAffiliationOf ?team.\n                     UNION\n                     ?team ns2:members ?member.  \n                     } GROUP BY ?team) \n              AS teamMembers) \n           FILTER (COUNT(DISTINCT ?character) &gt; 1)\n             WHERE {\n               ?bridgeCharacter ns3:creators ?creator.\n               ?creator dcterms:contributor ?issue.\n               ?team ns2:members ?issue.\n               UNION\n               { ?creator ns7:_ a ?issue. }\n             }\n\n            ORDER BY (COUNT(DISTINCT ?character) DESC)\n            LIMIT 1"\n}\n```',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</si>
  <si>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?query 
WHERE {
  ?query = "prefix dc : &lt;http://purl.org/dc/elements/1.1/&gt; ;
           prefix dcterms : &lt;http://purl.org/dc/terms/&gt; ;
           prefix foaf : &lt;http://xmlns.com/foaf/0.1/&gt; ;
           prefix ns1 : &lt;http://dbkwik.webdatacommons.org/marvel.wikia.com/property/&gt; ;
           prefix ns2 : &lt;http://dbkwik.webdatacommons.org/ontology/&gt; ;
           prefix ns3 : &lt;http://dbkwik.webdatacommons.org/marvel.wikia.com/property/%3&gt; ;
           prefix ns7 : &lt;http://dbkwik.webdatacommons.org/marvelwikia.com/property/alternate232%60&gt; ;
           SELECT ?bridgeCharacter 
             { 
               ?bridgeCharacter foaf:isAffiliationOf ?team.  
               UNION
               { ?team ns1:teames ?bridgeCharacter. }
               UNION
               { ?bridgeCharacter ns3:appearing ?team. }   
               UNION
               { ?bridgeCharacter ns7: a ?team. }
             }
           SELECT (GROUP_CONCAT(DISTINCT ?character AS TEXT SEPARATOR ",") 
                  (SELECT ?character 
                   FROM { 
                     ?team ns1:teams ?member.  
                     ?member foaf:isAffiliationOf ?team.
                     UNION
                     ?team ns2:members ?member.  
                     } GROUP BY ?team) 
              AS teamMembers) 
           FILTER (COUNT(DISTINCT ?character) &gt; 1)
             WHERE {
               ?bridgeCharacter ns3:creators ?creator.
               ?creator dcterms:contributor ?issue.
               ?team ns2:members ?issue.
               UNION
               { ?creator ns7:_ a ?issue. }
             }
            ORDER BY (COUNT(DISTINCT ?character) DESC)
            LIMIT 1"
}</t>
  </si>
  <si>
    <t>ERROR: QueryBadFormed: A bad request has been sent to the endpoint: probably the SPARQL query is badly formed. 
Response:
b'Parse error: Lexical error at line 13, column 26.  Encountered: \'32\' (32), after prefix "dcterms"\n'</t>
  </si>
  <si>
    <t>```
PREFIX ns1: &lt;http://dbkwik.webdatacommons.org/marvel.wikia.com/property/&gt;
PREFIX ns2: &lt;http://dbkwik.webdatacommons.org/ontology/&gt;
SELECT ?s ?o WHERE {
  ?s a ns2:KnowledgeGraph .
  ?s rdfs:label ?o .
}
```</t>
  </si>
  <si>
    <t>model='llama3.2:latest' created_at='2025-11-20T14:53:21.093454794Z' done=True done_reason='stop' total_duration=99190521775 load_duration=1078743184 prompt_eval_count=89795 prompt_eval_duration=95988268333 eval_count=72 eval_duration=1821003173 message=Message(role='assistant', content='```\nPREFIX ns1: &lt;http://dbkwik.webdatacommons.org/marvel.wikia.com/property/&gt;\nPREFIX ns2: &lt;http://dbkwik.webdatacommons.org/ontology/&gt;\n\nSELECT ?s ?o WHERE {\n  ?s a ns2:KnowledgeGraph .\n  ?s rdfs:label ?o .\n}\n```', thinking=None, images=None, tool_calls=None)</t>
  </si>
  <si>
    <t>PREFIX dc: &lt;http://purl.org/dc/elements/1.1/&gt;
PREFIX dcterms: &lt;http://purl.org/dc/terms/&gt;
PREFIX foaf: &lt;http://xmlns.com/foaf/0.1/&gt;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PREFIX ns2: &lt;http://dbkwik.webdatacommons.org/ontology/&gt;
SELECT ?s ?o WHERE {
  ?s a ns2:KnowledgeGraph .
  ?s rdfs:label ?o .
}</t>
  </si>
  <si>
    <t>{
  "cq_text": "What are all the sets of characters that have been portrayed across all movies by each of the actors?",
  "syntax_ok": true,
  "satisfiable": false,
  "deterministic": true,
  "latency": {
    "p50_ms": 9.89,
    "p95_ms": 16.02,
    "mean_ms": 11.43
  },
  "rows": 0,
  "vars": 0,
  "always_unbound_vars": [],
  "lexical_query_overlap": 0.0,
  "semantic_similarity_to_CQ": 0.54,
  "semantic_soft_coverage_to_CQ": 0.69,
  "tuple_cohesion": null,
  "variables": []
}</t>
  </si>
  <si>
    <t>SELECT ?s ?p ?o 
WHERE { ?s ?p ?o . Filter(out( [ :AllClasses ] ) ) }</t>
  </si>
  <si>
    <t>model='llama3.2:latest' created_at='2025-11-20T14:55:00.749202997Z' done=True done_reason='stop' total_duration=98517578682 load_duration=1533116183 prompt_eval_count=89799 prompt_eval_duration=96000939426 eval_count=29 eval_duration=721298216 message=Message(role='assistant', content='SELECT ?s ?p ?o \nWHERE { ?s ?p ?o . Filter(out( [ :AllClasses ] ) ) }',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</si>
  <si>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?p ?o 
WHERE { ?s ?p ?o . Filter(out( [ :AllClasses ] ) ) }</t>
  </si>
  <si>
    <t>ERROR: QueryBadFormed: A bad request has been sent to the endpoint: probably the SPARQL query is badly formed. 
Response:
b'Parse error: Lexical error at line 13, column 35.  Encountered: \'40\' (40), after prefix "out"\n'</t>
  </si>
  <si>
    <t>SELECT ?itemLabel
FROM https://dbkwik.webdatacommons.org/wiki/Main_Page:_Marvel_Wikia_(2005)
WHERE ?itemLabel CONTAINS 'Marvel Wikia'
UNION
SELECT ?itemLabel
FROM https://dbkwik.webdatacommons.org/wiki/Category:Comic_List
WHERE ?itemLabel CONTAINS 'Comics 0'
UNION
SELECT ?itemLabel
FROM https://dbkwik.webdatacommons.org/wiki/Category:_Refractory_Dysfunctionality
WHERE ?itemLabel CONTAINS 'Marvel'
UNION
SELECT ?itemLabel
FROM https://dbkwik.webdata.commons.org/wiki/Main_Page:_Comics_Tech_(2020)
WHERE ?itemLabel CONTAINS 'Comic'</t>
  </si>
  <si>
    <t>model='llama3.2:latest' created_at='2025-11-20T14:56:43.869265596Z' done=True done_reason='stop' total_duration=101892344677 load_duration=1589364164 prompt_eval_count=89799 prompt_eval_duration=95995873594 eval_count=155 eval_duration=3941121875 message=Message(role='assistant', content="SELECT ?itemLabel\nFROM https://dbkwik.webdatacommons.org/wiki/Main_Page:_Marvel_Wikia_(2005)\nWHERE ?itemLabel CONTAINS 'Marvel Wikia'\n\nUNION\n\nSELECT ?itemLabel\nFROM https://dbkwik.webdatacommons.org/wiki/Category:Comic_List\nWHERE ?itemLabel CONTAINS 'Comics 0'\n\nUNION\n\nSELECT ?itemLabel\nFROM https://dbkwik.webdatacommons.org/wiki/Category:_Refractory_Dysfunctionality\nWHERE ?itemLabel CONTAINS 'Marvel'\nUNION\n\nSELECT ?itemLabel\nFROM https://dbkwik.webdata.commons.org/wiki/Main_Page:_Comics_Tech_(2020)\nWHERE ?itemLabel CONTAINS 'Comic'",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</si>
  <si>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?itemLabel
FROM https://dbkwik.webdatacommons.org/wiki/Main_Page:_Marvel_Wikia_(2005)
WHERE ?itemLabel CONTAINS 'Marvel Wikia'
UNION
SELECT ?itemLabel
FROM https://dbkwik.webdatacommons.org/wiki/Category:Comic_List
WHERE ?itemLabel CONTAINS 'Comics 0'
UNION
SELECT ?itemLabel
FROM https://dbkwik.webdatacommons.org/wiki/Category:_Refractory_Dysfunctionality
WHERE ?itemLabel CONTAINS 'Marvel'
UNION
SELECT ?itemLabel
FROM https://dbkwik.webdata.commons.org/wiki/Main_Page:_Comics_Tech_(2020)
WHERE ?itemLabel CONTAINS 'Comic'</t>
  </si>
  <si>
    <t>ERROR: QueryBadFormed: A bad request has been sent to the endpoint: probably the SPARQL query is badly formed. 
Response:
b'Parse error: Line 14, column 6: Unresolved prefixed name: https:\n'</t>
  </si>
  <si>
    <t>SELECT DISTINCT ?q 
FROM 
( 
 SELECT 'Who are all the other characters connected via shared movie appearances for each of the characters (character co-appearance network)?) AS query
) q</t>
  </si>
  <si>
    <t>model='llama3.2:latest' created_at='2025-11-20T14:58:22.793709919Z' done=True done_reason='stop' total_duration=98597088740 load_duration=1269605267 prompt_eval_count=89798 prompt_eval_duration=96024630561 eval_count=41 eval_duration=1027030169 message=Message(role='assistant', content="SELECT DISTINCT ?q \nFROM \n( \n SELECT 'Who are all the other characters connected via shared movie appearances for each of the characters (character co-appearance network)?) AS query\n) q",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</si>
  <si>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DISTINCT ?q 
FROM 
( 
 SELECT 'Who are all the other characters connected via shared movie appearances for each of the characters (character co-appearance network)?) AS query
) q</t>
  </si>
  <si>
    <t>ERROR: QueryBadFormed: A bad request has been sent to the endpoint: probably the SPARQL query is badly formed. 
Response:
b'Parse error: Encountered " "(" "( "" at line 15, column 1.\n'</t>
  </si>
  <si>
    <t>SELECT ?prefix ?classLabel ?label
FROM ?class
WHERE { ?class rdfs:label ?label .
        (optional {}) }</t>
  </si>
  <si>
    <t>model='llama3.2:latest' created_at='2025-11-20T15:00:02.642271415Z' done=True done_reason='stop' total_duration=98776250598 load_duration=1690113206 prompt_eval_count=89812 prompt_eval_duration=96072690873 eval_count=30 eval_duration=743612433 message=Message(role='assistant', content='SELECT ?prefix ?classLabel ?label\nFROM ?class\nWHERE { ?class rdfs:label ?label .\n        (optional {}) }',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</si>
  <si>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?prefix ?classLabel ?label
FROM ?class
WHERE { ?class rdfs:label ?label .
        (optional {}) }</t>
  </si>
  <si>
    <t>ERROR: QueryBadFormed: A bad request has been sent to the endpoint: probably the SPARQL query is badly formed. 
Response:
b'Parse error: Encountered " "optional" "optional "" at line 14, column 10.\n'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</si>
</sst>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2" fontId="0" fillId="0" borderId="0" xfId="0" applyNumberFormat="1"/>
    <xf numFmtId="2"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workbookViewId="0">
      <selection activeCell="V2" sqref="V2:Y34"/>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26</v>
      </c>
      <c r="C2" t="s">
        <v>103</v>
      </c>
      <c r="D2" t="s">
        <v>104</v>
      </c>
      <c r="E2" t="s">
        <v>105</v>
      </c>
      <c r="F2" t="s">
        <v>106</v>
      </c>
      <c r="G2" t="b">
        <v>0</v>
      </c>
      <c r="H2" t="b">
        <v>0</v>
      </c>
      <c r="I2" t="b">
        <v>0</v>
      </c>
      <c r="J2">
        <v>0</v>
      </c>
      <c r="K2">
        <v>0</v>
      </c>
      <c r="O2">
        <v>0</v>
      </c>
      <c r="P2">
        <v>0</v>
      </c>
      <c r="Q2">
        <v>0</v>
      </c>
      <c r="R2">
        <v>0</v>
      </c>
      <c r="S2" t="s">
        <v>27</v>
      </c>
      <c r="T2" t="s">
        <v>27</v>
      </c>
      <c r="U2" t="s">
        <v>28</v>
      </c>
      <c r="V2">
        <v>0</v>
      </c>
      <c r="W2">
        <v>0</v>
      </c>
      <c r="X2">
        <v>0</v>
      </c>
      <c r="Y2">
        <v>0</v>
      </c>
    </row>
    <row r="3" spans="1:25" x14ac:dyDescent="0.2">
      <c r="A3" t="s">
        <v>29</v>
      </c>
      <c r="B3" t="s">
        <v>30</v>
      </c>
      <c r="C3" t="s">
        <v>107</v>
      </c>
      <c r="D3" t="s">
        <v>108</v>
      </c>
      <c r="E3" t="s">
        <v>109</v>
      </c>
      <c r="F3" t="s">
        <v>110</v>
      </c>
      <c r="G3" t="b">
        <v>0</v>
      </c>
      <c r="H3" t="b">
        <v>0</v>
      </c>
      <c r="I3" t="b">
        <v>0</v>
      </c>
      <c r="J3">
        <v>0</v>
      </c>
      <c r="K3">
        <v>0</v>
      </c>
      <c r="O3">
        <v>0</v>
      </c>
      <c r="P3">
        <v>0</v>
      </c>
      <c r="Q3">
        <v>0</v>
      </c>
      <c r="R3">
        <v>0</v>
      </c>
      <c r="S3" t="s">
        <v>27</v>
      </c>
      <c r="T3" t="s">
        <v>27</v>
      </c>
      <c r="U3" t="s">
        <v>28</v>
      </c>
      <c r="V3">
        <v>0</v>
      </c>
      <c r="W3">
        <v>0</v>
      </c>
      <c r="X3">
        <v>0</v>
      </c>
      <c r="Y3">
        <v>0</v>
      </c>
    </row>
    <row r="4" spans="1:25" x14ac:dyDescent="0.2">
      <c r="A4" t="s">
        <v>31</v>
      </c>
      <c r="B4" t="s">
        <v>32</v>
      </c>
      <c r="C4" t="s">
        <v>111</v>
      </c>
      <c r="D4" t="s">
        <v>112</v>
      </c>
      <c r="E4" t="s">
        <v>113</v>
      </c>
      <c r="F4" t="s">
        <v>114</v>
      </c>
      <c r="G4" t="b">
        <v>0</v>
      </c>
      <c r="H4" t="b">
        <v>0</v>
      </c>
      <c r="I4" t="b">
        <v>0</v>
      </c>
      <c r="J4">
        <v>0</v>
      </c>
      <c r="K4">
        <v>0</v>
      </c>
      <c r="O4">
        <v>0</v>
      </c>
      <c r="P4">
        <v>0</v>
      </c>
      <c r="Q4">
        <v>0</v>
      </c>
      <c r="R4">
        <v>0</v>
      </c>
      <c r="S4" t="s">
        <v>27</v>
      </c>
      <c r="T4" t="s">
        <v>27</v>
      </c>
      <c r="U4" t="s">
        <v>28</v>
      </c>
      <c r="V4">
        <v>0</v>
      </c>
      <c r="W4">
        <v>0</v>
      </c>
      <c r="X4">
        <v>0</v>
      </c>
      <c r="Y4">
        <v>0</v>
      </c>
    </row>
    <row r="5" spans="1:25" x14ac:dyDescent="0.2">
      <c r="A5" t="s">
        <v>33</v>
      </c>
      <c r="B5" t="s">
        <v>34</v>
      </c>
      <c r="C5" t="s">
        <v>115</v>
      </c>
      <c r="D5" t="s">
        <v>116</v>
      </c>
      <c r="E5" t="s">
        <v>117</v>
      </c>
      <c r="F5" t="s">
        <v>118</v>
      </c>
      <c r="G5" t="b">
        <v>0</v>
      </c>
      <c r="H5" t="b">
        <v>0</v>
      </c>
      <c r="I5" t="b">
        <v>0</v>
      </c>
      <c r="J5">
        <v>0</v>
      </c>
      <c r="K5">
        <v>0</v>
      </c>
      <c r="O5">
        <v>0</v>
      </c>
      <c r="P5">
        <v>0</v>
      </c>
      <c r="Q5">
        <v>0</v>
      </c>
      <c r="R5">
        <v>0</v>
      </c>
      <c r="S5" t="s">
        <v>27</v>
      </c>
      <c r="T5" t="s">
        <v>27</v>
      </c>
      <c r="U5" t="s">
        <v>28</v>
      </c>
      <c r="V5">
        <v>0</v>
      </c>
      <c r="W5">
        <v>0</v>
      </c>
      <c r="X5">
        <v>0</v>
      </c>
      <c r="Y5">
        <v>0</v>
      </c>
    </row>
    <row r="6" spans="1:25" x14ac:dyDescent="0.2">
      <c r="A6" t="s">
        <v>35</v>
      </c>
      <c r="B6" t="s">
        <v>36</v>
      </c>
      <c r="C6" t="s">
        <v>119</v>
      </c>
      <c r="D6" t="s">
        <v>120</v>
      </c>
      <c r="E6" t="s">
        <v>121</v>
      </c>
      <c r="F6" t="s">
        <v>122</v>
      </c>
      <c r="G6" t="b">
        <v>1</v>
      </c>
      <c r="H6" t="b">
        <v>0</v>
      </c>
      <c r="I6" t="b">
        <v>1</v>
      </c>
      <c r="J6">
        <v>0</v>
      </c>
      <c r="K6">
        <v>1</v>
      </c>
      <c r="L6">
        <v>7.17</v>
      </c>
      <c r="M6">
        <v>14.27</v>
      </c>
      <c r="N6">
        <v>9.5</v>
      </c>
      <c r="O6">
        <v>0</v>
      </c>
      <c r="P6">
        <v>0.63</v>
      </c>
      <c r="Q6">
        <v>0.73</v>
      </c>
      <c r="S6" t="s">
        <v>123</v>
      </c>
      <c r="T6" t="s">
        <v>124</v>
      </c>
      <c r="U6" t="s">
        <v>28</v>
      </c>
      <c r="V6">
        <v>1</v>
      </c>
      <c r="W6">
        <v>0</v>
      </c>
      <c r="X6">
        <v>0.5</v>
      </c>
      <c r="Y6">
        <v>0.33333333333333331</v>
      </c>
    </row>
    <row r="7" spans="1:25" x14ac:dyDescent="0.2">
      <c r="A7" t="s">
        <v>37</v>
      </c>
      <c r="B7" t="s">
        <v>38</v>
      </c>
      <c r="C7" t="s">
        <v>125</v>
      </c>
      <c r="D7" t="s">
        <v>126</v>
      </c>
      <c r="E7" t="s">
        <v>127</v>
      </c>
      <c r="F7" t="s">
        <v>128</v>
      </c>
      <c r="G7" t="b">
        <v>0</v>
      </c>
      <c r="H7" t="b">
        <v>0</v>
      </c>
      <c r="I7" t="b">
        <v>0</v>
      </c>
      <c r="J7">
        <v>0</v>
      </c>
      <c r="K7">
        <v>0</v>
      </c>
      <c r="O7">
        <v>0</v>
      </c>
      <c r="P7">
        <v>0</v>
      </c>
      <c r="Q7">
        <v>0</v>
      </c>
      <c r="R7">
        <v>0</v>
      </c>
      <c r="S7" t="s">
        <v>27</v>
      </c>
      <c r="T7" t="s">
        <v>27</v>
      </c>
      <c r="U7" t="s">
        <v>28</v>
      </c>
      <c r="V7">
        <v>0</v>
      </c>
      <c r="W7">
        <v>0</v>
      </c>
      <c r="X7">
        <v>0</v>
      </c>
      <c r="Y7">
        <v>0</v>
      </c>
    </row>
    <row r="8" spans="1:25" x14ac:dyDescent="0.2">
      <c r="A8" t="s">
        <v>39</v>
      </c>
      <c r="B8" t="s">
        <v>40</v>
      </c>
      <c r="C8" t="s">
        <v>129</v>
      </c>
      <c r="D8" t="s">
        <v>130</v>
      </c>
      <c r="E8" t="s">
        <v>131</v>
      </c>
      <c r="F8" t="s">
        <v>132</v>
      </c>
      <c r="G8" t="b">
        <v>1</v>
      </c>
      <c r="H8" t="b">
        <v>1</v>
      </c>
      <c r="I8" t="b">
        <v>1</v>
      </c>
      <c r="J8">
        <v>186</v>
      </c>
      <c r="K8">
        <v>0</v>
      </c>
      <c r="L8">
        <v>13.67</v>
      </c>
      <c r="M8">
        <v>21.35</v>
      </c>
      <c r="N8">
        <v>16.170000000000002</v>
      </c>
      <c r="O8">
        <v>0.08</v>
      </c>
      <c r="P8">
        <v>0.6</v>
      </c>
      <c r="Q8">
        <v>0.7</v>
      </c>
      <c r="S8" t="s">
        <v>27</v>
      </c>
      <c r="T8" t="s">
        <v>27</v>
      </c>
      <c r="U8" t="s">
        <v>28</v>
      </c>
      <c r="V8">
        <v>1</v>
      </c>
      <c r="W8">
        <v>1</v>
      </c>
      <c r="X8">
        <v>1</v>
      </c>
      <c r="Y8">
        <v>0.5</v>
      </c>
    </row>
    <row r="9" spans="1:25" x14ac:dyDescent="0.2">
      <c r="A9" t="s">
        <v>41</v>
      </c>
      <c r="B9" t="s">
        <v>42</v>
      </c>
      <c r="C9" t="s">
        <v>133</v>
      </c>
      <c r="D9" t="s">
        <v>134</v>
      </c>
      <c r="E9" t="s">
        <v>135</v>
      </c>
      <c r="F9" t="s">
        <v>136</v>
      </c>
      <c r="G9" t="b">
        <v>0</v>
      </c>
      <c r="H9" t="b">
        <v>0</v>
      </c>
      <c r="I9" t="b">
        <v>0</v>
      </c>
      <c r="J9">
        <v>0</v>
      </c>
      <c r="K9">
        <v>0</v>
      </c>
      <c r="O9">
        <v>0</v>
      </c>
      <c r="P9">
        <v>0</v>
      </c>
      <c r="Q9">
        <v>0</v>
      </c>
      <c r="R9">
        <v>0</v>
      </c>
      <c r="S9" t="s">
        <v>27</v>
      </c>
      <c r="T9" t="s">
        <v>27</v>
      </c>
      <c r="U9" t="s">
        <v>28</v>
      </c>
      <c r="V9">
        <v>0</v>
      </c>
      <c r="W9">
        <v>0</v>
      </c>
      <c r="X9">
        <v>0</v>
      </c>
      <c r="Y9">
        <v>0</v>
      </c>
    </row>
    <row r="10" spans="1:25" x14ac:dyDescent="0.2">
      <c r="A10" t="s">
        <v>43</v>
      </c>
      <c r="B10" t="s">
        <v>44</v>
      </c>
      <c r="C10" t="s">
        <v>137</v>
      </c>
      <c r="D10" t="s">
        <v>138</v>
      </c>
      <c r="E10" t="s">
        <v>139</v>
      </c>
      <c r="F10" t="s">
        <v>140</v>
      </c>
      <c r="G10" t="b">
        <v>0</v>
      </c>
      <c r="H10" t="b">
        <v>0</v>
      </c>
      <c r="I10" t="b">
        <v>0</v>
      </c>
      <c r="J10">
        <v>0</v>
      </c>
      <c r="K10">
        <v>0</v>
      </c>
      <c r="O10">
        <v>0</v>
      </c>
      <c r="P10">
        <v>0</v>
      </c>
      <c r="Q10">
        <v>0</v>
      </c>
      <c r="R10">
        <v>0</v>
      </c>
      <c r="S10" t="s">
        <v>27</v>
      </c>
      <c r="T10" t="s">
        <v>27</v>
      </c>
      <c r="U10" t="s">
        <v>28</v>
      </c>
      <c r="V10">
        <v>0</v>
      </c>
      <c r="W10">
        <v>0</v>
      </c>
      <c r="X10">
        <v>0</v>
      </c>
      <c r="Y10">
        <v>0</v>
      </c>
    </row>
    <row r="11" spans="1:25" x14ac:dyDescent="0.2">
      <c r="A11" t="s">
        <v>45</v>
      </c>
      <c r="B11" t="s">
        <v>46</v>
      </c>
      <c r="C11" t="s">
        <v>141</v>
      </c>
      <c r="D11" t="s">
        <v>142</v>
      </c>
      <c r="E11" t="s">
        <v>143</v>
      </c>
      <c r="F11" t="s">
        <v>144</v>
      </c>
      <c r="G11" t="b">
        <v>0</v>
      </c>
      <c r="H11" t="b">
        <v>0</v>
      </c>
      <c r="I11" t="b">
        <v>0</v>
      </c>
      <c r="J11">
        <v>0</v>
      </c>
      <c r="K11">
        <v>0</v>
      </c>
      <c r="O11">
        <v>0</v>
      </c>
      <c r="P11">
        <v>0</v>
      </c>
      <c r="Q11">
        <v>0</v>
      </c>
      <c r="R11">
        <v>0</v>
      </c>
      <c r="S11" t="s">
        <v>27</v>
      </c>
      <c r="T11" t="s">
        <v>27</v>
      </c>
      <c r="U11" t="s">
        <v>28</v>
      </c>
      <c r="V11">
        <v>0</v>
      </c>
      <c r="W11">
        <v>0</v>
      </c>
      <c r="X11">
        <v>0</v>
      </c>
      <c r="Y11">
        <v>0</v>
      </c>
    </row>
    <row r="12" spans="1:25" x14ac:dyDescent="0.2">
      <c r="A12" t="s">
        <v>47</v>
      </c>
      <c r="B12" t="s">
        <v>48</v>
      </c>
      <c r="C12" t="s">
        <v>145</v>
      </c>
      <c r="D12" t="s">
        <v>146</v>
      </c>
      <c r="E12" t="s">
        <v>147</v>
      </c>
      <c r="F12" t="s">
        <v>148</v>
      </c>
      <c r="G12" t="b">
        <v>1</v>
      </c>
      <c r="H12" t="b">
        <v>0</v>
      </c>
      <c r="I12" t="b">
        <v>1</v>
      </c>
      <c r="J12">
        <v>0</v>
      </c>
      <c r="K12">
        <v>0</v>
      </c>
      <c r="L12">
        <v>23.75</v>
      </c>
      <c r="M12">
        <v>24.96</v>
      </c>
      <c r="N12">
        <v>23.23</v>
      </c>
      <c r="O12">
        <v>0</v>
      </c>
      <c r="P12">
        <v>0.62</v>
      </c>
      <c r="Q12">
        <v>0.76</v>
      </c>
      <c r="S12" t="s">
        <v>27</v>
      </c>
      <c r="T12" t="s">
        <v>27</v>
      </c>
      <c r="U12" t="s">
        <v>28</v>
      </c>
      <c r="V12">
        <v>1</v>
      </c>
      <c r="W12">
        <v>0</v>
      </c>
      <c r="X12">
        <v>0.5</v>
      </c>
      <c r="Y12">
        <v>0.5</v>
      </c>
    </row>
    <row r="13" spans="1:25" x14ac:dyDescent="0.2">
      <c r="A13" t="s">
        <v>49</v>
      </c>
      <c r="B13" t="s">
        <v>50</v>
      </c>
      <c r="C13" t="s">
        <v>149</v>
      </c>
      <c r="D13" t="s">
        <v>150</v>
      </c>
      <c r="E13" t="s">
        <v>151</v>
      </c>
      <c r="F13" t="s">
        <v>152</v>
      </c>
      <c r="G13" t="b">
        <v>1</v>
      </c>
      <c r="H13" t="b">
        <v>0</v>
      </c>
      <c r="I13" t="b">
        <v>1</v>
      </c>
      <c r="J13">
        <v>0</v>
      </c>
      <c r="K13">
        <v>0</v>
      </c>
      <c r="L13">
        <v>9.8800000000000008</v>
      </c>
      <c r="M13">
        <v>11.31</v>
      </c>
      <c r="N13">
        <v>9.91</v>
      </c>
      <c r="O13">
        <v>0</v>
      </c>
      <c r="P13">
        <v>0.61</v>
      </c>
      <c r="Q13">
        <v>0.68</v>
      </c>
      <c r="S13" t="s">
        <v>27</v>
      </c>
      <c r="T13" t="s">
        <v>27</v>
      </c>
      <c r="U13" t="s">
        <v>28</v>
      </c>
      <c r="V13">
        <v>1</v>
      </c>
      <c r="W13">
        <v>0</v>
      </c>
      <c r="X13">
        <v>0.5</v>
      </c>
      <c r="Y13">
        <v>0.5</v>
      </c>
    </row>
    <row r="14" spans="1:25" x14ac:dyDescent="0.2">
      <c r="A14" t="s">
        <v>51</v>
      </c>
      <c r="B14" t="s">
        <v>52</v>
      </c>
      <c r="C14" t="s">
        <v>153</v>
      </c>
      <c r="D14" t="s">
        <v>154</v>
      </c>
      <c r="E14" t="s">
        <v>155</v>
      </c>
      <c r="F14" t="s">
        <v>156</v>
      </c>
      <c r="G14" t="b">
        <v>0</v>
      </c>
      <c r="H14" t="b">
        <v>0</v>
      </c>
      <c r="I14" t="b">
        <v>0</v>
      </c>
      <c r="J14">
        <v>0</v>
      </c>
      <c r="K14">
        <v>0</v>
      </c>
      <c r="O14">
        <v>0</v>
      </c>
      <c r="P14">
        <v>0</v>
      </c>
      <c r="Q14">
        <v>0</v>
      </c>
      <c r="R14">
        <v>0</v>
      </c>
      <c r="S14" t="s">
        <v>27</v>
      </c>
      <c r="T14" t="s">
        <v>27</v>
      </c>
      <c r="U14" t="s">
        <v>55</v>
      </c>
      <c r="V14">
        <v>0</v>
      </c>
      <c r="W14">
        <v>0</v>
      </c>
      <c r="X14">
        <v>0</v>
      </c>
      <c r="Y14">
        <v>0</v>
      </c>
    </row>
    <row r="15" spans="1:25" x14ac:dyDescent="0.2">
      <c r="A15" t="s">
        <v>53</v>
      </c>
      <c r="B15" t="s">
        <v>54</v>
      </c>
      <c r="C15" t="s">
        <v>157</v>
      </c>
      <c r="D15" t="s">
        <v>158</v>
      </c>
      <c r="E15" t="s">
        <v>159</v>
      </c>
      <c r="F15" t="s">
        <v>160</v>
      </c>
      <c r="G15" t="b">
        <v>0</v>
      </c>
      <c r="H15" t="b">
        <v>0</v>
      </c>
      <c r="I15" t="b">
        <v>0</v>
      </c>
      <c r="J15">
        <v>0</v>
      </c>
      <c r="K15">
        <v>0</v>
      </c>
      <c r="O15">
        <v>0</v>
      </c>
      <c r="P15">
        <v>0</v>
      </c>
      <c r="Q15">
        <v>0</v>
      </c>
      <c r="R15">
        <v>0</v>
      </c>
      <c r="S15" t="s">
        <v>27</v>
      </c>
      <c r="T15" t="s">
        <v>27</v>
      </c>
      <c r="U15" t="s">
        <v>55</v>
      </c>
      <c r="V15">
        <v>0</v>
      </c>
      <c r="W15">
        <v>0</v>
      </c>
      <c r="X15">
        <v>0</v>
      </c>
      <c r="Y15">
        <v>0</v>
      </c>
    </row>
    <row r="16" spans="1:25" x14ac:dyDescent="0.2">
      <c r="A16" t="s">
        <v>56</v>
      </c>
      <c r="B16" t="s">
        <v>57</v>
      </c>
      <c r="C16" t="s">
        <v>161</v>
      </c>
      <c r="D16" t="s">
        <v>162</v>
      </c>
      <c r="E16" t="s">
        <v>163</v>
      </c>
      <c r="F16" t="s">
        <v>164</v>
      </c>
      <c r="G16" t="b">
        <v>0</v>
      </c>
      <c r="H16" t="b">
        <v>0</v>
      </c>
      <c r="I16" t="b">
        <v>0</v>
      </c>
      <c r="J16">
        <v>0</v>
      </c>
      <c r="K16">
        <v>0</v>
      </c>
      <c r="O16">
        <v>0</v>
      </c>
      <c r="P16">
        <v>0</v>
      </c>
      <c r="Q16">
        <v>0</v>
      </c>
      <c r="R16">
        <v>0</v>
      </c>
      <c r="S16" t="s">
        <v>27</v>
      </c>
      <c r="T16" t="s">
        <v>27</v>
      </c>
      <c r="U16" t="s">
        <v>55</v>
      </c>
      <c r="V16">
        <v>0</v>
      </c>
      <c r="W16">
        <v>0</v>
      </c>
      <c r="X16">
        <v>0</v>
      </c>
      <c r="Y16">
        <v>0</v>
      </c>
    </row>
    <row r="17" spans="1:25" x14ac:dyDescent="0.2">
      <c r="A17" t="s">
        <v>58</v>
      </c>
      <c r="B17" t="s">
        <v>59</v>
      </c>
      <c r="C17" t="s">
        <v>165</v>
      </c>
      <c r="D17" t="s">
        <v>166</v>
      </c>
      <c r="E17" t="s">
        <v>167</v>
      </c>
      <c r="F17" t="s">
        <v>168</v>
      </c>
      <c r="G17" t="b">
        <v>0</v>
      </c>
      <c r="H17" t="b">
        <v>0</v>
      </c>
      <c r="I17" t="b">
        <v>0</v>
      </c>
      <c r="J17">
        <v>0</v>
      </c>
      <c r="K17">
        <v>0</v>
      </c>
      <c r="O17">
        <v>0</v>
      </c>
      <c r="P17">
        <v>0</v>
      </c>
      <c r="Q17">
        <v>0</v>
      </c>
      <c r="R17">
        <v>0</v>
      </c>
      <c r="S17" t="s">
        <v>27</v>
      </c>
      <c r="T17" t="s">
        <v>27</v>
      </c>
      <c r="U17" t="s">
        <v>55</v>
      </c>
      <c r="V17">
        <v>0</v>
      </c>
      <c r="W17">
        <v>0</v>
      </c>
      <c r="X17">
        <v>0</v>
      </c>
      <c r="Y17">
        <v>0</v>
      </c>
    </row>
    <row r="18" spans="1:25" x14ac:dyDescent="0.2">
      <c r="A18" t="s">
        <v>60</v>
      </c>
      <c r="B18" t="s">
        <v>61</v>
      </c>
      <c r="C18" t="s">
        <v>169</v>
      </c>
      <c r="D18" t="s">
        <v>170</v>
      </c>
      <c r="E18" t="s">
        <v>171</v>
      </c>
      <c r="F18" t="s">
        <v>172</v>
      </c>
      <c r="G18" t="b">
        <v>0</v>
      </c>
      <c r="H18" t="b">
        <v>0</v>
      </c>
      <c r="I18" t="b">
        <v>0</v>
      </c>
      <c r="J18">
        <v>0</v>
      </c>
      <c r="K18">
        <v>0</v>
      </c>
      <c r="O18">
        <v>0</v>
      </c>
      <c r="P18">
        <v>0</v>
      </c>
      <c r="Q18">
        <v>0</v>
      </c>
      <c r="R18">
        <v>0</v>
      </c>
      <c r="S18" t="s">
        <v>27</v>
      </c>
      <c r="T18" t="s">
        <v>27</v>
      </c>
      <c r="U18" t="s">
        <v>55</v>
      </c>
      <c r="V18">
        <v>0</v>
      </c>
      <c r="W18">
        <v>0</v>
      </c>
      <c r="X18">
        <v>0</v>
      </c>
      <c r="Y18">
        <v>0</v>
      </c>
    </row>
    <row r="19" spans="1:25" x14ac:dyDescent="0.2">
      <c r="A19" t="s">
        <v>62</v>
      </c>
      <c r="B19" t="s">
        <v>63</v>
      </c>
      <c r="C19" t="s">
        <v>173</v>
      </c>
      <c r="D19" t="s">
        <v>174</v>
      </c>
      <c r="E19" t="s">
        <v>175</v>
      </c>
      <c r="F19" t="s">
        <v>176</v>
      </c>
      <c r="G19" t="b">
        <v>0</v>
      </c>
      <c r="H19" t="b">
        <v>0</v>
      </c>
      <c r="I19" t="b">
        <v>0</v>
      </c>
      <c r="J19">
        <v>0</v>
      </c>
      <c r="K19">
        <v>0</v>
      </c>
      <c r="O19">
        <v>0</v>
      </c>
      <c r="P19">
        <v>0</v>
      </c>
      <c r="Q19">
        <v>0</v>
      </c>
      <c r="R19">
        <v>0</v>
      </c>
      <c r="S19" t="s">
        <v>27</v>
      </c>
      <c r="T19" t="s">
        <v>27</v>
      </c>
      <c r="U19" t="s">
        <v>55</v>
      </c>
      <c r="V19">
        <v>0</v>
      </c>
      <c r="W19">
        <v>0</v>
      </c>
      <c r="X19">
        <v>0</v>
      </c>
      <c r="Y19">
        <v>0</v>
      </c>
    </row>
    <row r="20" spans="1:25" x14ac:dyDescent="0.2">
      <c r="A20" t="s">
        <v>64</v>
      </c>
      <c r="B20" t="s">
        <v>65</v>
      </c>
      <c r="C20" t="s">
        <v>177</v>
      </c>
      <c r="D20" t="s">
        <v>178</v>
      </c>
      <c r="E20" t="s">
        <v>179</v>
      </c>
      <c r="F20" t="s">
        <v>180</v>
      </c>
      <c r="G20" t="b">
        <v>0</v>
      </c>
      <c r="H20" t="b">
        <v>0</v>
      </c>
      <c r="I20" t="b">
        <v>0</v>
      </c>
      <c r="J20">
        <v>0</v>
      </c>
      <c r="K20">
        <v>0</v>
      </c>
      <c r="O20">
        <v>0</v>
      </c>
      <c r="P20">
        <v>0</v>
      </c>
      <c r="Q20">
        <v>0</v>
      </c>
      <c r="R20">
        <v>0</v>
      </c>
      <c r="S20" t="s">
        <v>27</v>
      </c>
      <c r="T20" t="s">
        <v>27</v>
      </c>
      <c r="U20" t="s">
        <v>55</v>
      </c>
      <c r="V20">
        <v>0</v>
      </c>
      <c r="W20">
        <v>0</v>
      </c>
      <c r="X20">
        <v>0</v>
      </c>
      <c r="Y20">
        <v>0</v>
      </c>
    </row>
    <row r="21" spans="1:25" x14ac:dyDescent="0.2">
      <c r="A21" t="s">
        <v>66</v>
      </c>
      <c r="B21" t="s">
        <v>67</v>
      </c>
      <c r="C21" t="s">
        <v>181</v>
      </c>
      <c r="D21" t="s">
        <v>182</v>
      </c>
      <c r="E21" t="s">
        <v>183</v>
      </c>
      <c r="F21" t="s">
        <v>184</v>
      </c>
      <c r="G21" t="b">
        <v>0</v>
      </c>
      <c r="H21" t="b">
        <v>0</v>
      </c>
      <c r="I21" t="b">
        <v>0</v>
      </c>
      <c r="J21">
        <v>0</v>
      </c>
      <c r="K21">
        <v>0</v>
      </c>
      <c r="O21">
        <v>0</v>
      </c>
      <c r="P21">
        <v>0</v>
      </c>
      <c r="Q21">
        <v>0</v>
      </c>
      <c r="R21">
        <v>0</v>
      </c>
      <c r="S21" t="s">
        <v>27</v>
      </c>
      <c r="T21" t="s">
        <v>27</v>
      </c>
      <c r="U21" t="s">
        <v>55</v>
      </c>
      <c r="V21">
        <v>0</v>
      </c>
      <c r="W21">
        <v>0</v>
      </c>
      <c r="X21">
        <v>0</v>
      </c>
      <c r="Y21">
        <v>0</v>
      </c>
    </row>
    <row r="22" spans="1:25" x14ac:dyDescent="0.2">
      <c r="A22" t="s">
        <v>68</v>
      </c>
      <c r="B22" t="s">
        <v>69</v>
      </c>
      <c r="C22" t="s">
        <v>185</v>
      </c>
      <c r="D22" t="s">
        <v>186</v>
      </c>
      <c r="E22" t="s">
        <v>187</v>
      </c>
      <c r="F22" t="s">
        <v>188</v>
      </c>
      <c r="G22" t="b">
        <v>0</v>
      </c>
      <c r="H22" t="b">
        <v>0</v>
      </c>
      <c r="I22" t="b">
        <v>0</v>
      </c>
      <c r="J22">
        <v>0</v>
      </c>
      <c r="K22">
        <v>0</v>
      </c>
      <c r="O22">
        <v>0</v>
      </c>
      <c r="P22">
        <v>0</v>
      </c>
      <c r="Q22">
        <v>0</v>
      </c>
      <c r="R22">
        <v>0</v>
      </c>
      <c r="S22" t="s">
        <v>27</v>
      </c>
      <c r="T22" t="s">
        <v>27</v>
      </c>
      <c r="U22" t="s">
        <v>55</v>
      </c>
      <c r="V22">
        <v>0</v>
      </c>
      <c r="W22">
        <v>0</v>
      </c>
      <c r="X22">
        <v>0</v>
      </c>
      <c r="Y22">
        <v>0</v>
      </c>
    </row>
    <row r="23" spans="1:25" x14ac:dyDescent="0.2">
      <c r="A23" t="s">
        <v>70</v>
      </c>
      <c r="B23" t="s">
        <v>71</v>
      </c>
      <c r="C23" t="s">
        <v>189</v>
      </c>
      <c r="D23" t="s">
        <v>190</v>
      </c>
      <c r="E23" t="s">
        <v>191</v>
      </c>
      <c r="F23" t="s">
        <v>192</v>
      </c>
      <c r="G23" t="b">
        <v>0</v>
      </c>
      <c r="H23" t="b">
        <v>0</v>
      </c>
      <c r="I23" t="b">
        <v>0</v>
      </c>
      <c r="J23">
        <v>0</v>
      </c>
      <c r="K23">
        <v>0</v>
      </c>
      <c r="O23">
        <v>0</v>
      </c>
      <c r="P23">
        <v>0</v>
      </c>
      <c r="Q23">
        <v>0</v>
      </c>
      <c r="R23">
        <v>0</v>
      </c>
      <c r="S23" t="s">
        <v>27</v>
      </c>
      <c r="T23" t="s">
        <v>27</v>
      </c>
      <c r="U23" t="s">
        <v>55</v>
      </c>
      <c r="V23">
        <v>0</v>
      </c>
      <c r="W23">
        <v>0</v>
      </c>
      <c r="X23">
        <v>0</v>
      </c>
      <c r="Y23">
        <v>0</v>
      </c>
    </row>
    <row r="24" spans="1:25" x14ac:dyDescent="0.2">
      <c r="A24" t="s">
        <v>72</v>
      </c>
      <c r="B24" t="s">
        <v>73</v>
      </c>
      <c r="C24" t="s">
        <v>193</v>
      </c>
      <c r="D24" t="s">
        <v>194</v>
      </c>
      <c r="E24" t="s">
        <v>195</v>
      </c>
      <c r="F24" t="s">
        <v>196</v>
      </c>
      <c r="G24" t="b">
        <v>0</v>
      </c>
      <c r="H24" t="b">
        <v>0</v>
      </c>
      <c r="I24" t="b">
        <v>0</v>
      </c>
      <c r="J24">
        <v>0</v>
      </c>
      <c r="K24">
        <v>0</v>
      </c>
      <c r="O24">
        <v>0</v>
      </c>
      <c r="P24">
        <v>0</v>
      </c>
      <c r="Q24">
        <v>0</v>
      </c>
      <c r="R24">
        <v>0</v>
      </c>
      <c r="S24" t="s">
        <v>27</v>
      </c>
      <c r="T24" t="s">
        <v>27</v>
      </c>
      <c r="U24" t="s">
        <v>55</v>
      </c>
      <c r="V24">
        <v>0</v>
      </c>
      <c r="W24">
        <v>0</v>
      </c>
      <c r="X24">
        <v>0</v>
      </c>
      <c r="Y24">
        <v>0</v>
      </c>
    </row>
    <row r="25" spans="1:25" x14ac:dyDescent="0.2">
      <c r="A25" t="s">
        <v>74</v>
      </c>
      <c r="B25" t="s">
        <v>75</v>
      </c>
      <c r="C25" t="s">
        <v>197</v>
      </c>
      <c r="D25" t="s">
        <v>198</v>
      </c>
      <c r="E25" t="s">
        <v>199</v>
      </c>
      <c r="F25" t="s">
        <v>200</v>
      </c>
      <c r="G25" t="b">
        <v>0</v>
      </c>
      <c r="H25" t="b">
        <v>0</v>
      </c>
      <c r="I25" t="b">
        <v>0</v>
      </c>
      <c r="J25">
        <v>0</v>
      </c>
      <c r="K25">
        <v>0</v>
      </c>
      <c r="O25">
        <v>0</v>
      </c>
      <c r="P25">
        <v>0</v>
      </c>
      <c r="Q25">
        <v>0</v>
      </c>
      <c r="R25">
        <v>0</v>
      </c>
      <c r="S25" t="s">
        <v>27</v>
      </c>
      <c r="T25" t="s">
        <v>27</v>
      </c>
      <c r="U25" t="s">
        <v>80</v>
      </c>
      <c r="V25">
        <v>0</v>
      </c>
      <c r="W25">
        <v>0</v>
      </c>
      <c r="X25">
        <v>0</v>
      </c>
      <c r="Y25">
        <v>0</v>
      </c>
    </row>
    <row r="26" spans="1:25" x14ac:dyDescent="0.2">
      <c r="A26" t="s">
        <v>76</v>
      </c>
      <c r="B26" t="s">
        <v>77</v>
      </c>
      <c r="C26" t="s">
        <v>201</v>
      </c>
      <c r="D26" t="s">
        <v>202</v>
      </c>
      <c r="E26" t="s">
        <v>203</v>
      </c>
      <c r="F26" t="s">
        <v>204</v>
      </c>
      <c r="G26" t="b">
        <v>0</v>
      </c>
      <c r="H26" t="b">
        <v>0</v>
      </c>
      <c r="I26" t="b">
        <v>0</v>
      </c>
      <c r="J26">
        <v>0</v>
      </c>
      <c r="K26">
        <v>0</v>
      </c>
      <c r="O26">
        <v>0</v>
      </c>
      <c r="P26">
        <v>0</v>
      </c>
      <c r="Q26">
        <v>0</v>
      </c>
      <c r="R26">
        <v>0</v>
      </c>
      <c r="S26" t="s">
        <v>27</v>
      </c>
      <c r="T26" t="s">
        <v>27</v>
      </c>
      <c r="U26" t="s">
        <v>80</v>
      </c>
      <c r="V26">
        <v>0</v>
      </c>
      <c r="W26">
        <v>0</v>
      </c>
      <c r="X26">
        <v>0</v>
      </c>
      <c r="Y26">
        <v>0</v>
      </c>
    </row>
    <row r="27" spans="1:25" x14ac:dyDescent="0.2">
      <c r="A27" t="s">
        <v>78</v>
      </c>
      <c r="B27" t="s">
        <v>79</v>
      </c>
      <c r="C27" t="s">
        <v>205</v>
      </c>
      <c r="D27" t="s">
        <v>206</v>
      </c>
      <c r="E27" t="s">
        <v>207</v>
      </c>
      <c r="F27" t="s">
        <v>208</v>
      </c>
      <c r="G27" t="b">
        <v>0</v>
      </c>
      <c r="H27" t="b">
        <v>0</v>
      </c>
      <c r="I27" t="b">
        <v>0</v>
      </c>
      <c r="J27">
        <v>0</v>
      </c>
      <c r="K27">
        <v>0</v>
      </c>
      <c r="O27">
        <v>0</v>
      </c>
      <c r="P27">
        <v>0</v>
      </c>
      <c r="Q27">
        <v>0</v>
      </c>
      <c r="R27">
        <v>0</v>
      </c>
      <c r="S27" t="s">
        <v>27</v>
      </c>
      <c r="T27" t="s">
        <v>27</v>
      </c>
      <c r="U27" t="s">
        <v>80</v>
      </c>
      <c r="V27">
        <v>0</v>
      </c>
      <c r="W27">
        <v>0</v>
      </c>
      <c r="X27">
        <v>0</v>
      </c>
      <c r="Y27">
        <v>0</v>
      </c>
    </row>
    <row r="28" spans="1:25" x14ac:dyDescent="0.2">
      <c r="A28" t="s">
        <v>81</v>
      </c>
      <c r="B28" t="s">
        <v>82</v>
      </c>
      <c r="C28" t="s">
        <v>209</v>
      </c>
      <c r="D28" t="s">
        <v>210</v>
      </c>
      <c r="E28" t="s">
        <v>211</v>
      </c>
      <c r="F28" t="s">
        <v>212</v>
      </c>
      <c r="G28" t="b">
        <v>0</v>
      </c>
      <c r="H28" t="b">
        <v>0</v>
      </c>
      <c r="I28" t="b">
        <v>0</v>
      </c>
      <c r="J28">
        <v>0</v>
      </c>
      <c r="K28">
        <v>0</v>
      </c>
      <c r="O28">
        <v>0</v>
      </c>
      <c r="P28">
        <v>0</v>
      </c>
      <c r="Q28">
        <v>0</v>
      </c>
      <c r="R28">
        <v>0</v>
      </c>
      <c r="S28" t="s">
        <v>27</v>
      </c>
      <c r="T28" t="s">
        <v>27</v>
      </c>
      <c r="U28" t="s">
        <v>80</v>
      </c>
      <c r="V28">
        <v>0</v>
      </c>
      <c r="W28">
        <v>0</v>
      </c>
      <c r="X28">
        <v>0</v>
      </c>
      <c r="Y28">
        <v>0</v>
      </c>
    </row>
    <row r="29" spans="1:25" x14ac:dyDescent="0.2">
      <c r="A29" t="s">
        <v>83</v>
      </c>
      <c r="B29" t="s">
        <v>84</v>
      </c>
      <c r="C29" t="s">
        <v>213</v>
      </c>
      <c r="D29" t="s">
        <v>214</v>
      </c>
      <c r="E29" t="s">
        <v>215</v>
      </c>
      <c r="F29" t="s">
        <v>216</v>
      </c>
      <c r="G29" t="b">
        <v>0</v>
      </c>
      <c r="H29" t="b">
        <v>0</v>
      </c>
      <c r="I29" t="b">
        <v>0</v>
      </c>
      <c r="J29">
        <v>0</v>
      </c>
      <c r="K29">
        <v>0</v>
      </c>
      <c r="O29">
        <v>0</v>
      </c>
      <c r="P29">
        <v>0</v>
      </c>
      <c r="Q29">
        <v>0</v>
      </c>
      <c r="R29">
        <v>0</v>
      </c>
      <c r="S29" t="s">
        <v>27</v>
      </c>
      <c r="T29" t="s">
        <v>27</v>
      </c>
      <c r="U29" t="s">
        <v>80</v>
      </c>
      <c r="V29">
        <v>0</v>
      </c>
      <c r="W29">
        <v>0</v>
      </c>
      <c r="X29">
        <v>0</v>
      </c>
      <c r="Y29">
        <v>0</v>
      </c>
    </row>
    <row r="30" spans="1:25" x14ac:dyDescent="0.2">
      <c r="A30" t="s">
        <v>85</v>
      </c>
      <c r="B30" t="s">
        <v>86</v>
      </c>
      <c r="C30" t="s">
        <v>217</v>
      </c>
      <c r="D30" t="s">
        <v>218</v>
      </c>
      <c r="E30" t="s">
        <v>219</v>
      </c>
      <c r="F30" t="s">
        <v>220</v>
      </c>
      <c r="G30" t="b">
        <v>1</v>
      </c>
      <c r="H30" t="b">
        <v>0</v>
      </c>
      <c r="I30" t="b">
        <v>1</v>
      </c>
      <c r="J30">
        <v>0</v>
      </c>
      <c r="K30">
        <v>0</v>
      </c>
      <c r="L30">
        <v>9.89</v>
      </c>
      <c r="M30">
        <v>16.02</v>
      </c>
      <c r="N30">
        <v>11.43</v>
      </c>
      <c r="O30">
        <v>0</v>
      </c>
      <c r="P30">
        <v>0.54</v>
      </c>
      <c r="Q30">
        <v>0.69</v>
      </c>
      <c r="S30" t="s">
        <v>27</v>
      </c>
      <c r="T30" t="s">
        <v>27</v>
      </c>
      <c r="U30" t="s">
        <v>80</v>
      </c>
      <c r="V30">
        <v>1</v>
      </c>
      <c r="W30">
        <v>0</v>
      </c>
      <c r="X30">
        <v>0.5</v>
      </c>
      <c r="Y30">
        <v>0.5</v>
      </c>
    </row>
    <row r="31" spans="1:25" x14ac:dyDescent="0.2">
      <c r="A31" t="s">
        <v>87</v>
      </c>
      <c r="B31" t="s">
        <v>88</v>
      </c>
      <c r="C31" t="s">
        <v>221</v>
      </c>
      <c r="D31" t="s">
        <v>222</v>
      </c>
      <c r="E31" t="s">
        <v>223</v>
      </c>
      <c r="F31" t="s">
        <v>224</v>
      </c>
      <c r="G31" t="b">
        <v>0</v>
      </c>
      <c r="H31" t="b">
        <v>0</v>
      </c>
      <c r="I31" t="b">
        <v>0</v>
      </c>
      <c r="J31">
        <v>0</v>
      </c>
      <c r="K31">
        <v>0</v>
      </c>
      <c r="O31">
        <v>0</v>
      </c>
      <c r="P31">
        <v>0</v>
      </c>
      <c r="Q31">
        <v>0</v>
      </c>
      <c r="R31">
        <v>0</v>
      </c>
      <c r="S31" t="s">
        <v>27</v>
      </c>
      <c r="T31" t="s">
        <v>27</v>
      </c>
      <c r="U31" t="s">
        <v>80</v>
      </c>
      <c r="V31">
        <v>0</v>
      </c>
      <c r="W31">
        <v>0</v>
      </c>
      <c r="X31">
        <v>0</v>
      </c>
      <c r="Y31">
        <v>0</v>
      </c>
    </row>
    <row r="32" spans="1:25" x14ac:dyDescent="0.2">
      <c r="A32" t="s">
        <v>89</v>
      </c>
      <c r="B32" t="s">
        <v>90</v>
      </c>
      <c r="C32" t="s">
        <v>225</v>
      </c>
      <c r="D32" t="s">
        <v>226</v>
      </c>
      <c r="E32" t="s">
        <v>227</v>
      </c>
      <c r="F32" t="s">
        <v>228</v>
      </c>
      <c r="G32" t="b">
        <v>0</v>
      </c>
      <c r="H32" t="b">
        <v>0</v>
      </c>
      <c r="I32" t="b">
        <v>0</v>
      </c>
      <c r="J32">
        <v>0</v>
      </c>
      <c r="K32">
        <v>0</v>
      </c>
      <c r="O32">
        <v>0</v>
      </c>
      <c r="P32">
        <v>0</v>
      </c>
      <c r="Q32">
        <v>0</v>
      </c>
      <c r="R32">
        <v>0</v>
      </c>
      <c r="S32" t="s">
        <v>27</v>
      </c>
      <c r="T32" t="s">
        <v>27</v>
      </c>
      <c r="U32" t="s">
        <v>80</v>
      </c>
      <c r="V32">
        <v>0</v>
      </c>
      <c r="W32">
        <v>0</v>
      </c>
      <c r="X32">
        <v>0</v>
      </c>
      <c r="Y32">
        <v>0</v>
      </c>
    </row>
    <row r="33" spans="1:25" x14ac:dyDescent="0.2">
      <c r="A33" t="s">
        <v>91</v>
      </c>
      <c r="B33" t="s">
        <v>92</v>
      </c>
      <c r="C33" t="s">
        <v>229</v>
      </c>
      <c r="D33" t="s">
        <v>230</v>
      </c>
      <c r="E33" t="s">
        <v>231</v>
      </c>
      <c r="F33" t="s">
        <v>232</v>
      </c>
      <c r="G33" t="b">
        <v>0</v>
      </c>
      <c r="H33" t="b">
        <v>0</v>
      </c>
      <c r="I33" t="b">
        <v>0</v>
      </c>
      <c r="J33">
        <v>0</v>
      </c>
      <c r="K33">
        <v>0</v>
      </c>
      <c r="O33">
        <v>0</v>
      </c>
      <c r="P33">
        <v>0</v>
      </c>
      <c r="Q33">
        <v>0</v>
      </c>
      <c r="R33">
        <v>0</v>
      </c>
      <c r="S33" t="s">
        <v>27</v>
      </c>
      <c r="T33" t="s">
        <v>27</v>
      </c>
      <c r="U33" t="s">
        <v>80</v>
      </c>
      <c r="V33">
        <v>0</v>
      </c>
      <c r="W33">
        <v>0</v>
      </c>
      <c r="X33">
        <v>0</v>
      </c>
      <c r="Y33">
        <v>0</v>
      </c>
    </row>
    <row r="34" spans="1:25" x14ac:dyDescent="0.2">
      <c r="A34" t="s">
        <v>93</v>
      </c>
      <c r="B34" t="s">
        <v>94</v>
      </c>
      <c r="C34" t="s">
        <v>233</v>
      </c>
      <c r="D34" t="s">
        <v>234</v>
      </c>
      <c r="E34" t="s">
        <v>235</v>
      </c>
      <c r="F34" t="s">
        <v>236</v>
      </c>
      <c r="G34" t="b">
        <v>0</v>
      </c>
      <c r="H34" t="b">
        <v>0</v>
      </c>
      <c r="I34" t="b">
        <v>0</v>
      </c>
      <c r="J34">
        <v>0</v>
      </c>
      <c r="K34">
        <v>0</v>
      </c>
      <c r="O34">
        <v>0</v>
      </c>
      <c r="P34">
        <v>0</v>
      </c>
      <c r="Q34">
        <v>0</v>
      </c>
      <c r="R34">
        <v>0</v>
      </c>
      <c r="S34" t="s">
        <v>27</v>
      </c>
      <c r="T34" t="s">
        <v>27</v>
      </c>
      <c r="U34" t="s">
        <v>80</v>
      </c>
      <c r="V34">
        <v>0</v>
      </c>
      <c r="W34">
        <v>0</v>
      </c>
      <c r="X34">
        <v>0</v>
      </c>
      <c r="Y3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2B88-ECF1-FC4A-B0D4-0CD9DE9D5C8A}">
  <dimension ref="A1:D4"/>
  <sheetViews>
    <sheetView workbookViewId="0">
      <selection activeCell="B2" sqref="B2"/>
    </sheetView>
  </sheetViews>
  <sheetFormatPr baseColWidth="10" defaultRowHeight="15" x14ac:dyDescent="0.2"/>
  <sheetData>
    <row r="1" spans="1:4" x14ac:dyDescent="0.2">
      <c r="A1" s="2" t="s">
        <v>99</v>
      </c>
      <c r="B1" s="2" t="s">
        <v>100</v>
      </c>
      <c r="C1" s="2" t="s">
        <v>101</v>
      </c>
      <c r="D1" s="2" t="s">
        <v>102</v>
      </c>
    </row>
    <row r="2" spans="1:4" x14ac:dyDescent="0.2">
      <c r="A2" t="str" cm="1">
        <f t="array" ref="A2:A4">_xlfn.UNIQUE(All!U2:U34)</f>
        <v>simple</v>
      </c>
      <c r="B2">
        <f>COUNTIF(All!U2:U34,Filter!A2)</f>
        <v>12</v>
      </c>
      <c r="C2">
        <f>COUNTIFS(All!$G:$G, TRUE, All!$U:$U, A2)</f>
        <v>4</v>
      </c>
      <c r="D2">
        <f>COUNTIFS(All!$G:$G, TRUE,
          All!$H:$H, TRUE,
          All!$I:$I, TRUE,
          All!$U:$U, A2)</f>
        <v>1</v>
      </c>
    </row>
    <row r="3" spans="1:4" x14ac:dyDescent="0.2">
      <c r="A3" t="str">
        <v>moderate</v>
      </c>
      <c r="B3">
        <f>COUNTIF(All!U3:U35,Filter!A3)</f>
        <v>11</v>
      </c>
      <c r="C3">
        <f>COUNTIFS(All!$G:$G, TRUE, All!$U:$U, A3)</f>
        <v>0</v>
      </c>
      <c r="D3">
        <f>COUNTIFS(All!$G:$G, TRUE,
          All!$H:$H, TRUE,
          All!$I:$I, TRUE,
          All!$U:$U, A3)</f>
        <v>0</v>
      </c>
    </row>
    <row r="4" spans="1:4" x14ac:dyDescent="0.2">
      <c r="A4" t="str">
        <v>complex</v>
      </c>
      <c r="B4">
        <f>COUNTIF(All!U4:U36,Filter!A4)</f>
        <v>10</v>
      </c>
      <c r="C4">
        <f>COUNTIFS(All!$G:$G, TRUE, All!$U:$U, A4)</f>
        <v>1</v>
      </c>
      <c r="D4">
        <f>COUNTIFS(All!$G:$G, TRUE,
          All!$H:$H, TRUE,
          All!$I:$I, TRUE,
          All!$U:$U, A4)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topLeftCell="E1" workbookViewId="0">
      <selection activeCell="I5" sqref="I5"/>
    </sheetView>
  </sheetViews>
  <sheetFormatPr baseColWidth="10" defaultColWidth="8.83203125" defaultRowHeight="15" x14ac:dyDescent="0.2"/>
  <cols>
    <col min="1" max="1" width="8.5"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1" t="s">
        <v>20</v>
      </c>
      <c r="B1" s="1" t="s">
        <v>9</v>
      </c>
      <c r="C1" s="1" t="s">
        <v>10</v>
      </c>
      <c r="D1" s="1" t="s">
        <v>11</v>
      </c>
      <c r="E1" s="1" t="s">
        <v>12</v>
      </c>
      <c r="F1" s="1" t="s">
        <v>13</v>
      </c>
      <c r="G1" s="1" t="s">
        <v>14</v>
      </c>
      <c r="H1" s="1" t="s">
        <v>15</v>
      </c>
      <c r="I1" s="1" t="s">
        <v>16</v>
      </c>
      <c r="J1" s="1" t="s">
        <v>17</v>
      </c>
      <c r="K1" s="1" t="s">
        <v>21</v>
      </c>
      <c r="L1" s="1" t="s">
        <v>22</v>
      </c>
      <c r="M1" s="1" t="s">
        <v>23</v>
      </c>
      <c r="N1" s="1" t="s">
        <v>24</v>
      </c>
      <c r="O1" s="1" t="s">
        <v>95</v>
      </c>
      <c r="P1" s="1" t="s">
        <v>96</v>
      </c>
      <c r="Q1" s="1" t="s">
        <v>97</v>
      </c>
    </row>
    <row r="2" spans="1:17" x14ac:dyDescent="0.2">
      <c r="A2" t="s">
        <v>28</v>
      </c>
      <c r="B2" s="3">
        <f>AVERAGEIFS(All!$J:$J,
            All!$G:$G, TRUE,
            All!$H:$H, TRUE,
            All!$I:$I, TRUE,
            All!$U:$U, A2)</f>
        <v>186</v>
      </c>
      <c r="C2" s="3">
        <f>AVERAGEIFS(All!K:K,
            All!$G:$G, TRUE,
            All!$H:$H, TRUE,
            All!$I:$I, TRUE,
            All!$U:$U, $A2)</f>
        <v>0</v>
      </c>
      <c r="D2" s="3">
        <f>AVERAGEIFS(All!L:L,
            All!$G:$G, TRUE,
            All!$H:$H, TRUE,
            All!$I:$I, TRUE,
            All!$U:$U, $A2)</f>
        <v>13.67</v>
      </c>
      <c r="E2" s="3">
        <f>AVERAGEIFS(All!M:M,
            All!$G:$G, TRUE,
            All!$H:$H, TRUE,
            All!$I:$I, TRUE,
            All!$U:$U, $A2)</f>
        <v>21.35</v>
      </c>
      <c r="F2" s="3">
        <f>AVERAGEIFS(All!N:N,
            All!$G:$G, TRUE,
            All!$H:$H, TRUE,
            All!$I:$I, TRUE,
            All!$U:$U, $A2)</f>
        <v>16.170000000000002</v>
      </c>
      <c r="G2" s="3">
        <f>AVERAGEIFS(All!O:O,
            All!$G:$G, TRUE,
            All!$H:$H, TRUE,
            All!$I:$I, TRUE,
            All!$U:$U, $A2)</f>
        <v>0.08</v>
      </c>
      <c r="H2" s="3">
        <f>AVERAGEIFS(All!P:P,
            All!$G:$G, TRUE,
            All!$H:$H, TRUE,
            All!$I:$I, TRUE,
            All!$U:$U, $A2)</f>
        <v>0.6</v>
      </c>
      <c r="I2" s="3">
        <f>AVERAGEIFS(All!Q:Q,
            All!$G:$G, TRUE,
            All!$H:$H, TRUE,
            All!$I:$I, TRUE,
            All!$U:$U, $A2)</f>
        <v>0.7</v>
      </c>
      <c r="J2" s="3" t="e">
        <f>AVERAGEIFS(All!R:R,
            All!$G:$G, TRUE,
            All!$H:$H, TRUE,
            All!$I:$I, TRUE,
            All!$U:$U, $A2)</f>
        <v>#DIV/0!</v>
      </c>
      <c r="K2" s="3">
        <f>AVERAGEIFS(All!V:V,
            All!$G:$G, TRUE,
            All!$H:$H, TRUE,
            All!$I:$I, TRUE,
            All!$U:$U, $A2)</f>
        <v>1</v>
      </c>
      <c r="L2" s="3">
        <f>AVERAGEIFS(All!W:W,
            All!$G:$G, TRUE,
            All!$H:$H, TRUE,
            All!$I:$I, TRUE,
            All!$U:$U, $A2)</f>
        <v>1</v>
      </c>
      <c r="M2" s="3">
        <f>AVERAGEIFS(All!X:X,
            All!$G:$G, TRUE,
            All!$H:$H, TRUE,
            All!$I:$I, TRUE,
            All!$U:$U, $A2)</f>
        <v>1</v>
      </c>
      <c r="N2" s="3">
        <f>AVERAGEIFS(All!Y:Y,
            All!$G:$G, TRUE,
            All!$H:$H, TRUE,
            All!$I:$I, TRUE,
            All!$U:$U, $A2)</f>
        <v>0.5</v>
      </c>
      <c r="O2" s="3">
        <f>COUNTIFS(All!G:G,TRUE,All!$U:$U,$A2)/COUNTIF(All!$U2:$U34,Filter!$A2)</f>
        <v>0.33333333333333331</v>
      </c>
      <c r="P2" s="3">
        <f>COUNTIFS(All!H:H,TRUE,All!$U:$U,$A2)/COUNTIF(All!$U2:$U34,Filter!$A2)</f>
        <v>8.3333333333333329E-2</v>
      </c>
      <c r="Q2" s="3">
        <f>COUNTIFS(All!I:I,TRUE,All!$U:$U,$A2)/COUNTIF(All!$U2:$U34,Filter!$A2)</f>
        <v>0.33333333333333331</v>
      </c>
    </row>
    <row r="3" spans="1:17" x14ac:dyDescent="0.2">
      <c r="A3" t="s">
        <v>55</v>
      </c>
      <c r="B3" s="3" t="e">
        <f>AVERAGEIFS(All!$J:$J,
            All!$G:$G, TRUE,
            All!$H:$H, TRUE,
            All!$I:$I, TRUE,
            All!$U:$U, A3)</f>
        <v>#DIV/0!</v>
      </c>
      <c r="C3" s="3" t="e">
        <f>AVERAGEIFS(All!K:K,
            All!$G:$G, TRUE,
            All!$H:$H, TRUE,
            All!$I:$I, TRUE,
            All!$U:$U, $A3)</f>
        <v>#DIV/0!</v>
      </c>
      <c r="D3" s="3" t="e">
        <f>AVERAGEIFS(All!L:L,
            All!$G:$G, TRUE,
            All!$H:$H, TRUE,
            All!$I:$I, TRUE,
            All!$U:$U, $A3)</f>
        <v>#DIV/0!</v>
      </c>
      <c r="E3" s="3" t="e">
        <f>AVERAGEIFS(All!M:M,
            All!$G:$G, TRUE,
            All!$H:$H, TRUE,
            All!$I:$I, TRUE,
            All!$U:$U, $A3)</f>
        <v>#DIV/0!</v>
      </c>
      <c r="F3" s="3" t="e">
        <f>AVERAGEIFS(All!N:N,
            All!$G:$G, TRUE,
            All!$H:$H, TRUE,
            All!$I:$I, TRUE,
            All!$U:$U, $A3)</f>
        <v>#DIV/0!</v>
      </c>
      <c r="G3" s="3" t="e">
        <f>AVERAGEIFS(All!O:O,
            All!$G:$G, TRUE,
            All!$H:$H, TRUE,
            All!$I:$I, TRUE,
            All!$U:$U, $A3)</f>
        <v>#DIV/0!</v>
      </c>
      <c r="H3" s="3" t="e">
        <f>AVERAGEIFS(All!P:P,
            All!$G:$G, TRUE,
            All!$H:$H, TRUE,
            All!$I:$I, TRUE,
            All!$U:$U, $A3)</f>
        <v>#DIV/0!</v>
      </c>
      <c r="I3" s="3" t="e">
        <f>AVERAGEIFS(All!Q:Q,
            All!$G:$G, TRUE,
            All!$H:$H, TRUE,
            All!$I:$I, TRUE,
            All!$U:$U, $A3)</f>
        <v>#DIV/0!</v>
      </c>
      <c r="J3" s="3" t="e">
        <f>AVERAGEIFS(All!R:R,
            All!$G:$G, TRUE,
            All!$H:$H, TRUE,
            All!$I:$I, TRUE,
            All!$U:$U, $A3)</f>
        <v>#DIV/0!</v>
      </c>
      <c r="K3" s="3" t="e">
        <f>AVERAGEIFS(All!V:V,
            All!$G:$G, TRUE,
            All!$H:$H, TRUE,
            All!$I:$I, TRUE,
            All!$U:$U, $A3)</f>
        <v>#DIV/0!</v>
      </c>
      <c r="L3" s="3" t="e">
        <f>AVERAGEIFS(All!W:W,
            All!$G:$G, TRUE,
            All!$H:$H, TRUE,
            All!$I:$I, TRUE,
            All!$U:$U, $A3)</f>
        <v>#DIV/0!</v>
      </c>
      <c r="M3" s="3" t="e">
        <f>AVERAGEIFS(All!X:X,
            All!$G:$G, TRUE,
            All!$H:$H, TRUE,
            All!$I:$I, TRUE,
            All!$U:$U, $A3)</f>
        <v>#DIV/0!</v>
      </c>
      <c r="N3" s="3" t="e">
        <f>AVERAGEIFS(All!Y:Y,
            All!$G:$G, TRUE,
            All!$H:$H, TRUE,
            All!$I:$I, TRUE,
            All!$U:$U, $A3)</f>
        <v>#DIV/0!</v>
      </c>
      <c r="O3" s="3">
        <f>COUNTIFS(All!G:G,TRUE,All!$U:$U,$A3)/COUNTIF(All!$U3:$U35,Filter!$A3)</f>
        <v>0</v>
      </c>
      <c r="P3" s="3">
        <f>COUNTIFS(All!H:H,TRUE,All!$U:$U,$A3)/COUNTIF(All!$U3:$U35,Filter!$A3)</f>
        <v>0</v>
      </c>
      <c r="Q3" s="3">
        <f>COUNTIFS(All!I:I,TRUE,All!$U:$U,$A3)/COUNTIF(All!$U3:$U35,Filter!$A3)</f>
        <v>0</v>
      </c>
    </row>
    <row r="4" spans="1:17" x14ac:dyDescent="0.2">
      <c r="A4" t="s">
        <v>80</v>
      </c>
      <c r="B4" s="3" t="e">
        <f>AVERAGEIFS(All!$J:$J,
            All!$G:$G, TRUE,
            All!$H:$H, TRUE,
            All!$I:$I, TRUE,
            All!$U:$U, A4)</f>
        <v>#DIV/0!</v>
      </c>
      <c r="C4" s="3" t="e">
        <f>AVERAGEIFS(All!K:K,
            All!$G:$G, TRUE,
            All!$H:$H, TRUE,
            All!$I:$I, TRUE,
            All!$U:$U, $A4)</f>
        <v>#DIV/0!</v>
      </c>
      <c r="D4" s="3" t="e">
        <f>AVERAGEIFS(All!L:L,
            All!$G:$G, TRUE,
            All!$H:$H, TRUE,
            All!$I:$I, TRUE,
            All!$U:$U, $A4)</f>
        <v>#DIV/0!</v>
      </c>
      <c r="E4" s="3" t="e">
        <f>AVERAGEIFS(All!M:M,
            All!$G:$G, TRUE,
            All!$H:$H, TRUE,
            All!$I:$I, TRUE,
            All!$U:$U, $A4)</f>
        <v>#DIV/0!</v>
      </c>
      <c r="F4" s="3" t="e">
        <f>AVERAGEIFS(All!N:N,
            All!$G:$G, TRUE,
            All!$H:$H, TRUE,
            All!$I:$I, TRUE,
            All!$U:$U, $A4)</f>
        <v>#DIV/0!</v>
      </c>
      <c r="G4" s="3" t="e">
        <f>AVERAGEIFS(All!O:O,
            All!$G:$G, TRUE,
            All!$H:$H, TRUE,
            All!$I:$I, TRUE,
            All!$U:$U, $A4)</f>
        <v>#DIV/0!</v>
      </c>
      <c r="H4" s="3" t="e">
        <f>AVERAGEIFS(All!P:P,
            All!$G:$G, TRUE,
            All!$H:$H, TRUE,
            All!$I:$I, TRUE,
            All!$U:$U, $A4)</f>
        <v>#DIV/0!</v>
      </c>
      <c r="I4" s="3" t="e">
        <f>AVERAGEIFS(All!Q:Q,
            All!$G:$G, TRUE,
            All!$H:$H, TRUE,
            All!$I:$I, TRUE,
            All!$U:$U, $A4)</f>
        <v>#DIV/0!</v>
      </c>
      <c r="J4" s="3" t="e">
        <f>AVERAGEIFS(All!R:R,
            All!$G:$G, TRUE,
            All!$H:$H, TRUE,
            All!$I:$I, TRUE,
            All!$U:$U, $A4)</f>
        <v>#DIV/0!</v>
      </c>
      <c r="K4" s="3" t="e">
        <f>AVERAGEIFS(All!V:V,
            All!$G:$G, TRUE,
            All!$H:$H, TRUE,
            All!$I:$I, TRUE,
            All!$U:$U, $A4)</f>
        <v>#DIV/0!</v>
      </c>
      <c r="L4" s="3" t="e">
        <f>AVERAGEIFS(All!W:W,
            All!$G:$G, TRUE,
            All!$H:$H, TRUE,
            All!$I:$I, TRUE,
            All!$U:$U, $A4)</f>
        <v>#DIV/0!</v>
      </c>
      <c r="M4" s="3" t="e">
        <f>AVERAGEIFS(All!X:X,
            All!$G:$G, TRUE,
            All!$H:$H, TRUE,
            All!$I:$I, TRUE,
            All!$U:$U, $A4)</f>
        <v>#DIV/0!</v>
      </c>
      <c r="N4" s="3" t="e">
        <f>AVERAGEIFS(All!Y:Y,
            All!$G:$G, TRUE,
            All!$H:$H, TRUE,
            All!$I:$I, TRUE,
            All!$U:$U, $A4)</f>
        <v>#DIV/0!</v>
      </c>
      <c r="O4" s="3">
        <f>COUNTIFS(All!G:G,TRUE,All!$U:$U,$A4)/COUNTIF(All!$U4:$U36,Filter!$A4)</f>
        <v>0.1</v>
      </c>
      <c r="P4" s="3">
        <f>COUNTIFS(All!H:H,TRUE,All!$U:$U,$A4)/COUNTIF(All!$U4:$U36,Filter!$A4)</f>
        <v>0</v>
      </c>
      <c r="Q4" s="3">
        <f>COUNTIFS(All!I:I,TRUE,All!$U:$U,$A4)/COUNTIF(All!$U4:$U36,Filter!$A4)</f>
        <v>0.1</v>
      </c>
    </row>
  </sheetData>
  <sortState xmlns:xlrd2="http://schemas.microsoft.com/office/spreadsheetml/2017/richdata2" ref="A2:Q7">
    <sortCondition descending="1" ref="A1:A7"/>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election activeCell="P9" sqref="P9"/>
    </sheetView>
  </sheetViews>
  <sheetFormatPr baseColWidth="10" defaultColWidth="8.83203125" defaultRowHeight="15" x14ac:dyDescent="0.2"/>
  <cols>
    <col min="1" max="1" width="8"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4" t="s">
        <v>20</v>
      </c>
      <c r="B1" s="4" t="s">
        <v>9</v>
      </c>
      <c r="C1" s="4" t="s">
        <v>10</v>
      </c>
      <c r="D1" s="4" t="s">
        <v>11</v>
      </c>
      <c r="E1" s="4" t="s">
        <v>12</v>
      </c>
      <c r="F1" s="4" t="s">
        <v>13</v>
      </c>
      <c r="G1" s="4" t="s">
        <v>14</v>
      </c>
      <c r="H1" s="4" t="s">
        <v>15</v>
      </c>
      <c r="I1" s="4" t="s">
        <v>16</v>
      </c>
      <c r="J1" s="4" t="s">
        <v>17</v>
      </c>
      <c r="K1" s="4" t="s">
        <v>21</v>
      </c>
      <c r="L1" s="4" t="s">
        <v>22</v>
      </c>
      <c r="M1" s="4" t="s">
        <v>23</v>
      </c>
      <c r="N1" s="4" t="s">
        <v>24</v>
      </c>
      <c r="O1" s="4" t="s">
        <v>95</v>
      </c>
      <c r="P1" s="4" t="s">
        <v>96</v>
      </c>
      <c r="Q1" s="4" t="s">
        <v>97</v>
      </c>
    </row>
    <row r="2" spans="1:17" x14ac:dyDescent="0.2">
      <c r="A2" s="3" t="s">
        <v>98</v>
      </c>
      <c r="B2" s="3">
        <f>AVERAGEIFS(All!J:J,All!$G:$G, TRUE,All!$H:$H, TRUE,All!$I:$I, TRUE)</f>
        <v>186</v>
      </c>
      <c r="C2" s="3">
        <f>AVERAGEIFS(All!K:K,All!$G:$G, TRUE,All!$H:$H, TRUE,All!$I:$I, TRUE)</f>
        <v>0</v>
      </c>
      <c r="D2" s="3">
        <f>AVERAGEIFS(All!L:L,All!$G:$G, TRUE,All!$H:$H, TRUE,All!$I:$I, TRUE)</f>
        <v>13.67</v>
      </c>
      <c r="E2" s="3">
        <f>AVERAGEIFS(All!M:M,All!$G:$G, TRUE,All!$H:$H, TRUE,All!$I:$I, TRUE)</f>
        <v>21.35</v>
      </c>
      <c r="F2" s="3">
        <f>AVERAGEIFS(All!N:N,All!$G:$G, TRUE,All!$H:$H, TRUE,All!$I:$I, TRUE)</f>
        <v>16.170000000000002</v>
      </c>
      <c r="G2" s="3">
        <f>AVERAGEIFS(All!O:O,All!$G:$G, TRUE,All!$H:$H, TRUE,All!$I:$I, TRUE)</f>
        <v>0.08</v>
      </c>
      <c r="H2" s="3">
        <f>AVERAGEIFS(All!P:P,All!$G:$G, TRUE,All!$H:$H, TRUE,All!$I:$I, TRUE)</f>
        <v>0.6</v>
      </c>
      <c r="I2" s="3">
        <f>AVERAGEIFS(All!Q:Q,All!$G:$G, TRUE,All!$H:$H, TRUE,All!$I:$I, TRUE)</f>
        <v>0.7</v>
      </c>
      <c r="J2" s="3" t="e">
        <f>AVERAGEIFS(All!R:R,All!$G:$G, TRUE,All!$H:$H, TRUE,All!$I:$I, TRUE)</f>
        <v>#DIV/0!</v>
      </c>
      <c r="K2" s="3">
        <f>AVERAGEIFS(All!V:V,All!$G:$G, TRUE,All!$H:$H, TRUE,All!$I:$I, TRUE)</f>
        <v>1</v>
      </c>
      <c r="L2" s="3">
        <f>AVERAGEIFS(All!W:W,All!$G:$G, TRUE,All!$H:$H, TRUE,All!$I:$I, TRUE)</f>
        <v>1</v>
      </c>
      <c r="M2" s="3">
        <f>AVERAGEIFS(All!X:X,All!$G:$G, TRUE,All!$H:$H, TRUE,All!$I:$I, TRUE)</f>
        <v>1</v>
      </c>
      <c r="N2" s="3">
        <f>AVERAGEIFS(All!Y:Y,All!$G:$G, TRUE,All!$H:$H, TRUE,All!$I:$I, TRUE)</f>
        <v>0.5</v>
      </c>
      <c r="O2" s="3">
        <f>COUNTIFS(All!G:G,TRUE)/COUNTA(All!$U2:$U34)</f>
        <v>0.15151515151515152</v>
      </c>
      <c r="P2" s="3">
        <f>COUNTIFS(All!H:H,TRUE)/COUNTA(All!$U2:$U34)</f>
        <v>3.0303030303030304E-2</v>
      </c>
      <c r="Q2" s="3">
        <f>COUNTIFS(All!I:I,TRUE)/COUNTA(All!$U2:$U34)</f>
        <v>0.15151515151515152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vt:lpstr>
      <vt:lpstr>Filter</vt:lpstr>
      <vt:lpstr>By-CQ-Level</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2025-11-25T21:05:31Z</dcterms:created>
  <dcterms:modified xsi:type="dcterms:W3CDTF">2025-11-27T18:57:17Z</dcterms:modified>
</cp:coreProperties>
</file>