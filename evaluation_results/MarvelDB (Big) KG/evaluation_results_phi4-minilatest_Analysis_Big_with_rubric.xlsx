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6B68EFAA-B2D1-D14E-9265-7531AF00B79C}"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<sst xmlns="http://schemas.openxmlformats.org/spreadsheetml/2006/main" count="364" uniqueCount="236">
  <si>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</si>
  <si>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</si>
  <si>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</si>
  <si>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</si>
  <si>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</si>
  <si>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</si>
  <si>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</si>
  <si>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</si>
  <si>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</si>
  <si>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</si>
  <si>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</si>
  <si>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</si>
  <si>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</si>
  <si>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</si>
  <si>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</si>
  <si>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</si>
  <si>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</si>
  <si>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</si>
  <si>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</si>
  <si>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</si>
  <si>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</si>
  <si>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</si>
  <si>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</si>
  <si>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</si>
  <si>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</si>
  <si>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</si>
  <si>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</si>
  <si>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</si>
  <si>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</si>
  <si>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</si>
  <si>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</si>
  <si>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</si>
  <si>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</si>
  <si>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</si>
  <si>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</si>
  <si>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</si>
  <si>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</si>
  <si>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</si>
  <si>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</si>
  <si>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</si>
  <si>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</si>
  <si>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</si>
  <si>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</si>
  <si>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</si>
  <si>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</si>
  <si>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</si>
  <si>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</si>
  <si>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</si>
  <si>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</si>
  <si>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</si>
  <si>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</si>
  <si>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</si>
  <si>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</si>
  <si>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</si>
  <si>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</si>
  <si>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</si>
  <si>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</si>
  <si>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</si>
  <si>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</si>
  <si>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</si>
  <si>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</si>
  <si>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</si>
  <si>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</si>
  <si>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</si>
  <si>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</si>
  <si>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</si>
  <si>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</si>
  <si>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</si>
  <si>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</si>
  <si>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</si>
  <si>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</si>
  <si>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</si>
  <si>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</si>
  <si>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</si>
  <si>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</si>
  <si>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</si>
  <si>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</si>
  <si>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</si>
  <si>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</si>
  <si>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</si>
  <si>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</si>
  <si>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</si>
  <si>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</si>
  <si>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</si>
  <si>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</si>
  <si>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</si>
  <si>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</si>
  <si>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</si>
  <si>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</si>
  <si>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</si>
  <si>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</si>
  <si>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</si>
  <si>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</si>
  <si>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</si>
  <si>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</si>
  <si>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</si>
  <si>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</si>
  <si>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</si>
  <si>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</si>
  <si>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</si>
  <si>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</si>
  <si>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</si>
  <si>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</si>
  <si>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SELECT ?character
WHERE {
  ?character rdf:type &lt;http://www.w3.org/2002/07/owl#Individual&gt; .
}
LIMIT 10; 
```</t>
  </si>
  <si>
    <t>model='phi4-mini:latest' created_at='2025-11-20T21:30:04.003876189Z' done=True done_reason='stop' total_duration=127073627633 load_duration=12491381308 prompt_eval_count=91986 prompt_eval_duration=113003891851 eval_count=36 eval_duration=1042490875 message=Message(role='assistant', content='SELECT ?character\nWHERE {\n  ?character rdf:type &lt;http://www.w3.org/2002/07/owl#Individual&gt; .\n}\nLIMIT 10;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</si>
  <si>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WHERE {
  ?character rdf:type &lt;http://www.w3.org/2002/07/owl#Individual&gt; .
}
LIMIT 10; 
```</t>
  </si>
  <si>
    <t>ERROR: QueryBadFormed: A bad request has been sent to the endpoint: probably the SPARQL query is badly formed. 
Response:
b'Parse error: Encountered " ";" "; "" at line 17, column 9.\n'</t>
  </si>
  <si>
    <t xml:space="preserve">PREFIX ns3: &lt;http://dbkwik.webdatacommons.org/marvel.wikia.com/property/%3&gt;
PREFIX dc: &lt;http://purl.org/dc/elements/1.1/&gt;
PREFIX dcterms: &lt;http://purl.org/dc/terms/&gt;
&lt;http://marvel.wikia.com/resource/$$_Maje$tic_from_Agents_of_Atlas_Vol_1_4_001.png&gt; ns2:thumbnail "$_ Maje $tic from Agents of Atlas Vol 1 #004"^^rdf:langString ;
        &lt;http://dbkwik.webdatacommons.org/marvel.wikia.com/resource/$$_Maje$tic_from_Agents_of_Atlas_Vol_1_4_001.png&gt; dc:title "$_ Maje $tic from Agents of Atlas Vol 1 #004"^^rdf:langString ;
        ns2:wikiPageWikiLink &lt;http://dbkwik.webdatacommons.org/marvel.wikia.com/resource/$$_Maje$tic_from_Agents_of_Atlas_Vol_1/&gt; ;
&lt;http://marvel.wikia.com/wiki/Secret_Invasion_(Event)&gt; rdfs:label "Secret Invasion (Event)"^^rdf:langString ;
    ns3:CdivAlign &lt;https://dbkwik.webdatacommons.org/marvel.wikia.com/resource/$$_Maje$tic_from_Agents_of_Atlas_Vol_1/cover&gt;,
        https://marvel.wikia.com/wiki/Special:_Agents_of_Atlas_(Earth-TRN285)/artwork#Secret_Invasion_Saga#Cover ;
    ns3:CdivAlign rdfs:label "$_ Maje $tic from Agents of Atlas"^^rdf:langString .
PREFIX skos: &lt;http://www.w3.org/2004/02/skos/core#&gt;
&lt;http://dbkwik.webdatacommons.org/marvel.wikia.com/resource/$$_Maje$tic_from_Agents_of_Atlas/&gt; a owl:Thing ;
    rdfs:label "$ $ Maje $tic from Agents of Atlas"^^rdf:langString;
    ns1:title "Secret Invasion (Event)"^rdf...
</t>
  </si>
  <si>
    <t>model='phi4-mini:latest' created_at='2025-11-20T21:32:15.266536842Z' done=True done_reason='stop' total_duration=130287497994 load_duration=1802553002 prompt_eval_count=91992 prompt_eval_duration=113615816411 eval_count=463 eval_duration=13768491562 message=Message(role='assistant', content='PREFIX ns3: &lt;http://dbkwik.webdatacommons.org/marvel.wikia.com/property/%3&gt;\nPREFIX dc: &lt;http://purl.org/dc/elements/1.1/&gt;\nPREFIX dcterms: &lt;http://purl.org/dc/terms/&gt;\n\n&lt;http://marvel.wikia.com/resource/$$_Maje$tic_from_Agents_of_Atlas_Vol_1_4_001.png&gt; ns2:thumbnail "$_ Maje $tic from Agents of Atlas Vol 1 #004"^^rdf:langString ;\n        &lt;http://dbkwik.webdatacommons.org/marvel.wikia.com/resource/$$_Maje$tic_from_Agents_of_Atlas_Vol_1_4_001.png&gt; dc:title "$_ Maje $tic from Agents of Atlas Vol 1 #004"^^rdf:langString ;\n        ns2:wikiPageWikiLink &lt;http://dbkwik.webdatacommons.org/marvel.wikia.com/resource/$$_Maje$tic_from_Agents_of_Atlas_Vol_1/&gt; ;\n\n&lt;http://marvel.wikia.com/wiki/Secret_Invasion_(Event)&gt; rdfs:label "Secret Invasion (Event)"^^rdf:langString ;\n    ns3:CdivAlign &lt;https://dbkwik.webdatacommons.org/marvel.wikia.com/resource/$$_Maje$tic_from_Agents_of_Atlas_Vol_1/cover&gt;,\n        https://marvel.wikia.com/wiki/Special:_Agents_of_Atlas_(Earth-TRN285)/artwork#Secret_Invasion_Saga#Cover ;\n    ns3:CdivAlign rdfs:label "$_ Maje $tic from Agents of Atlas"^^rdf:langString .\nPREFIX skos: &lt;http://www.w3.org/2004/02/skos/core#&gt;\n\n&lt;http://dbkwik.webdatacommons.org/marvel.wikia.com/resource/$$_Maje$tic_from_Agents_of_Atlas/&gt; a owl:Thing ;\n    rdfs:label "$ $ Maje $tic from Agents of Atlas"^^rdf:langString;\n    ns1:title "Secret Invasion (Event)"^rdf...\n', thinking=None, images=None, tool_calls=None)</t>
  </si>
  <si>
    <t>PREFIX foaf: &lt;http://xmlns.com/foaf/0.1/&gt;
PREFIX ns1: &lt;http://dbkwik.webdatacommons.org/marvel.wikia.com/property/&gt;
PREFIX ns2: &lt;http://dbkwik.webdatacommons.org/ontology/&gt;
PREFIX ns7: &lt;http://dbkwik.webdatacommons.org/marvel.wikia.com/property/alternate232%60&gt;
PREFIX owl: &lt;http://www.w3.org/2002/07/owl#&gt;
PREFIX rdf: &lt;http://www.w3.org/1999/02/22-rdf-syntax-ns#&gt;
PREFIX rdfs: &lt;http://www.w3.org/2000/01/rdf-schema#&gt;
PREFIX xsd: &lt;http://www.w3.org/2001/XMLSchema#&gt;
PREFIX ns3: &lt;http://dbkwik.webdatacommons.org/marvel.wikia.com/property/%3&gt;
PREFIX dc: &lt;http://purl.org/dc/elements/1.1/&gt;
PREFIX dcterms: &lt;http://purl.org/dc/terms/&gt;
&lt;http://marvel.wikia.com/resource/$$_Maje$tic_from_Agents_of_Atlas_Vol_1_4_001.png&gt; ns2:thumbnail "$_ Maje $tic from Agents of Atlas Vol 1 #004"^^rdf:langString ;
        &lt;http://dbkwik.webdatacommons.org/marvel.wikia.com/resource/$$_Maje$tic_from_Agents_of_Atlas_Vol_1_4_001.png&gt; dc:title "$_ Maje $tic from Agents of Atlas Vol 1 #004"^^rdf:langString ;
        ns2:wikiPageWikiLink &lt;http://dbkwik.webdatacommons.org/marvel.wikia.com/resource/$$_Maje$tic_from_Agents_of_Atlas_Vol_1/&gt; ;
&lt;http://marvel.wikia.com/wiki/Secret_Invasion_(Event)&gt; rdfs:label "Secret Invasion (Event)"^^rdf:langString ;
    ns3:CdivAlign &lt;https://dbkwik.webdatacommons.org/marvel.wikia.com/resource/$$_Maje$tic_from_Agents_of_Atlas_Vol_1/cover&gt;,
        https://marvel.wikia.com/wiki/Special:_Agents_of_Atlas_(Earth-TRN285)/artwork#Secret_Invasion_Saga#Cover ;
    ns3:CdivAlign rdfs:label "$_ Maje $tic from Agents of Atlas"^^rdf:langString .
PREFIX skos: &lt;http://www.w3.org/2004/02/skos/core#&gt;
&lt;http://dbkwik.webdatacommons.org/marvel.wikia.com/resource/$$_Maje$tic_from_Agents_of_Atlas/&gt; a owl:Thing ;
    rdfs:label "$ $ Maje $tic from Agents of Atlas"^^rdf:langString;
    ns1:title "Secret Invasion (Event)"^rdf...</t>
  </si>
  <si>
    <t>{
  "cq_text": "What are all the movies (and/or TV shows) available?",
  "syntax_ok": false,
  "syntax_msg": "No SPARQL form found"
}</t>
  </si>
  <si>
    <t>```sparql
PREFIX dc: &lt;http://purl.org/dc/e1/&gt;
PREFIX dcterms: &lt;http://purl.org/dc/terms/&gt;
PREFIX foaf: &lt;http://xmlns.com/foaf/0.1/&gt; .
PREFIX ns1: &lt;http://dbkwik.webdatacommons.org/marvel.wikia.com/property/&gt;
PREFIX ns2: &lt;http://dbkwik.webdatacommons.org/ontology/&gt;
SELECT ?character ?realName WHERE {
    ?character a :Character ;
               foaf:name "Unnamed Character" .
} ORDER BY DESC (?realName)
```</t>
  </si>
  <si>
    <t>model='phi4-mini:latest' created_at='2025-11-20T21:34:15.090600877Z' done=True done_reason='stop' total_duration=119492855765 load_duration=1290412061 prompt_eval_count=91994 prompt_eval_duration=113754608717 eval_count=128 eval_duration=3788645959 message=Message(role='assistant', content='```sparql\nPREFIX dc: &lt;http://purl.org/dc/e1/&gt;\nPREFIX dcterms: &lt;http://purl.org/dc/terms/&gt;\nPREFIX foaf: &lt;http://xmlns.com/foaf/0.1/&gt; .\nPREFIX ns1: &lt;http://dbkwik.webdatacommons.org/marvel.wikia.com/property/&gt;\nPREFIX ns2: &lt;http://dbkwik.webdatacommons.org/ontology/&gt;\n\nSELECT ?character ?realName WHERE {\n    ?character a :Character ;\n               foaf:name "Unnamed Character" .\n} ORDER BY DESC (?realName)\n```', thinking=None, images=None, tool_calls=None)</t>
  </si>
  <si>
    <t>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&lt;http://purl.org/dc/e1/&gt;
PREFIX dcterms: &lt;http://purl.org/dc/terms/&gt;
PREFIX foaf: &lt;http://xmlns.com/foaf/0.1/&gt; .
PREFIX ns1: &lt;http://dbkwik.webdatacommons.org/marvel.wikia.com/property/&gt;
PREFIX ns2: &lt;http://dbkwik.webdatacommons.org/ontology/&gt;
SELECT ?character ?realName WHERE {
    ?character a :Character ;
               foaf:name "Unnamed Character" .
} ORDER BY DESC (?realName)</t>
  </si>
  <si>
    <t>ERROR: QueryBadFormed: A bad request has been sent to the endpoint: probably the SPARQL query is badly formed. 
Response:
b'Parse error: Encountered " "." ". "" at line 10, column 43.\n'</t>
  </si>
  <si>
    <t xml:space="preserve">SELECT * WHERE {
  ?resource wdt:P31 wd:"http://xmlns.com/odp/owl:Thing".
  OPTIONAL { ?resource wikibase:schemaVersion "'1'" . }
  BIND("Marvel Universe" AS ?instanceOf)
OPTIONAL {?instanceOf rdfs:label "Marvel Comics."}.
FILTER((?motto = "" || STRCONCAT(?instanceof, ": ", CASE WHEN (STRSTARTS( NVL(NULLIF(TRIM(?instance_of),"Marvel Universe"),"")) , 1) THEN (?motto ? mickey : "") ELSE TRUE END))
OPTIONAL {?resource wdt:P31 wd:"http://xmlns.com/odp/owl:Thing"}. FILTER NOT EXISTS {
  SELECT ?nonfiction WHERE { ?nonfiction skosxl:inScheme "marvel-database-schema-must-not-be-in-this-graph" .
                          (?instanceOf AS ?motto ?nonfiction) . }
OPTIONAL {?resource wdt:P31 wd:"http://xmlns.com/odp/owl:Thing".}
FILTER((?entityType IN ("Character", "Comic") || (STRSTARTS( NVL(NULLIF(TRIM(?isOrigin),""),"Earth-616"))))
OPTIONAL { ?nonfiction skosxl:isPartOf* wd:"http://xmlns.com/odp/mnsfmarvel-database-schema" .
           (FILTER((?motto IN ("", "Marvel Comics. Worldview") || STRCONCAT(?, ": ", CASE WHEN
                           (?entityType = "Comic" &amp;&amp; ?isOrigin="Earth-616" , 1) THEN ?wikisite : "" ELSE TRUE END)) AS ?nonfiction )).}
OPTIONAL { ?resource wdt:P31 wd:"http://xmlns.com/odp/owl:Thing". }
FILTER((NOT STRSTARTS( NVL(NULLIF(TRIM(?isOrigin),""),"Marvel Universe")))
  || (STRCONCAT(NVL(nullif(TRIM(?entityType),""),": "), CASE WHEN NOT (?motto = "||" &amp;&amp;
                                 ?wikisite ="http://marvel.fandom.com/wiki/" ) , 1) THEN STRTRIM(?, ": ") ELSE "" END)) AS ?statusMessage . }
FILTER((?isOrigin="Earth-616"))
OPTIONAL { ?resource skosxl:isPartOf wd:"http://xmlns.com/odp/mnsfmarvel-database-schema" .
           (FILTER ((STRSTARTS(?wikisite,"Marvel Universe") || STRCONCAT(NVL(nullif(TRIM(?, ""),""),": "), CASE WHEN
                           (?entityType = "Comic" , 1) THEN ?statusMessage : "" END)) AS ?isOriginLabel ).}
OPTIONAL { OPTIONAL {?resource wdt:P31 wd:"http://xmlns.com/odp/owl:Thing". } }
FILTER NOT EXISTS {
?nonfiction skosxl:isPartOf* ?mortalName .
}.
} 
</t>
  </si>
  <si>
    <t>model='phi4-mini:latest' created_at='2025-11-20T21:36:30.005193162Z' done=True done_reason='stop' total_duration=134598657776 load_duration=1212738886 prompt_eval_count=92005 prompt_eval_duration=113766762611 eval_count=613 eval_duration=18307746585 message=Message(role='assistant', content='SELECT * WHERE {\n  ?resource wdt:P31 wd:"http://xmlns.com/odp/owl:Thing".\n  OPTIONAL { ?resource wikibase:schemaVersion "\'1\'" . }\n  BIND("Marvel Universe" AS ?instanceOf)\nOPTIONAL {?instanceOf rdfs:label "Marvel Comics."}.\nFILTER((?motto = "" || STRCONCAT(?instanceof, ": ", CASE WHEN (STRSTARTS( NVL(NULLIF(TRIM(?instance_of),"Marvel Universe"),"")) , 1) THEN (?motto ? mickey : "") ELSE TRUE END))\nOPTIONAL {?resource wdt:P31 wd:"http://xmlns.com/odp/owl:Thing"}. FILTER NOT EXISTS {\n  SELECT ?nonfiction WHERE { ?nonfiction skosxl:inScheme "marvel-database-schema-must-not-be-in-this-graph" .\n                          (?instanceOf AS ?motto ?nonfiction) . }\nOPTIONAL {?resource wdt:P31 wd:"http://xmlns.com/odp/owl:Thing".}\nFILTER((?entityType IN ("Character", "Comic") || (STRSTARTS( NVL(NULLIF(TRIM(?isOrigin),""),"Earth-616"))))\nOPTIONAL { ?nonfiction skosxl:isPartOf* wd:"http://xmlns.com/odp/mnsfmarvel-database-schema" .\n           (FILTER((?motto IN ("", "Marvel Comics. Worldview") || STRCONCAT(?, ": ", CASE WHEN\n                           (?entityType = "Comic" &amp;&amp; ?isOrigin="Earth-616" , 1) THEN ?wikisite : "" ELSE TRUE END)) AS ?nonfiction )).}\nOPTIONAL { ?resource wdt:P31 wd:"http://xmlns.com/odp/owl:Thing". }\nFILTER((NOT STRSTARTS( NVL(NULLIF(TRIM(?isOrigin),""),"Marvel Universe")))\n  || (STRCONCAT(NVL(nullif(TRIM(?entityType),""),": "), CASE WHEN NOT (?motto = "||" &amp;&amp;\n                                 ?wikisite ="http://marvel.fandom.com/wiki/" ) , 1) THEN STRTRIM(?, ": ") ELSE "" END)) AS ?statusMessage . }\nFILTER((?isOrigin="Earth-616"))\nOPTIONAL { ?resource skosxl:isPartOf wd:"http://xmlns.com/odp/mnsfmarvel-database-schema" .\n           (FILTER ((STRSTARTS(?wikisite,"Marvel Universe") || STRCONCAT(NVL(nullif(TRIM(?, ""),""),": "), CASE WHEN\n                           (?entityType = "Comic" , 1) THEN ?statusMessage : "" END)) AS ?isOriginLabel ).}\nOPTIONAL { OPTIONAL {?resource wdt:P31 wd:"http://xmlns.com/odp/owl:Thing". } }\nFILTER NOT EXISTS {\n?nonfiction skosxl:isPartOf* ?mortalName .\n}.\n}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</si>
  <si>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?resource wdt:P31 wd:"http://xmlns.com/odp/owl:Thing".
  OPTIONAL { ?resource wikibase:schemaVersion "'1'" . }
  BIND("Marvel Universe" AS ?instanceOf)
OPTIONAL {?instanceOf rdfs:label "Marvel Comics."}.
FILTER((?motto = "" || STRCONCAT(?instanceof, ": ", CASE WHEN (STRSTARTS( NVL(NULLIF(TRIM(?instance_of),"Marvel Universe"),"")) , 1) THEN (?motto ? mickey : "") ELSE TRUE END))
OPTIONAL {?resource wdt:P31 wd:"http://xmlns.com/odp/owl:Thing"}. FILTER NOT EXISTS {
  SELECT ?nonfiction WHERE { ?nonfiction skosxl:inScheme "marvel-database-schema-must-not-be-in-this-graph" .
                          (?instanceOf AS ?motto ?nonfiction) . }
OPTIONAL {?resource wdt:P31 wd:"http://xmlns.com/odp/owl:Thing".}
FILTER((?entityType IN ("Character", "Comic") || (STRSTARTS( NVL(NULLIF(TRIM(?isOrigin),""),"Earth-616"))))
OPTIONAL { ?nonfiction skosxl:isPartOf* wd:"http://xmlns.com/odp/mnsfmarvel-database-schema" .
           (FILTER((?motto IN ("", "Marvel Comics. Worldview") || STRCONCAT(?, ": ", CASE WHEN
                           (?entityType = "Comic" &amp;&amp; ?isOrigin="Earth-616" , 1) THEN ?wikisite : "" ELSE TRUE END)) AS ?nonfiction )).}
OPTIONAL { ?resource wdt:P31 wd:"http://xmlns.com/odp/owl:Thing". }
FILTER((NOT STRSTARTS( NVL(NULLIF(TRIM(?isOrigin),""),"Marvel Universe")))
  || (STRCONCAT(NVL(nullif(TRIM(?entityType),""),": "), CASE WHEN NOT (?motto = "||" &amp;&amp;
                                 ?wikisite ="http://marvel.fandom.com/wiki/" ) , 1) THEN STRTRIM(?, ": ") ELSE "" END)) AS ?statusMessage . }
FILTER((?isOrigin="Earth-616"))
OPTIONAL { ?resource skosxl:isPartOf wd:"http://xmlns.com/odp/mnsfmarvel-database-schema" .
           (FILTER ((STRSTARTS(?wikisite,"Marvel Universe") || STRCONCAT(NVL(nullif(TRIM(?, ""),""),": "), CASE WHEN
                           (?entityType = "Comic" , 1) THEN ?statusMessage : "" END)) AS ?isOriginLabel ).}
OPTIONAL { OPTIONAL {?resource wdt:P31 wd:"http://xmlns.com/odp/owl:Thing". } }
FILTER NOT EXISTS {
?nonfiction skosxl:isPartOf* ?mortalName .
}.
}</t>
  </si>
  <si>
    <t>ERROR: QueryBadFormed: A bad request has been sent to the endpoint: probably the SPARQL query is badly formed. 
Response:
b'Parse error: Line 14, column 13: Unresolved prefixed name: wdt:P31\n'</t>
  </si>
  <si>
    <t>```
PREFIX ns1: &lt;http://dbkwik.webdatacommons.org/marvel.wikia.com/resource/&gt; .
PREFIX foaf: &lt;http://xmlns.com/foaf/0.1/&gt; .
SELECT ?originLocation
WHERE {
  ?ns7:CdivAlign a rdf:Property ;
    rdfs:label "&lt;div align"@en .
  UNION
  ?ns3:A1ternate a rdf:Property ;
    rdfs:label "A1ternate"@en .
  UNION
  ?ns4:a1alternate a rdf:Property;
    rdfs:label "a1alternate"@en.
  UNION
  ?ns7:A2rite a rdf:Property ; 
    rdfs:label "&lt;div align"@en .  
  UNION
  ?ns5:bolderStyle an &lt;http://www.w3.org/1999/xlink:href&gt;?"style="background-color:#000; color:white;" rel="alternateImage"/&gt;
  UNION
  ?ns7:a1right a rdf:Property ; 
    rdfs:label "&lt;div align"@en .
  {
    ?originLocation ns0:CdivAlign owl:sameAs &lt;http://dbkwik.webdatacommons.org/marvel.wikia.com/resource/ns3:A2rite&gt; .
    ?originLocation foaf:name "Alternate Origin"
  }
} 
```</t>
  </si>
  <si>
    <t>model='phi4-mini:latest' created_at='2025-11-20T21:38:36.210421265Z' done=True done_reason='stop' total_duration=124894084947 load_duration=1738892930 prompt_eval_count=92002 prompt_eval_duration=113703999649 eval_count=288 eval_duration=8590101972 message=Message(role='assistant', content='```\nPREFIX ns1: &lt;http://dbkwik.webdatacommons.org/marvel.wikia.com/resource/&gt; .\nPREFIX foaf: &lt;http://xmlns.com/foaf/0.1/&gt; .\n\nSELECT ?originLocation\nWHERE {\n  ?ns7:CdivAlign a rdf:Property ;\n    rdfs:label "&lt;div align"@en .\n  UNION\n  ?ns3:A1ternate a rdf:Property ;\n    rdfs:label "A1ternate"@en .\n  UNION\n  ?ns4:a1alternate a rdf:Property;\n    rdfs:label "a1alternate"@en.\n  UNION\n  ?ns7:A2rite a rdf:Property ; \n    rdfs:label "&lt;div align"@en .  \n  UNION\n  ?ns5:bolderStyle an &lt;http://www.w3.org/1999/xlink:href&gt;?"style="background-color:#000; color:white;" rel="alternateImage"/&gt;\n  UNION\n  ?ns7:a1right a rdf:Property ; \n    rdfs:label "&lt;div align"@en .\n  \n  {\n    ?originLocation ns0:CdivAlign owl:sameAs &lt;http://dbkwik.webdatacommons.org/marvel.wikia.com/resource/ns3:A2rite&gt; .\n    ?originLocation foaf:name "Alternate Origin"\n  }\n} \n```', thinking=None, images=None, tool_calls=None)</t>
  </si>
  <si>
    <t>PREFIX dc: &lt;http://purl.org/dc/elements/1.1/&gt;
PREFIX dcterms: &lt;http://purl.org/dc/terms/&gt;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&lt;http://dbkwik.webdatacommons.org/marvel.wikia.com/resource/&gt; .
PREFIX foaf: &lt;http://xmlns.com/foaf/0.1/&gt; .
SELECT ?originLocation
WHERE {
  ?ns7:CdivAlign a rdf:Property ;
    rdfs:label "&lt;div align"@en .
  UNION
  ?ns3:A1ternate a rdf:Property ;
    rdfs:label "A1ternate"@en .
  UNION
  ?ns4:a1alternate a rdf:Property;
    rdfs:label "a1alternate"@en.
  UNION
  ?ns7:A2rite a rdf:Property ; 
    rdfs:label "&lt;div align"@en .  
  UNION
  ?ns5:bolderStyle an &lt;http://www.w3.org/1999/xlink:href&gt;?"style="background-color:#000; color:white;" rel="alternateImage"/&gt;
  UNION
  ?ns7:a1right a rdf:Property ; 
    rdfs:label "&lt;div align"@en .
  {
    ?originLocation ns0:CdivAlign owl:sameAs &lt;http://dbkwik.webdatacommons.org/marvel.wikia.com/resource/ns3:A2rite&gt; .
    ?originLocation foaf:name "Alternate Origin"
  }
}</t>
  </si>
  <si>
    <t>ERROR: QueryBadFormed: A bad request has been sent to the endpoint: probably the SPARQL query is badly formed. 
Response:
b'Parse error: Encountered " "." ". "" at line 11, column 75.\n'</t>
  </si>
  <si>
    <t xml:space="preserve">PREFIX dc: &lt;http://purl.org/dc/e1/&gt; .
PREFIX dcterms: &lt;http://purl.org/dc/terms/&gt;.
PREFIX foaf: &lt;http://xmlns.com/foaf/0.1/&gt;.
PREFIX ns1: &lt;http://dbkwik.webdatacommons.org/marvel.wikia.com/property/&gt;.
PREFIX ns2: &lt;http://dbkwik.webdatacommons.org/ontology/&gt;.
PREFIX owl: &lt;http://www.w3.org/2002/07/owl#&gt;.
PREFIX rdfs: &lt;http://www.w3.org/2000/01/rdf-schema#&gt;.
&lt;http://dbkwik.webdatacommons.org/marvel.wikia.com/class/title&gt; a owl:Class ;
    rdfs:label "Title"@en .
SPARQL SELECT ?comic
WHERE {
  ?comic rdf:type ns1:title .
} 
</t>
  </si>
  <si>
    <t>model='phi4-mini:latest' created_at='2025-11-20T21:40:38.849892445Z' done=True done_reason='stop' total_duration=121583915081 load_duration=1610024577 prompt_eval_count=91998 prompt_eval_duration=113607632649 eval_count=189 eval_duration=5637210214 message=Message(role='assistant', content='PREFIX dc: &lt;http://purl.org/dc/e1/&gt; .\nPREFIX dcterms: &lt;http://purl.org/dc/terms/&gt;.\nPREFIX foaf: &lt;http://xmlns.com/foaf/0.1/&gt;.\nPREFIX ns1: &lt;http://dbkwik.webdatacommons.org/marvel.wikia.com/property/&gt;.\nPREFIX ns2: &lt;http://dbkwik.webdatacommons.org/ontology/&gt;.\nPREFIX owl: &lt;http://www.w3.org/2002/07/owl#&gt;.\nPREFIX rdfs: &lt;http://www.w3.org/2000/01/rdf-schema#&gt;.\n\n&lt;http://dbkwik.webdatacommons.org/marvel.wikia.com/class/title&gt; a owl:Class ;\n    rdfs:label "Title"@en .\n\nSPARQL SELECT ?comic\nWHERE {\n  ?comic rdf:type ns1:title .\n} \n', thinking=None, images=None, tool_calls=None)</t>
  </si>
  <si>
    <t>PREFIX ns3: &lt;http://dbkwik.webdatacommons.org/marvel.wikia.com/property/%3&gt;
PREFIX ns7: &lt;http://dbkwik.webdatacommons.org/marvel.wikia.com/property/alternate232%60&gt;
PREFIX rdf: &lt;http://www.w3.org/1999/02/22-rdf-syntax-ns#&gt;
PREFIX skos: &lt;http://www.w3.org/2004/02/skos/core#&gt;
PREFIX xsd: &lt;http://www.w3.org/2001/XMLSchema#&gt;
PREFIX dc: &lt;http://purl.org/dc/e1/&gt; .
PREFIX dcterms: &lt;http://purl.org/dc/terms/&gt;.
PREFIX foaf: &lt;http://xmlns.com/foaf/0.1/&gt;.
PREFIX ns1: &lt;http://dbkwik.webdatacommons.org/marvel.wikia.com/property/&gt;.
PREFIX ns2: &lt;http://dbkwik.webdatacommons.org/ontology/&gt;.
PREFIX owl: &lt;http://www.w3.org/2002/07/owl#&gt;.
PREFIX rdfs: &lt;http://www.w3.org/2000/01/rdf-schema#&gt;.
&lt;http://dbkwik.webdatacommons.org/marvel.wikia.com/class/title&gt; a owl:Class ;
    rdfs:label "Title"@en .
SPARQL SELECT ?comic
WHERE {
  ?comic rdf:type ns1:title .
}</t>
  </si>
  <si>
    <t>ERROR: QueryBadFormed: A bad request has been sent to the endpoint: probably the SPARQL query is badly formed. 
Response:
b'Parse error: Encountered " "." ". "" at line 6, column 37.\n'</t>
  </si>
  <si>
    <t>SELECT DISTINCT movies.title, directors.name
FROM movies AS m
JOIN movie_directors as md ON m.id = md.movie_id
JOIN characters AS c ON (md.character_id = ANY (c.members)
AND character_name IN ('Tony Stark', 'Bruce Banner')
WHERE c.universe = "Earth-616" AND NOT EXISTS (
  SELECT * FROM powers WHERE any p:power -&gt; a:c members OR power.name = 'Gemini Sentience' -- Exclude those with this specific power
) ORDER BY movies.year ASC;</t>
  </si>
  <si>
    <t>model='phi4-mini:latest' created_at='2025-11-20T23:01:54.822364355Z' done=True done_reason='stop' total_duration=119826557187 load_duration=1255607228 prompt_eval_count=91992 prompt_eval_duration=114701018826 eval_count=109 eval_duration=3245932580 message=Message(role='assistant', content='SELECT DISTINCT movies.title, directors.name\nFROM movies AS m\nJOIN movie_directors as md ON m.id = md.movie_id\nJOIN characters AS c ON (md.character_id = ANY (c.members)\nAND character_name IN (\'Tony Stark\', \'Bruce Banner\')\nWHERE c.universe = "Earth-616" AND NOT EXISTS (\n  SELECT * FROM powers WHERE any p:power -&gt; a:c members OR power.name = \'Gemini Sentience\' -- Exclude those with this specific power\n) ORDER BY movies.year ASC;',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</si>
  <si>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movies.title, directors.name
FROM movies AS m
JOIN movie_directors as md ON m.id = md.movie_id
JOIN characters AS c ON (md.character_id = ANY (c.members)
AND character_name IN ('Tony Stark', 'Bruce Banner')
WHERE c.universe = "Earth-616" AND NOT EXISTS (
  SELECT * FROM powers WHERE any p:power -&gt; a:c members OR power.name = 'Gemini Sentience' -- Exclude those with this specific power
) ORDER BY movies.year ASC;</t>
  </si>
  <si>
    <t>ERROR: QueryBadFormed: A bad request has been sent to the endpoint: probably the SPARQL query is badly formed. 
Response:
b'Parse error: Lexical error at line 13, column 29.  Encountered: \'44\' (44), after prefix "movies.title"\n'</t>
  </si>
  <si>
    <t>SELECT powers
WHERE {
  ?resource :ns7:alternateName "Spider-Girl (Mutant/Spider Clone) (Earth-616)"
}
GROUP BY ?resource
}</t>
  </si>
  <si>
    <t>model='phi4-mini:latest' created_at='2025-11-20T23:03:52.168369791Z' done=True done_reason='stop' total_duration=116595262870 load_duration=1200595082 prompt_eval_count=91993 prompt_eval_duration=113746549124 eval_count=38 eval_duration=1116238598 message=Message(role='assistant', content='SELECT powers\nWHERE {\n  ?resource :ns7:alternateName "Spider-Girl (Mutant/Spider Clone) (Earth-616)"\n}\n\nGROUP BY ?resource\n}',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</si>
  <si>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powers
WHERE {
  ?resource :ns7:alternateName "Spider-Girl (Mutant/Spider Clone) (Earth-616)"
}
GROUP BY ?resource
}</t>
  </si>
  <si>
    <t>{
  "cq_text": "What are all the listed powers or abilities for each of the characters?",
  "syntax_ok": false,
  "syntax_msg": "Unbalanced braces"
}</t>
  </si>
  <si>
    <t>SELECT 
    ns1:a, ns2:t
WHERE {
    ?a rdf:type &lt;http://dbkwik.webdatacommons.org/marvel.wikia.com/class/title&gt;
}
ORDER BY DESC (COUNT(?ns2) AS occurrences)
LIMIT 10;</t>
  </si>
  <si>
    <t>model='phi4-mini:latest' created_at='2025-11-20T23:05:50.808390735Z' done=True done_reason='stop' total_duration=117679817254 load_duration=1748800794 prompt_eval_count=91993 prompt_eval_duration=113720332887 eval_count=56 eval_duration=1651991118 message=Message(role='assistant', content='SELECT \n    ns1:a, ns2:t\nWHERE {\n    ?a rdf:type &lt;http://dbkwik.webdatacommons.org/marvel.wikia.com/class/title&gt;\n}\nORDER BY DESC (COUNT(?ns2) AS occurrences)\nLIMIT 10;',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</si>
  <si>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ns1:a, ns2:t
WHERE {
    ?a rdf:type &lt;http://dbkwik.webdatacommons.org/marvel.wikia.com/class/title&gt;
}
ORDER BY DESC (COUNT(?ns2) AS occurrences)
LIMIT 10;</t>
  </si>
  <si>
    <t>ERROR: QueryBadFormed: A bad request has been sent to the endpoint: probably the SPARQL query is badly formed. 
Response:
b'Parse error: Encountered " "," ", "" at line 14, column 10.\n'</t>
  </si>
  <si>
    <t xml:space="preserve">SELECT location AS `location`
FROM &lt;`ns1`:resource
WHERE ns1:`rdfs:label`
ORDER BY (CASE 
  WHEN ns1:`nonspacerelated properties count &gt; 0 THEN -10 ELSE -20 END)
DESC, COUNT(*), nospacerealprop = (
    SELECT CASE 
      WHEN r.`rdf:type` != 'owl:Class' AND
          t.`skos:conceptLabel IN (''$Culture'', ''Location'') OR
       `ns1:`rdfs:label LIKE %place% THEN 10 ELSE -5 END) AS nonspacerelated properties count,
    COUNT(*) as spacerealprop 
FROM &lt;`ns3`:thesaurus ns0, `&lt;dbkwik.webdatacommons.org/marvel.wikia.com&gt; .ontology &gt; `marvel`,  
&lt;rdf:subject graph:(SELECT { GRAPH ?g WHERE {
  OPTIONAL {?s ?p1 :rdfs:label. FILTER(?p1 != ' rdf:label') &amp;&amp; (strcontains(strcase(casingstr(vocab(), ': label', '' |'')) == false) || strstarts(STR(MODIFYWHERE(isliteral(nonspace?g), '"'), " 0-9") = true)
})} as ns
WITH nrelprop ?p1, &lt;dbkwik.webdatacommons.org/marvel.wikia.com/resource/$$_Maje$tic/Appearances&gt; AS r,
{ GRAPH (SELECT { 
    OPTIONAL {?s2 ?r :ns1:`nonspacerelated properties count as " 0-9" | $Culture|Location"}} WHERE {
      VALUES s2: ?o
})} ns, &lt;dbkwik.webdatacommons.org/marvel.wikia.com/resource/$$_Maje$tic/Appearances&gt; AS t,
{ GRAPH { 
    ?s1 ?p :rdfs:label  FILTER (strmatches(STR(?o),' *[0-9]{4}'| $Culture'|* | Location')} } as label
WITH s, ns {
      OPTIONAL {?ns2 :has a skos:conceptLabel. VALUE CONCAT { GRAPH g LABEL 'dbkwik.webdatacommons.org/marvel.wikia.com/resource/$$_Maje$tic/Appearances &gt; ?o} WHERE (strmatches(STR(casingstr(vocab()),' *[0-9]{4}', true) = false)
      FILTER (isliteral(nonspace?g)) } as skos:conceptLabel
  }
WHERE s != r; t;
}
ORDER BY label DESC, nrelprop &gt; spacerealprop LIMIT ?k 
</t>
  </si>
  <si>
    <t>model='phi4-mini:latest' created_at='2025-11-20T23:49:57.11594631Z' done=True done_reason='stop' total_duration=133862885640 load_duration=1070081351 prompt_eval_count=91989 prompt_eval_duration=114700172037 eval_count=563 eval_duration=16870004001 message=Message(role='assistant', content='SELECT location AS `location`\nFROM &lt;`ns1`:resource\nWHERE ns1:`rdfs:label`\nORDER BY (CASE \n  WHEN ns1:`nonspacerelated properties count &gt; 0 THEN -10 ELSE -20 END)\nDESC, COUNT(*), nospacerealprop = (\n    SELECT CASE \n      WHEN r.`rdf:type` != \'owl:Class\' AND\n          t.`skos:conceptLabel IN (\'\'$Culture\'\', \'\'Location\'\') OR\n       `ns1:`rdfs:label LIKE %place% THEN 10 ELSE -5 END) AS nonspacerelated properties count,\n    COUNT(*) as spacerealprop \nFROM &lt;`ns3`:thesaurus ns0, `&lt;dbkwik.webdatacommons.org/marvel.wikia.com&gt; .ontology &gt; `marvel`,  \n&lt;rdf:subject graph:(SELECT { GRAPH ?g WHERE {\n  OPTIONAL {?s ?p1 :rdfs:label. FILTER(?p1 != \' rdf:label\') &amp;&amp; (strcontains(strcase(casingstr(vocab(), \': label\', \'\' |\'\')) == false) || strstarts(STR(MODIFYWHERE(isliteral(nonspace?g), \'"\'), " 0-9") = true)\n})} as ns\nWITH nrelprop ?p1, &lt;dbkwik.webdatacommons.org/marvel.wikia.com/resource/$$_Maje$tic/Appearances&gt; AS r,\n{ GRAPH (SELECT { \n    OPTIONAL {?s2 ?r :ns1:`nonspacerelated properties count as " 0-9" | $Culture|Location"}} WHERE {\n      VALUES s2: ?o\n})} ns, &lt;dbkwik.webdatacommons.org/marvel.wikia.com/resource/$$_Maje$tic/Appearances&gt; AS t,\n{ GRAPH { \n    ?s1 ?p :rdfs:label  FILTER (strmatches(STR(?o),\' *[0-9]{4}\'| $Culture\'|* | Location\')} } as label\nWITH s, ns {\n      OPTIONAL {?ns2 :has a skos:conceptLabel. VALUE CONCAT { GRAPH g LABEL \'dbkwik.webdatacommons.org/marvel.wikia.com/resource/$$_Maje$tic/Appearances &gt; ?o} WHERE (strmatches(STR(casingstr(vocab()),\' *[0-9]{4}\', true) = false)\n      FILTER (isliteral(nonspace?g)) } as skos:conceptLabel\n  }\nWHERE s != r; t;\n}\n\nORDER BY label DESC, nrelprop &gt; spacerealprop LIMIT ?k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</si>
  <si>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location AS `location`
FROM &lt;`ns1`:resource
WHERE ns1:`rdfs:label`
ORDER BY (CASE 
  WHEN ns1:`nonspacerelated properties count &gt; 0 THEN -10 ELSE -20 END)
DESC, COUNT(*), nospacerealprop = (
    SELECT CASE 
      WHEN r.`rdf:type` != 'owl:Class' AND
          t.`skos:conceptLabel IN (''$Culture'', ''Location'') OR
       `ns1:`rdfs:label LIKE %place% THEN 10 ELSE -5 END) AS nonspacerelated properties count,
    COUNT(*) as spacerealprop 
FROM &lt;`ns3`:thesaurus ns0, `&lt;dbkwik.webdatacommons.org/marvel.wikia.com&gt; .ontology &gt; `marvel`,  
&lt;rdf:subject graph:(SELECT { GRAPH ?g WHERE {
  OPTIONAL {?s ?p1 :rdfs:label. FILTER(?p1 != ' rdf:label') &amp;&amp; (strcontains(strcase(casingstr(vocab(), ': label', '' |'')) == false) || strstarts(STR(MODIFYWHERE(isliteral(nonspace?g), '"'), " 0-9") = true)
})} as ns
WITH nrelprop ?p1, &lt;dbkwik.webdatacommons.org/marvel.wikia.com/resource/$$_Maje$tic/Appearances&gt; AS r,
{ GRAPH (SELECT { 
    OPTIONAL {?s2 ?r :ns1:`nonspacerelated properties count as " 0-9" | $Culture|Location"}} WHERE {
      VALUES s2: ?o
})} ns, &lt;dbkwik.webdatacommons.org/marvel.wikia.com/resource/$$_Maje$tic/Appearances&gt; AS t,
{ GRAPH { 
    ?s1 ?p :rdfs:label  FILTER (strmatches(STR(?o),' *[0-9]{4}'| $Culture'|* | Location')} } as label
WITH s, ns {
      OPTIONAL {?ns2 :has a skos:conceptLabel. VALUE CONCAT { GRAPH g LABEL 'dbkwik.webdatacommons.org/marvel.wikia.com/resource/$$_Maje$tic/Appearances &gt; ?o} WHERE (strmatches(STR(casingstr(vocab()),' *[0-9]{4}', true) = false)
      FILTER (isliteral(nonspace?g)) } as skos:conceptLabel
  }
WHERE s != r; t;
}
ORDER BY label DESC, nrelprop &gt; spacerealprop LIMIT ?k</t>
  </si>
  <si>
    <t>ERROR: QueryBadFormed: A bad request has been sent to the endpoint: probably the SPARQL query is badly formed. 
Response:
b'Parse error: Encountered " "where" "WHERE "" at line 13, column 23.\n'</t>
  </si>
  <si>
    <t>SELECT title, mainCharacter WHERE type = :title AND creator
-- Returns the titles of Marvel characters that are also superheroes and their corresponding creators.
PREFIX ns1: &lt;http://dbkwik.webdatacommons.org/marvel.wikia.com/class&gt; ;
PREFIX dc: &lt;http://purl.org/dc/elements/1/1/&gt; .
SELECT ?title, (s?ns0:title WHERE s:creator = "Roy Thomas"^^dc:contributor) AS mainCharacter
OPTIONAL { 
    SELECT * {
        ?ns1:mainImageSize 350;
        OPTIONAL { FILTER(STR(?startmonth == :current_month &amp;&amp; STR(?endyear &gt;= :date_this_year))
            } }
OPTIONS {}
-- Assuming the current month is March and today's date is not provided, this will return "Thor (Earth-616) with a main character image size of at least 350. 
}</t>
  </si>
  <si>
    <t>model='phi4-mini:latest' created_at='2025-11-20T23:51:59.393203942Z' done=True done_reason='stop' total_duration=121658623998 load_duration=1637957506 prompt_eval_count=91989 prompt_eval_duration=113684816461 eval_count=188 eval_duration=5609172982 message=Message(role='assistant', content='SELECT title, mainCharacter WHERE type = :title AND creator\n-- Returns the titles of Marvel characters that are also superheroes and their corresponding creators.\nPREFIX ns1: &lt;http://dbkwik.webdatacommons.org/marvel.wikia.com/class&gt; ;\nPREFIX dc: &lt;http://purl.org/dc/elements/1/1/&gt; .\nSELECT ?title, (s?ns0:title WHERE s:creator = "Roy Thomas"^^dc:contributor) AS mainCharacter\nOPTIONAL { \n    SELECT * {\n        ?ns1:mainImageSize 350;\n        OPTIONAL { FILTER(STR(?startmonth == :current_month &amp;&amp; STR(?endyear &gt;= :date_this_year))\n            } }\nOPTIONS {}\n-- Assuming the current month is March and today\'s date is not provided, this will return "Thor (Earth-616) with a main character image size of at least 350. \n}', thinking=None, images=None, tool_calls=None)</t>
  </si>
  <si>
    <t>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mainCharacter WHERE type = :title AND creator
-- Returns the titles of Marvel characters that are also superheroes and their corresponding creators.
PREFIX ns1: &lt;http://dbkwik.webdatacommons.org/marvel.wikia.com/class&gt; ;
PREFIX dc: &lt;http://purl.org/dc/elements/1/1/&gt; .
SELECT ?title, (s?ns0:title WHERE s:creator = "Roy Thomas"^^dc:contributor) AS mainCharacter
OPTIONAL { 
    SELECT * {
        ?ns1:mainImageSize 350;
        OPTIONAL { FILTER(STR(?startmonth == :current_month &amp;&amp; STR(?endyear &gt;= :date_this_year))
            } }
OPTIONS {}
-- Assuming the current month is March and today's date is not provided, this will return "Thor (Earth-616) with a main character image size of at least 350. 
}</t>
  </si>
  <si>
    <t>ERROR: QueryBadFormed: A bad request has been sent to the endpoint: probably the SPARQL query is badly formed. 
Response:
b'Parse error: Encountered " ";" "; "" at line 11, column 71.\n'</t>
  </si>
  <si>
    <t>Based on the provided TTL schema, here is one SPARQL query that retrieves all characters and their primary aliases or real names:
```sparql
SELECT ?character ?realName WHERE {
  ?character :a :r FILTER(CONTAINS(langString(?realName), "Earth-616")
} ORDER BY DESC (?count)
```
This will list the character along with its alias from Earth-616. It counts and sorts by how many times it appears as a primary label (e.g., `:a`) before others like `:r`. The query filters results to only include those associated explicitly labeled "Earth-616". If there are multiple labels for characters, this will list the first occurrence in order of priority given in the schema.</t>
  </si>
  <si>
    <t>model='phi4-mini:latest' created_at='2025-11-20T23:54:00.833678611Z' done=True done_reason='stop' total_duration=120661075708 load_duration=1702859858 prompt_eval_count=91993 prompt_eval_duration=113726646178 eval_count=152 eval_duration=4544257420 message=Message(role='assistant', content='Based on the provided TTL schema, here is one SPARQL query that retrieves all characters and their primary aliases or real names:\n\n```sparql\nSELECT ?character ?realName WHERE {\n  ?character :a :r FILTER(CONTAINS(langString(?realName), "Earth-616")\n} ORDER BY DESC (?count)\n```\n\nThis will list the character along with its alias from Earth-616. It counts and sorts by how many times it appears as a primary label (e.g., `:a`) before others like `:r`. The query filters results to only include those associated explicitly labeled "Earth-616". If there are multiple labels for characters, this will list the first occurrence in order of priority given in the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</si>
  <si>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?realName WHERE {
  ?character :a :r FILTER(CONTAINS(langString(?realName), "Earth-616")
} ORDER BY DESC (?count)</t>
  </si>
  <si>
    <t>ERROR: QueryBadFormed: A bad request has been sent to the endpoint: probably the SPARQL query is badly formed. 
Response:
b'Parse error: Line 14, column 14: Unresolved prefixed name: :a\n'</t>
  </si>
  <si>
    <t>```SPARQL
SELECT ?character (rdfs:label)
WHERE {
  ?resource skos:altLabel ?alternative .
  FILTER((?alt . *Alternative characters*)
}
```
This query retrieves all character labels with their alternative names based on the provided TTL schema. Note that this is not a direct answer to your competency question but an example of how you could retrieve information from such schemas using SPARQL.
You may need more specific queries tailored for different data points if looking into relationships between characters and movies or other properties in order to get actual appearance pairs, as the provided TTL schema doesn't explicitly include relations like character - movie appearances. The above query is an example of how you could start with labels which have alternative names (indicating possibly alternate versions). If more context was given about these "character" nodes having some kind of relationship property such as appearsIn or relatedTo movies, a different and specific SPARQL would be needed to get the appearance pairs.</t>
  </si>
  <si>
    <t>model='phi4-mini:latest' created_at='2025-11-20T23:56:04.146943551Z' done=True done_reason='stop' total_duration=122015960012 load_duration=1625232272 prompt_eval_count=91998 prompt_eval_duration=113718292725 eval_count=198 eval_duration=5927385404 message=Message(role='assistant', content='```SPARQL\nSELECT ?character (rdfs:label)\nWHERE {\n  ?resource skos:altLabel ?alternative .\n  FILTER((?alt . *Alternative characters*)\n}\n```\nThis query retrieves all character labels with their alternative names based on the provided TTL schema. Note that this is not a direct answer to your competency question but an example of how you could retrieve information from such schemas using SPARQL.\n\nYou may need more specific queries tailored for different data points if looking into relationships between characters and movies or other properties in order to get actual appearance pairs, as the provided TTL schema doesn\'t explicitly include relations like character - movie appearances. The above query is an example of how you could start with labels which have alternative names (indicating possibly alternate versions). If more context was given about these "character" nodes having some kind of relationship property such as appearsIn or relatedTo movies, a different and specific SPARQL would be needed to get the appearance pairs.',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</si>
  <si>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(rdfs:label)
WHERE {
  ?resource skos:altLabel ?alternative .
  FILTER((?alt . *Alternative characters*)
}</t>
  </si>
  <si>
    <t>ERROR: QueryBadFormed: A bad request has been sent to the endpoint: probably the SPARQL query is badly formed. 
Response:
b'Parse error: Encountered " "." ". "" at line 15, column 16.\n'</t>
  </si>
  <si>
    <t>SELECT DISTINCT ?actor, ?character
WHERE {
  ?actor rdf:type &lt;http://dbkwik.webdatacommons.org/marvel.wikia.com/class/characterhub&gt;,
      &lt;http://marvel.wikia.com/resource/%22Spider-Girl%22_(Mutant/Spider_Clone)_(Earth-616)/Character_Hub&gt; .
  OPTIONAL { 
    ?actor skos:prefLabel rdfs:label "%22Spider-Girl%20(Mutant/Spider Clone)%202022"^^rdf:langString . 
  }.
} LIMIT 10;</t>
  </si>
  <si>
    <t>model='phi4-mini:latest' created_at='2025-11-20T23:58:04.277495185Z' done=True done_reason='stop' total_duration=119365005164 load_duration=1374548189 prompt_eval_count=91996 prompt_eval_duration=113766595144 eval_count=121 eval_duration=3595021243 message=Message(role='assistant', content='SELECT DISTINCT ?actor, ?character\nWHERE {\n  ?actor rdf:type &lt;http://dbkwik.webdatacommons.org/marvel.wikia.com/class/characterhub&gt;,\n      &lt;http://marvel.wikia.com/resource/%22Spider-Girl%22_(Mutant/Spider_Clone)_(Earth-616)/Character_Hub&gt; .\n  OPTIONAL { \n    ?actor skos:prefLabel rdfs:label "%22Spider-Girl%20(Mutant/Spider Clone)%202022"^^rdf:langString . \n  }.\n} LIMIT 10;',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</si>
  <si>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?actor, ?character
WHERE {
  ?actor rdf:type &lt;http://dbkwik.webdatacommons.org/marvel.wikia.com/class/characterhub&gt;,
      &lt;http://marvel.wikia.com/resource/%22Spider-Girl%22_(Mutant/Spider_Clone)_(Earth-616)/Character_Hub&gt; .
  OPTIONAL { 
    ?actor skos:prefLabel rdfs:label "%22Spider-Girl%20(Mutant/Spider Clone)%202022"^^rdf:langString . 
  }.
} LIMIT 10;</t>
  </si>
  <si>
    <t>ERROR: QueryBadFormed: A bad request has been sent to the endpoint: probably the SPARQL query is badly formed. 
Response:
b'Parse error: Encountered " &lt;STRING_LITERAL2&gt; "\\"%22Spider-Girl%20(Mutant/Spider Clone)%202022\\" "" at line 17, column 38.\n'</t>
  </si>
  <si>
    <t>```SPARQL
SELECT ?character WHERE {
  &lt;https://marvel.wikia.com/resource/$$_Maje$tic&gt;a skos:Thing; 
  &lt;$$_Maje$tic&gt;/skos:title rdfs:label ?title . 
  &lt;&gt; dcterms:subject &lt;http://dbkwik.webdatacommons.org/marvel.wikia.com/resource/Marvel/wikia&gt; .
}
```</t>
  </si>
  <si>
    <t>model='phi4-mini:latest' created_at='2025-11-21T00:00:02.85620363Z' done=True done_reason='stop' total_duration=118114114329 load_duration=1160632358 prompt_eval_count=92005 prompt_eval_duration=113798986654 eval_count=86 eval_duration=2556269297 message=Message(role='assistant', content='```SPARQL\nSELECT ?character WHERE {\n  &lt;https://marvel.wikia.com/resource/$$_Maje$tic&gt;a skos:Thing; \n  &lt;$$_Maje$tic&gt;/skos:title rdfs:label ?title . \n  &lt;&gt; dcterms:subject &lt;http://dbkwik.webdatacommons.org/marvel.wikia.com/resource/Marvel/wikia&gt;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</si>
  <si>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WHERE {
  &lt;https://marvel.wikia.com/resource/$$_Maje$tic&gt;a skos:Thing; 
  &lt;$$_Maje$tic&gt;/skos:title rdfs:label ?title . 
  &lt;&gt; dcterms:subject &lt;http://dbkwik.webdatacommons.org/marvel.wikia.com/resource/Marvel/wikia&gt; .
}</t>
  </si>
  <si>
    <t>ERROR: QueryBadFormed: A bad request has been sent to the endpoint: probably the SPARQL query is badly formed. 
Response:
b'Parse error: Encountered " &lt;VAR1&gt; "?title "" at line 15, column 39.\n'</t>
  </si>
  <si>
    <t>```sparql
SELECT ?character (rdfs:label) FILTER(lang(?l = 'English')
WHERE {
  PREFIX ns1: &lt;http://dbkwik.webdatacommons.org/marvel.wikia.com/property/alternate&gt; .
  SELECT DISTINCT ?character WHERE { 
    BIND(ufo:''${ns3:#power}' as ?a
            .BIND(rdfs:label as ?l) AS s?t0).
  }
}
```</t>
  </si>
  <si>
    <t>model='phi4-mini:latest' created_at='2025-11-21T00:02:01.903616411Z' done=True done_reason='stop' total_duration=118747161614 load_duration=1422658202 prompt_eval_count=92004 prompt_eval_duration=113795928803 eval_count=98 eval_duration=2917053745 message=Message(role='assistant', content="```sparql\nSELECT ?character (rdfs:label) FILTER(lang(?l = 'English')\nWHERE {\n  PREFIX ns1: &lt;http://dbkwik.webdatacommons.org/marvel.wikia.com/property/alternate&gt; .\n  SELECT DISTINCT ?character WHERE { \n    BIND(ufo:''${ns3:#power}' as ?a\n            .BIND(rdfs:label as ?l) AS s?t0).\n  }\n}\n```",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</si>
  <si>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(rdfs:label) FILTER(lang(?l = 'English')
WHERE {
  PREFIX ns1: &lt;http://dbkwik.webdatacommons.org/marvel.wikia.com/property/alternate&gt; .
  SELECT DISTINCT ?character WHERE { 
    BIND(ufo:''${ns3:#power}' as ?a
            .BIND(rdfs:label as ?l) AS s?t0).
  }
}</t>
  </si>
  <si>
    <t>ERROR: QueryBadFormed: A bad request has been sent to the endpoint: probably the SPARQL query is badly formed. 
Response:
b'Parse error: Encountered " "." ". "" at line 12, column 86.\n'</t>
  </si>
  <si>
    <t xml:space="preserve">```sparql
SELECT ?character1 ?character2 (COUNT(?pair) AS ?count)
WHERE {
  ?resource_A &lt;http://dbkwik.webdatacommons.org/marvel.wikia.com/resource/$$_Maje$tic&gt; &lt;ns3:CharacterLink&gt;.
  OPTIONAL { 
    UNION {}
    BIND(&lt;https://marvel.wikia.com/wiki/$${character1}_($person)?&gt;(&lt;http://dbkwik.webdatacommons.org/marvel.wikia.com/class/related&gt;, "TRUE") AS ?relationship.
  }
}
GROUP BY (?)
HAVING (?count &gt; 2)
```
</t>
  </si>
  <si>
    <t>model='phi4-mini:latest' created_at='2025-11-21T00:04:02.313279485Z' done=True done_reason='stop' total_duration=119855845115 load_duration=1510389912 prompt_eval_count=92001 prompt_eval_duration=113758934597 eval_count=132 eval_duration=3935966539 message=Message(role='assistant', content='```sparql\nSELECT ?character1 ?character2 (COUNT(?pair) AS ?count)\nWHERE {\n  ?resource_A &lt;http://dbkwik.webdatacommons.org/marvel.wikia.com/resource/$$_Maje$tic&gt; &lt;ns3:CharacterLink&gt;.\n  OPTIONAL { \n    UNION {}\n    BIND(&lt;https://marvel.wikia.com/wiki/$${character1}_($person)?&gt;(&lt;http://dbkwik.webdatacommons.org/marvel.wikia.com/class/related&gt;, "TRUE") AS ?relationship.\n  }\n}\nGROUP BY (?)\nHAVING (?count &gt; 2)\n```\n',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</si>
  <si>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?character1 ?character2 (COUNT(?pair) AS ?count)
WHERE {
  ?resource_A &lt;http://dbkwik.webdatacommons.org/marvel.wikia.com/resource/$$_Maje$tic&gt; &lt;ns3:CharacterLink&gt;.
  OPTIONAL { 
    UNION {}
    BIND(&lt;https://marvel.wikia.com/wiki/$${character1}_($person)?&gt;(&lt;http://dbkwik.webdatacommons.org/marvel.wikia.com/class/related&gt;, "TRUE") AS ?relationship.
  }
}
GROUP BY (?)
HAVING (?count &gt; 2)</t>
  </si>
  <si>
    <t>ERROR: QueryBadFormed: A bad request has been sent to the endpoint: probably the SPARQL query is badly formed. 
Response:
b'Parse error: Encountered " "union" "UNION "" at line 16, column 5.\n'</t>
  </si>
  <si>
    <t xml:space="preserve">```sparql
SELECT ?teams WHERE {
  &lt;https://marvel.wikia.com/resource/$$_Maje$tic/Teams&gt;
}
```
</t>
  </si>
  <si>
    <t>model='phi4-mini:latest' created_at='2025-11-21T00:05:59.379563141Z' done=True done_reason='stop' total_duration=116479700625 load_duration=1250232441 prompt_eval_count=91994 prompt_eval_duration=113768135348 eval_count=32 eval_duration=935227617 message=Message(role='assistant', content='```sparql\nSELECT ?teams WHERE {\n  &lt;https://marvel.wikia.com/resource/$$_Maje$tic/Teams&gt;\n}\n```\n',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</si>
  <si>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?teams WHERE {
  &lt;https://marvel.wikia.com/resource/$$_Maje$tic/Teams&gt;
}</t>
  </si>
  <si>
    <t>ERROR: QueryBadFormed: A bad request has been sent to the endpoint: probably the SPARQL query is badly formed. 
Response:
b'Parse error: Encountered " "}" "} "" at line 15, column 2.\n'</t>
  </si>
  <si>
    <t>SELECT DISTINCT teams WHERE movies:(movies contains team) OR other:(other contains team)
LIMIT 50;</t>
  </si>
  <si>
    <t>model='phi4-mini:latest' created_at='2025-11-21T00:07:55.865879984Z' done=True done_reason='stop' total_duration=116179018630 load_duration=1242291126 prompt_eval_count=91999 prompt_eval_duration=113800606890 eval_count=22 eval_duration=638794142 message=Message(role='assistant', content='SELECT DISTINCT teams WHERE movies:(movies contains team) OR other:(other contains team)\nLIMIT 50;',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</si>
  <si>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teams WHERE movies:(movies contains team) OR other:(other contains team)
LIMIT 50;</t>
  </si>
  <si>
    <t>ERROR: QueryBadFormed: A bad request has been sent to the endpoint: probably the SPARQL query is badly formed. 
Response:
b'Parse error: Lexical error at line 13, column 22.  Encountered: \'32\' (32), after prefix "teams"\n'</t>
  </si>
  <si>
    <t>```sparql
SELECT ?locations WHERE {
  &lt;http://marvel.wikia.com/resource/$$_Maje$tic/Appearances&gt;
      rdf:type skos:Concept .
  BIND(&lt;http://marvel.wikia.com/resource/$$_Maje$tic/appearances&gt; as ?location) 
}
```</t>
  </si>
  <si>
    <t>model='phi4-mini:latest' created_at='2025-11-21T00:09:54.210846619Z' done=True done_reason='stop' total_duration=117591776135 load_duration=1248324425 prompt_eval_count=92001 prompt_eval_duration=113794810471 eval_count=67 eval_duration=1985407473 message=Message(role='assistant', content='```sparql\nSELECT ?locations WHERE {\n  &lt;http://marvel.wikia.com/resource/$$_Maje$tic/Appearances&gt;\n      rdf:type skos:Concept .\n  BIND(&lt;http://marvel.wikia.com/resource/$$_Maje$tic/appearances&gt; as ?location)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</si>
  <si>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?locations WHERE {
  &lt;http://marvel.wikia.com/resource/$$_Maje$tic/Appearances&gt;
      rdf:type skos:Concept .
  BIND(&lt;http://marvel.wikia.com/resource/$$_Maje$tic/appearances&gt; as ?location) 
}</t>
  </si>
  <si>
    <t>{
  "cq_text": "What are all locations that are associated with at least one character appearance (e.g., origin or major setting)?",
  "syntax_ok": true,
  "satisfiable": false,
  "deterministic": true,
  "latency": {
    "p50_ms": 16.86,
    "p95_ms": 17.58,
    "mean_ms": 16.3
  },
  "rows": 0,
  "vars": 1,
  "always_unbound_vars": [
    "locations"
  ],
  "lexical_query_overlap": 0.0,
  "semantic_similarity_to_CQ": 0.66,
  "semantic_soft_coverage_to_CQ": 0.73,
  "tuple_cohesion": null,
  "variables": [
    {
      "var": "locations",
      "rows": 0,
      "distinct": 0,
      "null_rate": 1.0,
      "label_resolution_rate": 0.0,
      "diversity_entropy_norm": 0.0,
      "semantic_cohesion": 1.0,
      "dup_ratio": 0.0,
      "bound_rate": 0.0
    }
  ]
}</t>
  </si>
  <si>
    <t>["locations"]</t>
  </si>
  <si>
    <t>[{"var": "locations", "rows": 0, "distinct": 0, "null_rate": 1.0, "label_resolution_rate": 0.0, "diversity_entropy_norm": 0.0, "semantic_cohesion": 1.0, "dup_ratio": 0.0, "bound_rate": 0.0}]</t>
  </si>
  <si>
    <t>```SPARQL
SELECT ?director, ?actor WHERE {
  &lt;dc:title&gt; := "&lt;https://marvel.wikia.com/resource/$$_Maje$tic/Appearances&gt;" .
  ?movie &lt;- dc:title;
   ?creator [dc:title] = ?
} LIMIT 100
```</t>
  </si>
  <si>
    <t>model='phi4-mini:latest' created_at='2025-11-21T00:11:52.288116331Z' done=True done_reason='stop' total_duration=117708898700 load_duration=1563499294 prompt_eval_count=91992 prompt_eval_duration=113754943300 eval_count=62 eval_duration=1834572183 message=Message(role='assistant', content='```SPARQL\nSELECT ?director, ?actor WHERE {\n  &lt;dc:title&gt; := "&lt;https://marvel.wikia.com/resource/$$_Maje$tic/Appearances&gt;" .\n  ?movie &lt;- dc:title;\n   ?creator [dc:title] = ?\n} LIMIT 100\n```',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</si>
  <si>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?director, ?actor WHERE {
  &lt;dc:title&gt; := "&lt;https://marvel.wikia.com/resource/$$_Maje$tic/Appearances&gt;" .
  ?movie &lt;- dc:title;
   ?creator [dc:title] = ?
} LIMIT 100</t>
  </si>
  <si>
    <t>ERROR: QueryBadFormed: A bad request has been sent to the endpoint: probably the SPARQL query is badly formed. 
Response:
b'Parse error: Encountered " ":=" ":= "" at line 14, column 14.\n'</t>
  </si>
  <si>
    <t>SELECT DISTINCT powers, characters WHERE ns1:powers RLIKE 'powers:' AND (ns1:baseofoperations =  'Wakanda' OR ns1:citizenship =  'Wakan') ; 
-----</t>
  </si>
  <si>
    <t>model='phi4-mini:latest' created_at='2025-11-21T00:13:49.688438785Z' done=True done_reason='stop' total_duration=116849138377 load_duration=1169810926 prompt_eval_count=91996 prompt_eval_duration=113751495440 eval_count=47 eval_duration=1384349405 message=Message(role='assistant', content="SELECT DISTINCT powers, characters WHERE ns1:powers RLIKE 'powers:' AND (ns1:baseofoperations =  'Wakanda' OR ns1:citizenship =  'Wakan') ;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</si>
  <si>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powers, characters WHERE ns1:powers RLIKE 'powers:' AND (ns1:baseofoperations =  'Wakanda' OR ns1:citizenship =  'Wakan') ; 
-----</t>
  </si>
  <si>
    <t>ERROR: QueryBadFormed: A bad request has been sent to the endpoint: probably the SPARQL query is badly formed. 
Response:
b'Parse error: Lexical error at line 13, column 23.  Encountered: \'44\' (44), after prefix "powers"\n'</t>
  </si>
  <si>
    <t>SELECT * WHERE {
  &lt;ns1:a2Alternate a foaf:name="Alaa (Earth-616)"^rdf:type=ns7:CdivAlign .};
  SELECT ?x
  FILTER(x = "Aala (Earth-616)")
} @prefix rdfs: &lt;http://www.w3.org/2000/01/robot-readability#&gt;.
@prefix ns1: &lt;http://dbkwik.webdatacommons.org/marvel.wikia.com/property/&gt; .
SELECT * WHERE {
  ?x a ns7:CdivAlign . FILTER( NOT (?x = "Alaa (Earth-616)"^^rdf:langString) }
@prefix skos: &lt;http://www.w3.org/2000/12/skos#&gt;.
SELECT *
WHERE
{
  BIND(&lt;https://dbkwik.webdatacommons.org/marvel.wikia.com/resource/%27Aala%2C_Alaa_(Earth-616)&gt; as ?x) .
}
@prefix xsd: &lt;http://www.w3.org/2001/XMLSchema#&gt;.
Select all character pairs that co-appeared in the same issue:
SELECT * WHERE {
  ?p a ns7:CdivAlign ;
  BIND( &lt;https://dbkwik.webdatacommons.org/marvel.wikia.com/resource/%27Aala%2C_Alaa_(Earth-616)&gt; as ?x ) .
  FILTER ( NOT (?x = "Al A. from Earth-615"^^rdf:langString) AND
?p a ns1:a1Alternate . 
}
@prefix foaf: &lt;http://xmlns.com/foaf/0.1/&gt;.
SELECT *
WHERE
{
  BIND( ?z as x ) .
}
```</t>
  </si>
  <si>
    <t>model='phi4-mini:latest' created_at='2025-11-21T00:15:57.305239681Z' done=True done_reason='stop' total_duration=127199457047 load_duration=1411245704 prompt_eval_count=91997 prompt_eval_duration=113824438442 eval_count=368 eval_duration=11004834745 message=Message(role='assistant', content='SELECT * WHERE {\n  &lt;ns1:a2Alternate a foaf:name="Alaa (Earth-616)"^rdf:type=ns7:CdivAlign .};\n  SELECT ?x\n  FILTER(x = "Aala (Earth-616)")\n} @prefix rdfs: &lt;http://www.w3.org/2000/01/robot-readability#&gt;.\n@prefix ns1: &lt;http://dbkwik.webdatacommons.org/marvel.wikia.com/property/&gt; .\nSELECT * WHERE {\n  ?x a ns7:CdivAlign . FILTER( NOT (?x = "Alaa (Earth-616)"^^rdf:langString) }\n@prefix skos: &lt;http://www.w3.org/2000/12/skos#&gt;.\nSELECT *\nWHERE\n{\n  BIND(&lt;https://dbkwik.webdatacommons.org/marvel.wikia.com/resource/%27Aala%2C_Alaa_(Earth-616)&gt; as ?x) .\n}\n@prefix xsd: &lt;http://www.w3.org/2001/XMLSchema#&gt;.\n\nSelect all character pairs that co-appeared in the same issue:\nSELECT * WHERE {\n  ?p a ns7:CdivAlign ;\n  BIND( &lt;https://dbkwik.webdatacommons.org/marvel.wikia.com/resource/%27Aala%2C_Alaa_(Earth-616)&gt; as ?x ) .\n  FILTER ( NOT (?x = "Al A. from Earth-615"^^rdf:langString) AND\n?p a ns1:a1Alternate . \n}\n@prefix foaf: &lt;http://xmlns.com/foaf/0.1/&gt;.\nSELECT *\nWHERE\n{\n  BIND( ?z as x ) .\n}\n\n```', thinking=None, images=None, tool_calls=None)</t>
  </si>
  <si>
    <t>PREFIX dc: &lt;http://purl.org/dc/elements/1.1/&gt;
PREFIX dcterms: &lt;http://purl.org/dc/terms/&gt;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SELECT * WHERE {
  &lt;ns1:a2Alternate a foaf:name="Alaa (Earth-616)"^rdf:type=ns7:CdivAlign .};
  SELECT ?x
  FILTER(x = "Aala (Earth-616)")
} @prefix rdfs: &lt;http://www.w3.org/2000/01/robot-readability#&gt;.
@prefix ns1: &lt;http://dbkwik.webdatacommons.org/marvel.wikia.com/property/&gt; .
SELECT * WHERE {
  ?x a ns7:CdivAlign . FILTER( NOT (?x = "Alaa (Earth-616)"^^rdf:langString) }
@prefix skos: &lt;http://www.w3.org/2000/12/skos#&gt;.
SELECT *
WHERE
{
  BIND(&lt;https://dbkwik.webdatacommons.org/marvel.wikia.com/resource/%27Aala%2C_Alaa_(Earth-616)&gt; as ?x) .
}
@prefix xsd: &lt;http://www.w3.org/2001/XMLSchema#&gt;.
Select all character pairs that co-appeared in the same issue:
SELECT * WHERE {
  ?p a ns7:CdivAlign ;
  BIND( &lt;https://dbkwik.webdatacommons.org/marvel.wikia.com/resource/%27Aala%2C_Alaa_(Earth-616)&gt; as ?x ) .
  FILTER ( NOT (?x = "Al A. from Earth-615"^^rdf:langString) AND
?p a ns1:a1Alternate . 
}
@prefix foaf: &lt;http://xmlns.com/foaf/0.1/&gt;.
SELECT *
WHERE
{
  BIND( ?z as x ) .
}
```</t>
  </si>
  <si>
    <t>{
  "cq_text": "What are all the pairs of characters available that have co-appeared in a movie?",
  "syntax_ok": false,
  "syntax_msg": "Unbalanced braces"
}</t>
  </si>
  <si>
    <t>SELECT count(distinct c1.title) AS character_appearance_count
FROM 
  {
    N'Total Characters' as c0,
      'Characters (Marvel Comics)' as tcc, 'Majesd Alternates' as ma,
      '{c0,cma}' as cmj, 'New Character Names in This Year' as ncinthisyear', 'Heroes and Villains Crossovers with Other Marvel Properties' as hvco, 
  } c1
JOIN N'{(ncinyear,')Cdiv Align - Major Characters from this Timeline (Earth-616)' as cd,
      '(c0,cma), {cdv,(ncincythisyear)}, {hvco}' as hvcj ON true -- 'Total characters for the major and alternate versions of  these in the first release, with some changes made by different artists' 
} c2
JOIN N'{(hvcj,')Cdiv Align (Earth-616)' as cdva,
      '(c0), {cdv}, {(hcco,cma)}{cd,v}' AS hcco ON true -- 'Total characters for the major and alternate versions of  these in the first release' 
} c3
JOIN N'{(hvcj,')Cdiv Align (Earth-616)' as cdva2,
      '(c0), {hdv,cma}, {(hcco,cda)}{cd,v, hdc}' AS hdcco ON true -- 'Total characters for the major and alternate versions of  these in this release' 
} c4
JOIN N'{(hvcj,')Cdiv Align (Earth-616)' as cdva3,
      '(c0), {hdv,cma}, {(hcco,cdv),(hdcc,o)}{cd,v, hdc}' AS hdcco ON true -- 'Total characters for the major and alternate versions of  these in this release' 
}
ON TRUE;</t>
  </si>
  <si>
    <t>model='phi4-mini:latest' created_at='2025-11-21T00:18:06.037589652Z' done=True done_reason='stop' total_duration=127990433952 load_duration=1184191594 prompt_eval_count=91992 prompt_eval_duration=113752972787 eval_count=402 eval_duration=12052255927 message=Message(role='assistant', content="SELECT count(distinct c1.title) AS character_appearance_count\nFROM \n  {\n    N'Total Characters' as c0,\n      'Characters (Marvel Comics)' as tcc, 'Majesd Alternates' as ma,\n      '{c0,cma}' as cmj, 'New Character Names in This Year' as ncinthisyear', 'Heroes and Villains Crossovers with Other Marvel Properties' as hvco, \n  } c1\nJOIN N'{(ncinyear,')Cdiv Align - Major Characters from this Timeline (Earth-616)' as cd,\n      '(c0,cma), {cdv,(ncincythisyear)}, {hvco}' as hvcj ON true -- 'Total characters for the major and alternate versions of  these in the first release, with some changes made by different artists' \n} c2\nJOIN N'{(hvcj,')Cdiv Align (Earth-616)' as cdva,\n      '(c0), {cdv}, {(hcco,cma)}{cd,v}' AS hcco ON true -- 'Total characters for the major and alternate versions of  these in the first release' \n} c3\nJOIN N'{(hvcj,')Cdiv Align (Earth-616)' as cdva2,\n      '(c0), {hdv,cma}, {(hcco,cda)}{cd,v, hdc}' AS hdcco ON true -- 'Total characters for the major and alternate versions of  these in this release' \n} c4\nJOIN N'{(hvcj,')Cdiv Align (Earth-616)' as cdva3,\n      '(c0), {hdv,cma}, {(hcco,cdv),(hdcc,o)}{cd,v, hdc}' AS hdcco ON true -- 'Total characters for the major and alternate versions of  these in this release' \n}\nON TRUE;",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</si>
  <si>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count(distinct c1.title) AS character_appearance_count
FROM 
  {
    N'Total Characters' as c0,
      'Characters (Marvel Comics)' as tcc, 'Majesd Alternates' as ma,
      '{c0,cma}' as cmj, 'New Character Names in This Year' as ncinthisyear', 'Heroes and Villains Crossovers with Other Marvel Properties' as hvco, 
  } c1
JOIN N'{(ncinyear,')Cdiv Align - Major Characters from this Timeline (Earth-616)' as cd,
      '(c0,cma), {cdv,(ncincythisyear)}, {hvco}' as hvcj ON true -- 'Total characters for the major and alternate versions of  these in the first release, with some changes made by different artists' 
} c2
JOIN N'{(hvcj,')Cdiv Align (Earth-616)' as cdva,
      '(c0), {cdv}, {(hcco,cma)}{cd,v}' AS hcco ON true -- 'Total characters for the major and alternate versions of  these in the first release' 
} c3
JOIN N'{(hvcj,')Cdiv Align (Earth-616)' as cdva2,
      '(c0), {hdv,cma}, {(hcco,cda)}{cd,v, hdc}' AS hdcco ON true -- 'Total characters for the major and alternate versions of  these in this release' 
} c4
JOIN N'{(hvcj,')Cdiv Align (Earth-616)' as cdva3,
      '(c0), {hdv,cma}, {(hcco,cdv),(hdcc,o)}{cd,v, hdc}' AS hdcco ON true -- 'Total characters for the major and alternate versions of  these in this release' 
}
ON TRUE;</t>
  </si>
  <si>
    <t>ERROR: QueryBadFormed: A bad request has been sent to the endpoint: probably the SPARQL query is badly formed. 
Response:
b'Parse error: Lexical error at line 14, column 6.  Encountered: \'39\' (39), after prefix "N"\n'</t>
  </si>
  <si>
    <t xml:space="preserve">```SPARQL
SELECT ?title (DISTINCT ?count)
WHERE {
  ?character wdt:P31 wd:"Comic Book Character"
  ?comicBookCharacter wds:title ?title
}
GROUP BY ?title
HAVING (?count &gt; 1)
```
This SPARQL query selects the titles of comic book characters that appear in multiple issues and their respective counts. It assumes there is a predicate 'wdt:P31' to denote an instance (a character), and it filters for those with more than one issue, using only distinct names due to possible title variations like "Unnamed" or different labels when appearing under alternate titles.
</t>
  </si>
  <si>
    <t>model='phi4-mini:latest' created_at='2025-11-21T00:20:06.957086239Z' done=True done_reason='stop' total_duration=119976785721 load_duration=1645221791 prompt_eval_count=92000 prompt_eval_duration=113735795055 eval_count=132 eval_duration=3942532133 message=Message(role='assistant', content='```SPARQL\nSELECT ?title (DISTINCT ?count)\nWHERE {\n  ?character wdt:P31 wd:"Comic Book Character"\n  ?comicBookCharacter wds:title ?title\n}\nGROUP BY ?title\nHAVING (?count &gt; 1)\n```\n\nThis SPARQL query selects the titles of comic book characters that appear in multiple issues and their respective counts. It assumes there is a predicate \'wdt:P31\' to denote an instance (a character), and it filters for those with more than one issue, using only distinct names due to possible title variations like "Unnamed" or different labels when appearing under alternate titles.\n\n',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</si>
  <si>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(DISTINCT ?count)
WHERE {
  ?character wdt:P31 wd:"Comic Book Character"
  ?comicBookCharacter wds:title ?title
}
GROUP BY ?title
HAVING (?count &gt; 1)</t>
  </si>
  <si>
    <t>ERROR: QueryBadFormed: A bad request has been sent to the endpoint: probably the SPARQL query is badly formed. 
Response:
b'Parse error: Line 14, column 14: Unresolved prefixed name: wdt:P31\n'</t>
  </si>
  <si>
    <t xml:space="preserve">SELECT title, year, mainImageSize
FROM ns1:mainCharacter, ns3:thumbnail
WHERE (ns2:title IFF ns1:appearing = '$_Maje$tic' AND type = $""") 
GROUP BY ns1:title; 
-- Limit to first 10 results for demonstration purposes only.
LIMIT 10;
</t>
  </si>
  <si>
    <t>model='phi4-mini:latest' created_at='2025-11-21T00:22:05.815850739Z' done=True done_reason='stop' total_duration=118099048575 load_duration=1667041821 prompt_eval_count=92004 prompt_eval_duration=113706267530 eval_count=73 eval_duration=2157886139 message=Message(role='assistant', content='SELECT title, year, mainImageSize\nFROM ns1:mainCharacter, ns3:thumbnail\nWHERE (ns2:title IFF ns1:appearing = \'$_Maje$tic\' AND type = $""") \nGROUP BY ns1:title; \n-- Limit to first 10 results for demonstration purposes only.\nLIMIT 10;\n',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</si>
  <si>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year, mainImageSize
FROM ns1:mainCharacter, ns3:thumbnail
WHERE (ns2:title IFF ns1:appearing = '$_Maje$tic' AND type = $""") 
GROUP BY ns1:title; 
-- Limit to first 10 results for demonstration purposes only.
LIMIT 10;</t>
  </si>
  <si>
    <t>ERROR: QueryBadFormed: A bad request has been sent to the endpoint: probably the SPARQL query is badly formed. 
Response:
b'Parse error: Lexical error at line 13, column 13.  Encountered: \'44\' (44), after prefix "title"\n'</t>
  </si>
  <si>
    <t xml:space="preserve">```SPARQL
SELECT ?character (COUNT(?char_id) AS ?popularity)
WHERE {
  ?character :hasPowers &lt;http://dbkwik.webdatacommons.org/marvel.wikia.com/class/power_grid&gt; ;
  FILTER EXISTS { 
    ?powerGrid :explanation &lt;http://dbkwik.webcom
```
</t>
  </si>
  <si>
    <t>model='phi4-mini:latest' created_at='2025-11-21T00:24:04.828483927Z' done=True done_reason='stop' total_duration=118073277038 load_duration=1546158781 prompt_eval_count=91999 prompt_eval_duration=113734209464 eval_count=75 eval_duration=2221839777 message=Message(role='assistant', content='```SPARQL\nSELECT ?character (COUNT(?char_id) AS ?popularity)\nWHERE {\n  ?character :hasPowers &lt;http://dbkwik.webdatacommons.org/marvel.wikia.com/class/power_grid&gt; ;\n  FILTER EXISTS { \n    ?powerGrid :explanation &lt;http://dbkwik.webcom\n```\n\n',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</si>
  <si>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(COUNT(?char_id) AS ?popularity)
WHERE {
  ?character :hasPowers &lt;http://dbkwik.webdatacommons.org/marvel.wikia.com/class/power_grid&gt; ;
  FILTER EXISTS { 
    ?powerGrid :explanation &lt;http://dbkwik.webcom</t>
  </si>
  <si>
    <t>{
  "cq_text": "Who are the distinct characters that possess a power, their counts, and rank-ordered by popularity?",
  "syntax_ok": false,
  "syntax_msg": "Unbalanced braces"
}</t>
  </si>
  <si>
    <t>```SPARQL
SELECT ?character (FILTER((?character wdt:value ns1:a AND 
    (CONTAINS(STR(?character), "?Marvel.wikia.com") || CONTAINS(STR(?character), "$$_Maje$tic")))) OPTIONAL)
WHERE {
  ?character a owl:Thing;
  rdfs:label str(?character)^^xsd:string.
}
```</t>
  </si>
  <si>
    <t>model='phi4-mini:latest' created_at='2025-11-21T00:26:03.458798162Z' done=True done_reason='stop' total_duration=118100788718 load_duration=1319293085 prompt_eval_count=92001 prompt_eval_duration=113741916211 eval_count=83 eval_duration=2460779296 message=Message(role='assistant', content='```SPARQL\nSELECT ?character (FILTER((?character wdt:value ns1:a AND \n    (CONTAINS(STR(?character), "?Marvel.wikia.com") || CONTAINS(STR(?character), "$$_Maje$tic")))) OPTIONAL)\nWHERE {\n  ?character a owl:Thing;\n  rdfs:label str(?character)^^xsd:string.\n}\n```',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</si>
  <si>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(FILTER((?character wdt:value ns1:a AND 
    (CONTAINS(STR(?character), "?Marvel.wikia.com") || CONTAINS(STR(?character), "$$_Maje$tic")))) OPTIONAL)
WHERE {
  ?character a owl:Thing;
  rdfs:label str(?character)^^xsd:string.
}</t>
  </si>
  <si>
    <t>ERROR: QueryBadFormed: A bad request has been sent to the endpoint: probably the SPARQL query is badly formed. 
Response:
b'Parse error: Encountered " "str" "str "" at line 15, column 14.\n'</t>
  </si>
  <si>
    <t>```sparql
SELECT ?character (COUNT(?character) AS totalCharacters)
WHERE {
  ?property ns3 _:relatesTo &lt;http://dbkwik.webdatacommons.org/marvel.wikia.com/resource/%22Spider-Girl%22_(Mutant/Spider_Clone)_(Earth-616)/Gallery&gt; ;
    ?property :isRelated
}
GROUP BY ?character
```</t>
  </si>
  <si>
    <t>model='phi4-mini:latest' created_at='2025-11-21T00:28:02.517645908Z' done=True done_reason='stop' total_duration=118352001355 load_duration=1556072068 prompt_eval_count=91999 prompt_eval_duration=113754368052 eval_count=83 eval_duration=2462374075 message=Message(role='assistant', content='```sparql\nSELECT ?character (COUNT(?character) AS totalCharacters)\nWHERE {\n  ?property ns3 _:relatesTo &lt;http://dbkwik.webdatacommons.org/marvel.wikia.com/resource/%22Spider-Girl%22_(Mutant/Spider_Clone)_(Earth-616)/Gallery&gt; ;\n    ?property :isRelated\n}\nGROUP BY ?character\n```',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</si>
  <si>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(COUNT(?character) AS totalCharacters)
WHERE {
  ?property ns3 _:relatesTo &lt;http://dbkwik.webdatacommons.org/marvel.wikia.com/resource/%22Spider-Girl%22_(Mutant/Spider_Clone)_(Earth-616)/Gallery&gt; ;
    ?property :isRelated
}
GROUP BY ?character</t>
  </si>
  <si>
    <t>ERROR: QueryBadFormed: A bad request has been sent to the endpoint: probably the SPARQL query is badly formed. 
Response:
b'Parse error: Lexical error at line 14, column 16.  Encountered: \'32\' (32), after prefix "ns3"\n'</t>
  </si>
  <si>
    <t xml:space="preserve">SELECT DISTINCT location, count(*)
FROM [
  { subject: &lt;http://marvel.wikia.com/&gt;; predicate: ns1:a1ternate },
  {
    ?location := (s|ns2:cite(webdatacommons.org/marvel.wikia.com/resource/$$_Maje$tic) |
      s|&lt;http://dbkwik.webcom
</t>
  </si>
  <si>
    <t>model='phi4-mini:latest' created_at='2025-11-21T00:30:00.801786532Z' done=True done_reason='stop' total_duration=117743710755 load_duration=1173697689 prompt_eval_count=92003 prompt_eval_duration=113725076124 eval_count=77 eval_duration=2275179411 message=Message(role='assistant', content='SELECT DISTINCT location, count(*)\nFROM [\n  { subject: &lt;http://marvel.wikia.com/&gt;; predicate: ns1:a1ternate },\n  {\n    ?location := (s|ns2:cite(webdatacommons.org/marvel.wikia.com/resource/$$_Maje$tic) |\n      s|&lt;http://dbkwik.webcom\n',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</si>
  <si>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location, count(*)
FROM [
  { subject: &lt;http://marvel.wikia.com/&gt;; predicate: ns1:a1ternate },
  {
    ?location := (s|ns2:cite(webdatacommons.org/marvel.wikia.com/resource/$$_Maje$tic) |
      s|&lt;http://dbkwik.webcom</t>
  </si>
  <si>
    <t>{
  "cq_text": "What are all the locations used as settings or associated contexts for multiple movies and/or characters and the counts of those associations?",
  "syntax_ok": false,
  "syntax_msg": "Unbalanced braces"
}</t>
  </si>
  <si>
    <t>SELECT DISTINCT powers, unique_locations WHERE type = 'location' AND label &lt;&gt; 'Unnamed location'
LIMIT 1;</t>
  </si>
  <si>
    <t>model='phi4-mini:latest' created_at='2025-11-21T00:31:57.402268971Z' done=True done_reason='stop' total_duration=116153138207 load_duration=1191832448 prompt_eval_count=92003 prompt_eval_duration=113764194373 eval_count=24 eval_duration=693046504 message=Message(role='assistant', content="SELECT DISTINCT powers, unique_locations WHERE type = 'location' AND label &lt;&gt; 'Unnamed location'\nLIMIT 1;",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</si>
  <si>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powers, unique_locations WHERE type = 'location' AND label &lt;&gt; 'Unnamed location'
LIMIT 1;</t>
  </si>
  <si>
    <t>```sparql
SELECT ?character (LIMIT 100)
WHERE {
  ?char rdf:type &lt;http://marvel.wikia.com/class/r&gt;.
  ?otherCharacter isRelatedTo(?char) .
}
ORDER BY DESC (?character str(rdf:title))
```
This SPARQL query retrieves the top 100 characters that are related to others within their network. The schema doesn't provide a direct way of establishing "isRelatedTo" relationships, but we can infer connections based on shared movie appearances as indicated by properties like appearing and after which imply co-appearance in some cases.
Note: This is an interpretation since there's no explicit relationship defined for character associations; the assumption here reflects potential interpretations from similar predicates. If a more accurate schema provides such direct relations or additional data, this query would need to be adjusted accordingly.</t>
  </si>
  <si>
    <t>model='phi4-mini:latest' created_at='2025-11-21T00:33:58.623471291Z' done=True done_reason='stop' total_duration=120643183735 load_duration=1261888320 prompt_eval_count=92002 prompt_eval_duration=113728874093 eval_count=166 eval_duration=4955517652 message=Message(role='assistant', content='```sparql\nSELECT ?character (LIMIT 100)\nWHERE {\n  ?char rdf:type &lt;http://marvel.wikia.com/class/r&gt;.\n  ?otherCharacter isRelatedTo(?char) .\n}\nORDER BY DESC (?character str(rdf:title))\n```\nThis SPARQL query retrieves the top 100 characters that are related to others within their network. The schema doesn\'t provide a direct way of establishing "isRelatedTo" relationships, but we can infer connections based on shared movie appearances as indicated by properties like appearing and after which imply co-appearance in some cases.\n\nNote: This is an interpretation since there\'s no explicit relationship defined for character associations; the assumption here reflects potential interpretations from similar predicates. If a more accurate schema provides such direct relations or additional data, this query would need to be adjusted accordingly.',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</si>
  <si>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(LIMIT 100)
WHERE {
  ?char rdf:type &lt;http://marvel.wikia.com/class/r&gt;.
  ?otherCharacter isRelatedTo(?char) .
}
ORDER BY DESC (?character str(rdf:title))</t>
  </si>
  <si>
    <t>ERROR: QueryBadFormed: A bad request has been sent to the endpoint: probably the SPARQL query is badly formed. 
Response:
b'Parse error: Lexical error at line 15, column 30.  Encountered: \'40\' (40), after prefix "isRelatedTo"\n'</t>
  </si>
  <si>
    <t xml:space="preserve">```SPARQL
SELECT ?team (GROUP_CONCAT(?powers; SEPARATOR ', ') AS powerList)
WHERE {
  ?s ns1:powers . 
  FILTER((?power NOT EXISTS { _:a nscategory &lt;http://dbkwik.webdatacommons.org/marvel.wikia.com/resource/No_powers&gt;)
    UNION
        (FILTER(
            SELECT (?p WHERE{
              BIND(str(?team) AS ?unit)
          ) AND ((?s ns1:powers "superhuman agility")
                  OR  (!("telepathy")   &amp;&amp; !("reconfigurability")) 
                    ||(!"psionics"))
                )
          ))
    ).  
}
GROUP BY (BOUND (?power)) 
HAVING COUNT(?p) &gt; 0
```
</t>
  </si>
  <si>
    <t>model='phi4-mini:latest' created_at='2025-11-21T00:36:00.916449946Z' done=True done_reason='stop' total_duration=120922229133 load_duration=1580762101 prompt_eval_count=92015 prompt_eval_duration=113752356242 eval_count=164 eval_duration=4893461843 message=Message(role='assistant', content='```SPARQL\nSELECT ?team (GROUP_CONCAT(?powers; SEPARATOR \', \') AS powerList)\nWHERE {\n  ?s ns1:powers . \n  FILTER((?power NOT EXISTS { _:a nscategory &lt;http://dbkwik.webdatacommons.org/marvel.wikia.com/resource/No_powers&gt;)\n    UNION\n        (FILTER(\n            SELECT (?p WHERE{\n              BIND(str(?team) AS ?unit)\n          ) AND ((?s ns1:powers "superhuman agility")\n                  OR  (!("telepathy")   &amp;&amp; !("reconfigurability")) \n                    ||(!"psionics"))\n                )\n          ))\n    ).  \n}\nGROUP BY (BOUND (?power)) \nHAVING COUNT(?p) &gt; 0\n```\n',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</si>
  <si>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?team (GROUP_CONCAT(?powers; SEPARATOR ', ') AS powerList)
WHERE {
  ?s ns1:powers . 
  FILTER((?power NOT EXISTS { _:a nscategory &lt;http://dbkwik.webdatacommons.org/marvel.wikia.com/resource/No_powers&gt;)
    UNION
        (FILTER(
            SELECT (?p WHERE{
              BIND(str(?team) AS ?unit)
          ) AND ((?s ns1:powers "superhuman agility")
                  OR  (!("telepathy")   &amp;&amp; !("reconfigurability")) 
                    ||(!"psionics"))
                )
          ))
    ).  
}
GROUP BY (BOUND (?power)) 
HAVING COUNT(?p) &gt; 0</t>
  </si>
  <si>
    <t>{
  "cq_text": "What are all the distributions of powers among each team's members, grouped by teams,  for comparing teams for computability (e.g., which powers are most characteristic of each team)?",
  "syntax_ok": false,
  "syntax_msg": "Unbalanced braces"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</si>
</sst>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103</v>
      </c>
      <c r="D2" t="s">
        <v>104</v>
      </c>
      <c r="E2" t="s">
        <v>105</v>
      </c>
      <c r="F2" t="s">
        <v>106</v>
      </c>
      <c r="G2" t="b">
        <v>0</v>
      </c>
      <c r="H2" t="b">
        <v>0</v>
      </c>
      <c r="I2" t="b">
        <v>0</v>
      </c>
      <c r="J2">
        <v>0</v>
      </c>
      <c r="K2">
        <v>0</v>
      </c>
      <c r="O2">
        <v>0</v>
      </c>
      <c r="P2">
        <v>0</v>
      </c>
      <c r="Q2">
        <v>0</v>
      </c>
      <c r="R2">
        <v>0</v>
      </c>
      <c r="S2" t="s">
        <v>27</v>
      </c>
      <c r="T2" t="s">
        <v>27</v>
      </c>
      <c r="U2" t="s">
        <v>28</v>
      </c>
      <c r="V2">
        <v>0</v>
      </c>
      <c r="W2">
        <v>0</v>
      </c>
      <c r="X2">
        <v>0</v>
      </c>
      <c r="Y2">
        <v>0</v>
      </c>
    </row>
    <row r="3" spans="1:25" x14ac:dyDescent="0.2">
      <c r="A3" t="s">
        <v>29</v>
      </c>
      <c r="B3" t="s">
        <v>30</v>
      </c>
      <c r="C3" t="s">
        <v>107</v>
      </c>
      <c r="D3" t="s">
        <v>108</v>
      </c>
      <c r="E3" t="s">
        <v>109</v>
      </c>
      <c r="F3" t="s">
        <v>110</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111</v>
      </c>
      <c r="D4" t="s">
        <v>112</v>
      </c>
      <c r="E4" t="s">
        <v>113</v>
      </c>
      <c r="F4" t="s">
        <v>114</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115</v>
      </c>
      <c r="D5" t="s">
        <v>116</v>
      </c>
      <c r="E5" t="s">
        <v>117</v>
      </c>
      <c r="F5" t="s">
        <v>118</v>
      </c>
      <c r="G5" t="b">
        <v>0</v>
      </c>
      <c r="H5" t="b">
        <v>0</v>
      </c>
      <c r="I5" t="b">
        <v>0</v>
      </c>
      <c r="J5">
        <v>0</v>
      </c>
      <c r="K5">
        <v>0</v>
      </c>
      <c r="O5">
        <v>0</v>
      </c>
      <c r="P5">
        <v>0</v>
      </c>
      <c r="Q5">
        <v>0</v>
      </c>
      <c r="R5">
        <v>0</v>
      </c>
      <c r="S5" t="s">
        <v>27</v>
      </c>
      <c r="T5" t="s">
        <v>27</v>
      </c>
      <c r="U5" t="s">
        <v>28</v>
      </c>
      <c r="V5">
        <v>0</v>
      </c>
      <c r="W5">
        <v>0</v>
      </c>
      <c r="X5">
        <v>0</v>
      </c>
      <c r="Y5">
        <v>0</v>
      </c>
    </row>
    <row r="6" spans="1:25" x14ac:dyDescent="0.2">
      <c r="A6" t="s">
        <v>35</v>
      </c>
      <c r="B6" t="s">
        <v>36</v>
      </c>
      <c r="C6" t="s">
        <v>119</v>
      </c>
      <c r="D6" t="s">
        <v>120</v>
      </c>
      <c r="E6" t="s">
        <v>121</v>
      </c>
      <c r="F6" t="s">
        <v>122</v>
      </c>
      <c r="G6" t="b">
        <v>0</v>
      </c>
      <c r="H6" t="b">
        <v>0</v>
      </c>
      <c r="I6" t="b">
        <v>0</v>
      </c>
      <c r="J6">
        <v>0</v>
      </c>
      <c r="K6">
        <v>0</v>
      </c>
      <c r="O6">
        <v>0</v>
      </c>
      <c r="P6">
        <v>0</v>
      </c>
      <c r="Q6">
        <v>0</v>
      </c>
      <c r="R6">
        <v>0</v>
      </c>
      <c r="S6" t="s">
        <v>27</v>
      </c>
      <c r="T6" t="s">
        <v>27</v>
      </c>
      <c r="U6" t="s">
        <v>28</v>
      </c>
      <c r="V6">
        <v>0</v>
      </c>
      <c r="W6">
        <v>0</v>
      </c>
      <c r="X6">
        <v>0</v>
      </c>
      <c r="Y6">
        <v>0</v>
      </c>
    </row>
    <row r="7" spans="1:25" x14ac:dyDescent="0.2">
      <c r="A7" t="s">
        <v>37</v>
      </c>
      <c r="B7" t="s">
        <v>38</v>
      </c>
      <c r="C7" t="s">
        <v>123</v>
      </c>
      <c r="D7" t="s">
        <v>124</v>
      </c>
      <c r="E7" t="s">
        <v>125</v>
      </c>
      <c r="F7" t="s">
        <v>126</v>
      </c>
      <c r="G7" t="b">
        <v>0</v>
      </c>
      <c r="H7" t="b">
        <v>0</v>
      </c>
      <c r="I7" t="b">
        <v>0</v>
      </c>
      <c r="J7">
        <v>0</v>
      </c>
      <c r="K7">
        <v>0</v>
      </c>
      <c r="O7">
        <v>0</v>
      </c>
      <c r="P7">
        <v>0</v>
      </c>
      <c r="Q7">
        <v>0</v>
      </c>
      <c r="R7">
        <v>0</v>
      </c>
      <c r="S7" t="s">
        <v>27</v>
      </c>
      <c r="T7" t="s">
        <v>27</v>
      </c>
      <c r="U7" t="s">
        <v>28</v>
      </c>
      <c r="V7">
        <v>0</v>
      </c>
      <c r="W7">
        <v>0</v>
      </c>
      <c r="X7">
        <v>0</v>
      </c>
      <c r="Y7">
        <v>0</v>
      </c>
    </row>
    <row r="8" spans="1:25" x14ac:dyDescent="0.2">
      <c r="A8" t="s">
        <v>39</v>
      </c>
      <c r="B8" t="s">
        <v>40</v>
      </c>
      <c r="C8" t="s">
        <v>127</v>
      </c>
      <c r="D8" t="s">
        <v>128</v>
      </c>
      <c r="E8" t="s">
        <v>129</v>
      </c>
      <c r="F8" t="s">
        <v>130</v>
      </c>
      <c r="G8" t="b">
        <v>0</v>
      </c>
      <c r="H8" t="b">
        <v>0</v>
      </c>
      <c r="I8" t="b">
        <v>0</v>
      </c>
      <c r="J8">
        <v>0</v>
      </c>
      <c r="K8">
        <v>0</v>
      </c>
      <c r="O8">
        <v>0</v>
      </c>
      <c r="P8">
        <v>0</v>
      </c>
      <c r="Q8">
        <v>0</v>
      </c>
      <c r="R8">
        <v>0</v>
      </c>
      <c r="S8" t="s">
        <v>27</v>
      </c>
      <c r="T8" t="s">
        <v>27</v>
      </c>
      <c r="U8" t="s">
        <v>28</v>
      </c>
      <c r="V8">
        <v>0</v>
      </c>
      <c r="W8">
        <v>0</v>
      </c>
      <c r="X8">
        <v>0</v>
      </c>
      <c r="Y8">
        <v>0</v>
      </c>
    </row>
    <row r="9" spans="1:25" x14ac:dyDescent="0.2">
      <c r="A9" t="s">
        <v>41</v>
      </c>
      <c r="B9" t="s">
        <v>42</v>
      </c>
      <c r="C9" t="s">
        <v>131</v>
      </c>
      <c r="D9" t="s">
        <v>132</v>
      </c>
      <c r="E9" t="s">
        <v>133</v>
      </c>
      <c r="F9" t="s">
        <v>134</v>
      </c>
      <c r="G9" t="b">
        <v>0</v>
      </c>
      <c r="H9" t="b">
        <v>0</v>
      </c>
      <c r="I9" t="b">
        <v>0</v>
      </c>
      <c r="J9">
        <v>0</v>
      </c>
      <c r="K9">
        <v>0</v>
      </c>
      <c r="O9">
        <v>0</v>
      </c>
      <c r="P9">
        <v>0</v>
      </c>
      <c r="Q9">
        <v>0</v>
      </c>
      <c r="R9">
        <v>0</v>
      </c>
      <c r="S9" t="s">
        <v>27</v>
      </c>
      <c r="T9" t="s">
        <v>27</v>
      </c>
      <c r="U9" t="s">
        <v>28</v>
      </c>
      <c r="V9">
        <v>0</v>
      </c>
      <c r="W9">
        <v>0</v>
      </c>
      <c r="X9">
        <v>0</v>
      </c>
      <c r="Y9">
        <v>0</v>
      </c>
    </row>
    <row r="10" spans="1:25" x14ac:dyDescent="0.2">
      <c r="A10" t="s">
        <v>43</v>
      </c>
      <c r="B10" t="s">
        <v>44</v>
      </c>
      <c r="C10" t="s">
        <v>135</v>
      </c>
      <c r="D10" t="s">
        <v>136</v>
      </c>
      <c r="E10" t="s">
        <v>137</v>
      </c>
      <c r="F10" t="s">
        <v>138</v>
      </c>
      <c r="G10" t="b">
        <v>0</v>
      </c>
      <c r="H10" t="b">
        <v>0</v>
      </c>
      <c r="I10" t="b">
        <v>0</v>
      </c>
      <c r="J10">
        <v>0</v>
      </c>
      <c r="K10">
        <v>0</v>
      </c>
      <c r="O10">
        <v>0</v>
      </c>
      <c r="P10">
        <v>0</v>
      </c>
      <c r="Q10">
        <v>0</v>
      </c>
      <c r="R10">
        <v>0</v>
      </c>
      <c r="S10" t="s">
        <v>27</v>
      </c>
      <c r="T10" t="s">
        <v>27</v>
      </c>
      <c r="U10" t="s">
        <v>28</v>
      </c>
      <c r="V10">
        <v>0</v>
      </c>
      <c r="W10">
        <v>0</v>
      </c>
      <c r="X10">
        <v>0</v>
      </c>
      <c r="Y10">
        <v>0</v>
      </c>
    </row>
    <row r="11" spans="1:25" x14ac:dyDescent="0.2">
      <c r="A11" t="s">
        <v>45</v>
      </c>
      <c r="B11" t="s">
        <v>46</v>
      </c>
      <c r="C11" t="s">
        <v>139</v>
      </c>
      <c r="D11" t="s">
        <v>140</v>
      </c>
      <c r="E11" t="s">
        <v>141</v>
      </c>
      <c r="F11" t="s">
        <v>142</v>
      </c>
      <c r="G11" t="b">
        <v>0</v>
      </c>
      <c r="H11" t="b">
        <v>0</v>
      </c>
      <c r="I11" t="b">
        <v>0</v>
      </c>
      <c r="J11">
        <v>0</v>
      </c>
      <c r="K11">
        <v>0</v>
      </c>
      <c r="O11">
        <v>0</v>
      </c>
      <c r="P11">
        <v>0</v>
      </c>
      <c r="Q11">
        <v>0</v>
      </c>
      <c r="R11">
        <v>0</v>
      </c>
      <c r="S11" t="s">
        <v>27</v>
      </c>
      <c r="T11" t="s">
        <v>27</v>
      </c>
      <c r="U11" t="s">
        <v>28</v>
      </c>
      <c r="V11">
        <v>0</v>
      </c>
      <c r="W11">
        <v>0</v>
      </c>
      <c r="X11">
        <v>0</v>
      </c>
      <c r="Y11">
        <v>0</v>
      </c>
    </row>
    <row r="12" spans="1:25" x14ac:dyDescent="0.2">
      <c r="A12" t="s">
        <v>47</v>
      </c>
      <c r="B12" t="s">
        <v>48</v>
      </c>
      <c r="C12" t="s">
        <v>143</v>
      </c>
      <c r="D12" t="s">
        <v>144</v>
      </c>
      <c r="E12" t="s">
        <v>145</v>
      </c>
      <c r="F12" t="s">
        <v>146</v>
      </c>
      <c r="G12" t="b">
        <v>0</v>
      </c>
      <c r="H12" t="b">
        <v>0</v>
      </c>
      <c r="I12" t="b">
        <v>0</v>
      </c>
      <c r="J12">
        <v>0</v>
      </c>
      <c r="K12">
        <v>0</v>
      </c>
      <c r="O12">
        <v>0</v>
      </c>
      <c r="P12">
        <v>0</v>
      </c>
      <c r="Q12">
        <v>0</v>
      </c>
      <c r="R12">
        <v>0</v>
      </c>
      <c r="S12" t="s">
        <v>27</v>
      </c>
      <c r="T12" t="s">
        <v>27</v>
      </c>
      <c r="U12" t="s">
        <v>28</v>
      </c>
      <c r="V12">
        <v>0</v>
      </c>
      <c r="W12">
        <v>0</v>
      </c>
      <c r="X12">
        <v>0</v>
      </c>
      <c r="Y12">
        <v>0</v>
      </c>
    </row>
    <row r="13" spans="1:25" x14ac:dyDescent="0.2">
      <c r="A13" t="s">
        <v>49</v>
      </c>
      <c r="B13" t="s">
        <v>50</v>
      </c>
      <c r="C13" t="s">
        <v>147</v>
      </c>
      <c r="D13" t="s">
        <v>148</v>
      </c>
      <c r="E13" t="s">
        <v>149</v>
      </c>
      <c r="F13" t="s">
        <v>150</v>
      </c>
      <c r="G13" t="b">
        <v>0</v>
      </c>
      <c r="H13" t="b">
        <v>0</v>
      </c>
      <c r="I13" t="b">
        <v>0</v>
      </c>
      <c r="J13">
        <v>0</v>
      </c>
      <c r="K13">
        <v>0</v>
      </c>
      <c r="O13">
        <v>0</v>
      </c>
      <c r="P13">
        <v>0</v>
      </c>
      <c r="Q13">
        <v>0</v>
      </c>
      <c r="R13">
        <v>0</v>
      </c>
      <c r="S13" t="s">
        <v>27</v>
      </c>
      <c r="T13" t="s">
        <v>27</v>
      </c>
      <c r="U13" t="s">
        <v>28</v>
      </c>
      <c r="V13">
        <v>0</v>
      </c>
      <c r="W13">
        <v>0</v>
      </c>
      <c r="X13">
        <v>0</v>
      </c>
      <c r="Y13">
        <v>0</v>
      </c>
    </row>
    <row r="14" spans="1:25" x14ac:dyDescent="0.2">
      <c r="A14" t="s">
        <v>51</v>
      </c>
      <c r="B14" t="s">
        <v>52</v>
      </c>
      <c r="C14" t="s">
        <v>151</v>
      </c>
      <c r="D14" t="s">
        <v>152</v>
      </c>
      <c r="E14" t="s">
        <v>153</v>
      </c>
      <c r="F14" t="s">
        <v>154</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155</v>
      </c>
      <c r="D15" t="s">
        <v>156</v>
      </c>
      <c r="E15" t="s">
        <v>157</v>
      </c>
      <c r="F15" t="s">
        <v>158</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159</v>
      </c>
      <c r="D16" t="s">
        <v>160</v>
      </c>
      <c r="E16" t="s">
        <v>161</v>
      </c>
      <c r="F16" t="s">
        <v>162</v>
      </c>
      <c r="G16" t="b">
        <v>0</v>
      </c>
      <c r="H16" t="b">
        <v>0</v>
      </c>
      <c r="I16" t="b">
        <v>0</v>
      </c>
      <c r="J16">
        <v>0</v>
      </c>
      <c r="K16">
        <v>0</v>
      </c>
      <c r="O16">
        <v>0</v>
      </c>
      <c r="P16">
        <v>0</v>
      </c>
      <c r="Q16">
        <v>0</v>
      </c>
      <c r="R16">
        <v>0</v>
      </c>
      <c r="S16" t="s">
        <v>27</v>
      </c>
      <c r="T16" t="s">
        <v>27</v>
      </c>
      <c r="U16" t="s">
        <v>55</v>
      </c>
      <c r="V16">
        <v>0</v>
      </c>
      <c r="W16">
        <v>0</v>
      </c>
      <c r="X16">
        <v>0</v>
      </c>
      <c r="Y16">
        <v>0</v>
      </c>
    </row>
    <row r="17" spans="1:25" x14ac:dyDescent="0.2">
      <c r="A17" t="s">
        <v>58</v>
      </c>
      <c r="B17" t="s">
        <v>59</v>
      </c>
      <c r="C17" t="s">
        <v>163</v>
      </c>
      <c r="D17" t="s">
        <v>164</v>
      </c>
      <c r="E17" t="s">
        <v>165</v>
      </c>
      <c r="F17" t="s">
        <v>166</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167</v>
      </c>
      <c r="D18" t="s">
        <v>168</v>
      </c>
      <c r="E18" t="s">
        <v>169</v>
      </c>
      <c r="F18" t="s">
        <v>170</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62</v>
      </c>
      <c r="B19" t="s">
        <v>63</v>
      </c>
      <c r="C19" t="s">
        <v>171</v>
      </c>
      <c r="D19" t="s">
        <v>172</v>
      </c>
      <c r="E19" t="s">
        <v>173</v>
      </c>
      <c r="F19" t="s">
        <v>174</v>
      </c>
      <c r="G19" t="b">
        <v>0</v>
      </c>
      <c r="H19" t="b">
        <v>0</v>
      </c>
      <c r="I19" t="b">
        <v>0</v>
      </c>
      <c r="J19">
        <v>0</v>
      </c>
      <c r="K19">
        <v>0</v>
      </c>
      <c r="O19">
        <v>0</v>
      </c>
      <c r="P19">
        <v>0</v>
      </c>
      <c r="Q19">
        <v>0</v>
      </c>
      <c r="R19">
        <v>0</v>
      </c>
      <c r="S19" t="s">
        <v>27</v>
      </c>
      <c r="T19" t="s">
        <v>27</v>
      </c>
      <c r="U19" t="s">
        <v>55</v>
      </c>
      <c r="V19">
        <v>0</v>
      </c>
      <c r="W19">
        <v>0</v>
      </c>
      <c r="X19">
        <v>0</v>
      </c>
      <c r="Y19">
        <v>0</v>
      </c>
    </row>
    <row r="20" spans="1:25" x14ac:dyDescent="0.2">
      <c r="A20" t="s">
        <v>64</v>
      </c>
      <c r="B20" t="s">
        <v>65</v>
      </c>
      <c r="C20" t="s">
        <v>175</v>
      </c>
      <c r="D20" t="s">
        <v>176</v>
      </c>
      <c r="E20" t="s">
        <v>177</v>
      </c>
      <c r="F20" t="s">
        <v>178</v>
      </c>
      <c r="G20" t="b">
        <v>0</v>
      </c>
      <c r="H20" t="b">
        <v>0</v>
      </c>
      <c r="I20" t="b">
        <v>0</v>
      </c>
      <c r="J20">
        <v>0</v>
      </c>
      <c r="K20">
        <v>0</v>
      </c>
      <c r="O20">
        <v>0</v>
      </c>
      <c r="P20">
        <v>0</v>
      </c>
      <c r="Q20">
        <v>0</v>
      </c>
      <c r="R20">
        <v>0</v>
      </c>
      <c r="S20" t="s">
        <v>27</v>
      </c>
      <c r="T20" t="s">
        <v>27</v>
      </c>
      <c r="U20" t="s">
        <v>55</v>
      </c>
      <c r="V20">
        <v>0</v>
      </c>
      <c r="W20">
        <v>0</v>
      </c>
      <c r="X20">
        <v>0</v>
      </c>
      <c r="Y20">
        <v>0</v>
      </c>
    </row>
    <row r="21" spans="1:25" x14ac:dyDescent="0.2">
      <c r="A21" t="s">
        <v>66</v>
      </c>
      <c r="B21" t="s">
        <v>67</v>
      </c>
      <c r="C21" t="s">
        <v>179</v>
      </c>
      <c r="D21" t="s">
        <v>180</v>
      </c>
      <c r="E21" t="s">
        <v>181</v>
      </c>
      <c r="F21" t="s">
        <v>182</v>
      </c>
      <c r="G21" t="b">
        <v>1</v>
      </c>
      <c r="H21" t="b">
        <v>0</v>
      </c>
      <c r="I21" t="b">
        <v>1</v>
      </c>
      <c r="J21">
        <v>0</v>
      </c>
      <c r="K21">
        <v>1</v>
      </c>
      <c r="L21">
        <v>16.86</v>
      </c>
      <c r="M21">
        <v>17.579999999999998</v>
      </c>
      <c r="N21">
        <v>16.3</v>
      </c>
      <c r="O21">
        <v>0</v>
      </c>
      <c r="P21">
        <v>0.66</v>
      </c>
      <c r="Q21">
        <v>0.73</v>
      </c>
      <c r="S21" t="s">
        <v>183</v>
      </c>
      <c r="T21" t="s">
        <v>184</v>
      </c>
      <c r="U21" t="s">
        <v>55</v>
      </c>
      <c r="V21">
        <v>1</v>
      </c>
      <c r="W21">
        <v>0</v>
      </c>
      <c r="X21">
        <v>0.5</v>
      </c>
      <c r="Y21">
        <v>0.33333333333333331</v>
      </c>
    </row>
    <row r="22" spans="1:25" x14ac:dyDescent="0.2">
      <c r="A22" t="s">
        <v>68</v>
      </c>
      <c r="B22" t="s">
        <v>69</v>
      </c>
      <c r="C22" t="s">
        <v>185</v>
      </c>
      <c r="D22" t="s">
        <v>186</v>
      </c>
      <c r="E22" t="s">
        <v>187</v>
      </c>
      <c r="F22" t="s">
        <v>188</v>
      </c>
      <c r="G22" t="b">
        <v>0</v>
      </c>
      <c r="H22" t="b">
        <v>0</v>
      </c>
      <c r="I22" t="b">
        <v>0</v>
      </c>
      <c r="J22">
        <v>0</v>
      </c>
      <c r="K22">
        <v>0</v>
      </c>
      <c r="O22">
        <v>0</v>
      </c>
      <c r="P22">
        <v>0</v>
      </c>
      <c r="Q22">
        <v>0</v>
      </c>
      <c r="R22">
        <v>0</v>
      </c>
      <c r="S22" t="s">
        <v>27</v>
      </c>
      <c r="T22" t="s">
        <v>27</v>
      </c>
      <c r="U22" t="s">
        <v>55</v>
      </c>
      <c r="V22">
        <v>0</v>
      </c>
      <c r="W22">
        <v>0</v>
      </c>
      <c r="X22">
        <v>0</v>
      </c>
      <c r="Y22">
        <v>0</v>
      </c>
    </row>
    <row r="23" spans="1:25" x14ac:dyDescent="0.2">
      <c r="A23" t="s">
        <v>70</v>
      </c>
      <c r="B23" t="s">
        <v>71</v>
      </c>
      <c r="C23" t="s">
        <v>189</v>
      </c>
      <c r="D23" t="s">
        <v>190</v>
      </c>
      <c r="E23" t="s">
        <v>191</v>
      </c>
      <c r="F23" t="s">
        <v>192</v>
      </c>
      <c r="G23" t="b">
        <v>0</v>
      </c>
      <c r="H23" t="b">
        <v>0</v>
      </c>
      <c r="I23" t="b">
        <v>0</v>
      </c>
      <c r="J23">
        <v>0</v>
      </c>
      <c r="K23">
        <v>0</v>
      </c>
      <c r="O23">
        <v>0</v>
      </c>
      <c r="P23">
        <v>0</v>
      </c>
      <c r="Q23">
        <v>0</v>
      </c>
      <c r="R23">
        <v>0</v>
      </c>
      <c r="S23" t="s">
        <v>27</v>
      </c>
      <c r="T23" t="s">
        <v>27</v>
      </c>
      <c r="U23" t="s">
        <v>55</v>
      </c>
      <c r="V23">
        <v>0</v>
      </c>
      <c r="W23">
        <v>0</v>
      </c>
      <c r="X23">
        <v>0</v>
      </c>
      <c r="Y23">
        <v>0</v>
      </c>
    </row>
    <row r="24" spans="1:25" x14ac:dyDescent="0.2">
      <c r="A24" t="s">
        <v>72</v>
      </c>
      <c r="B24" t="s">
        <v>73</v>
      </c>
      <c r="C24" t="s">
        <v>193</v>
      </c>
      <c r="D24" t="s">
        <v>194</v>
      </c>
      <c r="E24" t="s">
        <v>195</v>
      </c>
      <c r="F24" t="s">
        <v>196</v>
      </c>
      <c r="G24" t="b">
        <v>0</v>
      </c>
      <c r="H24" t="b">
        <v>0</v>
      </c>
      <c r="I24" t="b">
        <v>0</v>
      </c>
      <c r="J24">
        <v>0</v>
      </c>
      <c r="K24">
        <v>0</v>
      </c>
      <c r="O24">
        <v>0</v>
      </c>
      <c r="P24">
        <v>0</v>
      </c>
      <c r="Q24">
        <v>0</v>
      </c>
      <c r="R24">
        <v>0</v>
      </c>
      <c r="S24" t="s">
        <v>27</v>
      </c>
      <c r="T24" t="s">
        <v>27</v>
      </c>
      <c r="U24" t="s">
        <v>55</v>
      </c>
      <c r="V24">
        <v>0</v>
      </c>
      <c r="W24">
        <v>0</v>
      </c>
      <c r="X24">
        <v>0</v>
      </c>
      <c r="Y24">
        <v>0</v>
      </c>
    </row>
    <row r="25" spans="1:25" x14ac:dyDescent="0.2">
      <c r="A25" t="s">
        <v>74</v>
      </c>
      <c r="B25" t="s">
        <v>75</v>
      </c>
      <c r="C25" t="s">
        <v>197</v>
      </c>
      <c r="D25" t="s">
        <v>198</v>
      </c>
      <c r="E25" t="s">
        <v>199</v>
      </c>
      <c r="F25" t="s">
        <v>200</v>
      </c>
      <c r="G25" t="b">
        <v>0</v>
      </c>
      <c r="H25" t="b">
        <v>0</v>
      </c>
      <c r="I25" t="b">
        <v>0</v>
      </c>
      <c r="J25">
        <v>0</v>
      </c>
      <c r="K25">
        <v>0</v>
      </c>
      <c r="O25">
        <v>0</v>
      </c>
      <c r="P25">
        <v>0</v>
      </c>
      <c r="Q25">
        <v>0</v>
      </c>
      <c r="R25">
        <v>0</v>
      </c>
      <c r="S25" t="s">
        <v>27</v>
      </c>
      <c r="T25" t="s">
        <v>27</v>
      </c>
      <c r="U25" t="s">
        <v>80</v>
      </c>
      <c r="V25">
        <v>0</v>
      </c>
      <c r="W25">
        <v>0</v>
      </c>
      <c r="X25">
        <v>0</v>
      </c>
      <c r="Y25">
        <v>0</v>
      </c>
    </row>
    <row r="26" spans="1:25" x14ac:dyDescent="0.2">
      <c r="A26" t="s">
        <v>76</v>
      </c>
      <c r="B26" t="s">
        <v>77</v>
      </c>
      <c r="C26" t="s">
        <v>201</v>
      </c>
      <c r="D26" t="s">
        <v>202</v>
      </c>
      <c r="E26" t="s">
        <v>203</v>
      </c>
      <c r="F26" t="s">
        <v>204</v>
      </c>
      <c r="G26" t="b">
        <v>0</v>
      </c>
      <c r="H26" t="b">
        <v>0</v>
      </c>
      <c r="I26" t="b">
        <v>0</v>
      </c>
      <c r="J26">
        <v>0</v>
      </c>
      <c r="K26">
        <v>0</v>
      </c>
      <c r="O26">
        <v>0</v>
      </c>
      <c r="P26">
        <v>0</v>
      </c>
      <c r="Q26">
        <v>0</v>
      </c>
      <c r="R26">
        <v>0</v>
      </c>
      <c r="S26" t="s">
        <v>27</v>
      </c>
      <c r="T26" t="s">
        <v>27</v>
      </c>
      <c r="U26" t="s">
        <v>80</v>
      </c>
      <c r="V26">
        <v>0</v>
      </c>
      <c r="W26">
        <v>0</v>
      </c>
      <c r="X26">
        <v>0</v>
      </c>
      <c r="Y26">
        <v>0</v>
      </c>
    </row>
    <row r="27" spans="1:25" x14ac:dyDescent="0.2">
      <c r="A27" t="s">
        <v>78</v>
      </c>
      <c r="B27" t="s">
        <v>79</v>
      </c>
      <c r="C27" t="s">
        <v>205</v>
      </c>
      <c r="D27" t="s">
        <v>206</v>
      </c>
      <c r="E27" t="s">
        <v>207</v>
      </c>
      <c r="F27" t="s">
        <v>208</v>
      </c>
      <c r="G27" t="b">
        <v>0</v>
      </c>
      <c r="H27" t="b">
        <v>0</v>
      </c>
      <c r="I27" t="b">
        <v>0</v>
      </c>
      <c r="J27">
        <v>0</v>
      </c>
      <c r="K27">
        <v>0</v>
      </c>
      <c r="O27">
        <v>0</v>
      </c>
      <c r="P27">
        <v>0</v>
      </c>
      <c r="Q27">
        <v>0</v>
      </c>
      <c r="R27">
        <v>0</v>
      </c>
      <c r="S27" t="s">
        <v>27</v>
      </c>
      <c r="T27" t="s">
        <v>27</v>
      </c>
      <c r="U27" t="s">
        <v>80</v>
      </c>
      <c r="V27">
        <v>0</v>
      </c>
      <c r="W27">
        <v>0</v>
      </c>
      <c r="X27">
        <v>0</v>
      </c>
      <c r="Y27">
        <v>0</v>
      </c>
    </row>
    <row r="28" spans="1:25" x14ac:dyDescent="0.2">
      <c r="A28" t="s">
        <v>81</v>
      </c>
      <c r="B28" t="s">
        <v>82</v>
      </c>
      <c r="C28" t="s">
        <v>209</v>
      </c>
      <c r="D28" t="s">
        <v>210</v>
      </c>
      <c r="E28" t="s">
        <v>211</v>
      </c>
      <c r="F28" t="s">
        <v>212</v>
      </c>
      <c r="G28" t="b">
        <v>0</v>
      </c>
      <c r="H28" t="b">
        <v>0</v>
      </c>
      <c r="I28" t="b">
        <v>0</v>
      </c>
      <c r="J28">
        <v>0</v>
      </c>
      <c r="K28">
        <v>0</v>
      </c>
      <c r="O28">
        <v>0</v>
      </c>
      <c r="P28">
        <v>0</v>
      </c>
      <c r="Q28">
        <v>0</v>
      </c>
      <c r="R28">
        <v>0</v>
      </c>
      <c r="S28" t="s">
        <v>27</v>
      </c>
      <c r="T28" t="s">
        <v>27</v>
      </c>
      <c r="U28" t="s">
        <v>80</v>
      </c>
      <c r="V28">
        <v>0</v>
      </c>
      <c r="W28">
        <v>0</v>
      </c>
      <c r="X28">
        <v>0</v>
      </c>
      <c r="Y28">
        <v>0</v>
      </c>
    </row>
    <row r="29" spans="1:25" x14ac:dyDescent="0.2">
      <c r="A29" t="s">
        <v>83</v>
      </c>
      <c r="B29" t="s">
        <v>84</v>
      </c>
      <c r="C29" t="s">
        <v>213</v>
      </c>
      <c r="D29" t="s">
        <v>214</v>
      </c>
      <c r="E29" t="s">
        <v>215</v>
      </c>
      <c r="F29" t="s">
        <v>216</v>
      </c>
      <c r="G29" t="b">
        <v>0</v>
      </c>
      <c r="H29" t="b">
        <v>0</v>
      </c>
      <c r="I29" t="b">
        <v>0</v>
      </c>
      <c r="J29">
        <v>0</v>
      </c>
      <c r="K29">
        <v>0</v>
      </c>
      <c r="O29">
        <v>0</v>
      </c>
      <c r="P29">
        <v>0</v>
      </c>
      <c r="Q29">
        <v>0</v>
      </c>
      <c r="R29">
        <v>0</v>
      </c>
      <c r="S29" t="s">
        <v>27</v>
      </c>
      <c r="T29" t="s">
        <v>27</v>
      </c>
      <c r="U29" t="s">
        <v>80</v>
      </c>
      <c r="V29">
        <v>0</v>
      </c>
      <c r="W29">
        <v>0</v>
      </c>
      <c r="X29">
        <v>0</v>
      </c>
      <c r="Y29">
        <v>0</v>
      </c>
    </row>
    <row r="30" spans="1:25" x14ac:dyDescent="0.2">
      <c r="A30" t="s">
        <v>85</v>
      </c>
      <c r="B30" t="s">
        <v>86</v>
      </c>
      <c r="C30" t="s">
        <v>217</v>
      </c>
      <c r="D30" t="s">
        <v>218</v>
      </c>
      <c r="E30" t="s">
        <v>219</v>
      </c>
      <c r="F30" t="s">
        <v>220</v>
      </c>
      <c r="G30" t="b">
        <v>0</v>
      </c>
      <c r="H30" t="b">
        <v>0</v>
      </c>
      <c r="I30" t="b">
        <v>0</v>
      </c>
      <c r="J30">
        <v>0</v>
      </c>
      <c r="K30">
        <v>0</v>
      </c>
      <c r="O30">
        <v>0</v>
      </c>
      <c r="P30">
        <v>0</v>
      </c>
      <c r="Q30">
        <v>0</v>
      </c>
      <c r="R30">
        <v>0</v>
      </c>
      <c r="S30" t="s">
        <v>27</v>
      </c>
      <c r="T30" t="s">
        <v>27</v>
      </c>
      <c r="U30" t="s">
        <v>80</v>
      </c>
      <c r="V30">
        <v>0</v>
      </c>
      <c r="W30">
        <v>0</v>
      </c>
      <c r="X30">
        <v>0</v>
      </c>
      <c r="Y30">
        <v>0</v>
      </c>
    </row>
    <row r="31" spans="1:25" x14ac:dyDescent="0.2">
      <c r="A31" t="s">
        <v>87</v>
      </c>
      <c r="B31" t="s">
        <v>88</v>
      </c>
      <c r="C31" t="s">
        <v>221</v>
      </c>
      <c r="D31" t="s">
        <v>222</v>
      </c>
      <c r="E31" t="s">
        <v>223</v>
      </c>
      <c r="F31" t="s">
        <v>224</v>
      </c>
      <c r="G31" t="b">
        <v>0</v>
      </c>
      <c r="H31" t="b">
        <v>0</v>
      </c>
      <c r="I31" t="b">
        <v>0</v>
      </c>
      <c r="J31">
        <v>0</v>
      </c>
      <c r="K31">
        <v>0</v>
      </c>
      <c r="O31">
        <v>0</v>
      </c>
      <c r="P31">
        <v>0</v>
      </c>
      <c r="Q31">
        <v>0</v>
      </c>
      <c r="R31">
        <v>0</v>
      </c>
      <c r="S31" t="s">
        <v>27</v>
      </c>
      <c r="T31" t="s">
        <v>27</v>
      </c>
      <c r="U31" t="s">
        <v>80</v>
      </c>
      <c r="V31">
        <v>0</v>
      </c>
      <c r="W31">
        <v>0</v>
      </c>
      <c r="X31">
        <v>0</v>
      </c>
      <c r="Y31">
        <v>0</v>
      </c>
    </row>
    <row r="32" spans="1:25" x14ac:dyDescent="0.2">
      <c r="A32" t="s">
        <v>89</v>
      </c>
      <c r="B32" t="s">
        <v>90</v>
      </c>
      <c r="C32" t="s">
        <v>225</v>
      </c>
      <c r="D32" t="s">
        <v>226</v>
      </c>
      <c r="E32" t="s">
        <v>227</v>
      </c>
      <c r="F32" t="s">
        <v>192</v>
      </c>
      <c r="G32" t="b">
        <v>0</v>
      </c>
      <c r="H32" t="b">
        <v>0</v>
      </c>
      <c r="I32" t="b">
        <v>0</v>
      </c>
      <c r="J32">
        <v>0</v>
      </c>
      <c r="K32">
        <v>0</v>
      </c>
      <c r="O32">
        <v>0</v>
      </c>
      <c r="P32">
        <v>0</v>
      </c>
      <c r="Q32">
        <v>0</v>
      </c>
      <c r="R32">
        <v>0</v>
      </c>
      <c r="S32" t="s">
        <v>27</v>
      </c>
      <c r="T32" t="s">
        <v>27</v>
      </c>
      <c r="U32" t="s">
        <v>80</v>
      </c>
      <c r="V32">
        <v>0</v>
      </c>
      <c r="W32">
        <v>0</v>
      </c>
      <c r="X32">
        <v>0</v>
      </c>
      <c r="Y32">
        <v>0</v>
      </c>
    </row>
    <row r="33" spans="1:25" x14ac:dyDescent="0.2">
      <c r="A33" t="s">
        <v>91</v>
      </c>
      <c r="B33" t="s">
        <v>92</v>
      </c>
      <c r="C33" t="s">
        <v>228</v>
      </c>
      <c r="D33" t="s">
        <v>229</v>
      </c>
      <c r="E33" t="s">
        <v>230</v>
      </c>
      <c r="F33" t="s">
        <v>231</v>
      </c>
      <c r="G33" t="b">
        <v>0</v>
      </c>
      <c r="H33" t="b">
        <v>0</v>
      </c>
      <c r="I33" t="b">
        <v>0</v>
      </c>
      <c r="J33">
        <v>0</v>
      </c>
      <c r="K33">
        <v>0</v>
      </c>
      <c r="O33">
        <v>0</v>
      </c>
      <c r="P33">
        <v>0</v>
      </c>
      <c r="Q33">
        <v>0</v>
      </c>
      <c r="R33">
        <v>0</v>
      </c>
      <c r="S33" t="s">
        <v>27</v>
      </c>
      <c r="T33" t="s">
        <v>27</v>
      </c>
      <c r="U33" t="s">
        <v>80</v>
      </c>
      <c r="V33">
        <v>0</v>
      </c>
      <c r="W33">
        <v>0</v>
      </c>
      <c r="X33">
        <v>0</v>
      </c>
      <c r="Y33">
        <v>0</v>
      </c>
    </row>
    <row r="34" spans="1:25" x14ac:dyDescent="0.2">
      <c r="A34" t="s">
        <v>93</v>
      </c>
      <c r="B34" t="s">
        <v>94</v>
      </c>
      <c r="C34" t="s">
        <v>232</v>
      </c>
      <c r="D34" t="s">
        <v>233</v>
      </c>
      <c r="E34" t="s">
        <v>234</v>
      </c>
      <c r="F34" t="s">
        <v>235</v>
      </c>
      <c r="G34" t="b">
        <v>0</v>
      </c>
      <c r="H34" t="b">
        <v>0</v>
      </c>
      <c r="I34" t="b">
        <v>0</v>
      </c>
      <c r="J34">
        <v>0</v>
      </c>
      <c r="K34">
        <v>0</v>
      </c>
      <c r="O34">
        <v>0</v>
      </c>
      <c r="P34">
        <v>0</v>
      </c>
      <c r="Q34">
        <v>0</v>
      </c>
      <c r="R34">
        <v>0</v>
      </c>
      <c r="S34" t="s">
        <v>27</v>
      </c>
      <c r="T34" t="s">
        <v>27</v>
      </c>
      <c r="U34" t="s">
        <v>80</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99</v>
      </c>
      <c r="B1" s="2" t="s">
        <v>100</v>
      </c>
      <c r="C1" s="2" t="s">
        <v>101</v>
      </c>
      <c r="D1" s="2" t="s">
        <v>102</v>
      </c>
    </row>
    <row r="2" spans="1:4" x14ac:dyDescent="0.2">
      <c r="A2" t="str" cm="1">
        <f t="array" ref="A2:A4">_xlfn.UNIQUE(All!U2:U34)</f>
        <v>simple</v>
      </c>
      <c r="B2">
        <f>COUNTIF(All!U2:U34,Filter!A2)</f>
        <v>12</v>
      </c>
      <c r="C2">
        <f>COUNTIFS(All!$G:$G, TRUE, All!$U:$U, A2)</f>
        <v>0</v>
      </c>
      <c r="D2">
        <f>COUNTIFS(All!$G:$G, TRUE,
          All!$H:$H, TRUE,
          All!$I:$I, TRUE,
          All!$U:$U, A2)</f>
        <v>0</v>
      </c>
    </row>
    <row r="3" spans="1:4" x14ac:dyDescent="0.2">
      <c r="A3" t="str">
        <v>moderate</v>
      </c>
      <c r="B3">
        <f>COUNTIF(All!U3:U35,Filter!A3)</f>
        <v>11</v>
      </c>
      <c r="C3">
        <f>COUNTIFS(All!$G:$G, TRUE, All!$U:$U, A3)</f>
        <v>1</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95</v>
      </c>
      <c r="P1" s="1" t="s">
        <v>96</v>
      </c>
      <c r="Q1" s="1" t="s">
        <v>97</v>
      </c>
    </row>
    <row r="2" spans="1:17" x14ac:dyDescent="0.2">
      <c r="A2" t="s">
        <v>28</v>
      </c>
      <c r="B2" s="3" t="e">
        <f>AVERAGEIFS(All!$J:$J,
            All!$G:$G, TRUE,
            All!$H:$H, TRUE,
            All!$I:$I, TRUE,
            All!$U:$U, A2)</f>
        <v>#DIV/0!</v>
      </c>
      <c r="C2" s="3" t="e">
        <f>AVERAGEIFS(All!K:K,
            All!$G:$G, TRUE,
            All!$H:$H, TRUE,
            All!$I:$I, TRUE,
            All!$U:$U, $A2)</f>
        <v>#DIV/0!</v>
      </c>
      <c r="D2" s="3" t="e">
        <f>AVERAGEIFS(All!L:L,
            All!$G:$G, TRUE,
            All!$H:$H, TRUE,
            All!$I:$I, TRUE,
            All!$U:$U, $A2)</f>
        <v>#DIV/0!</v>
      </c>
      <c r="E2" s="3" t="e">
        <f>AVERAGEIFS(All!M:M,
            All!$G:$G, TRUE,
            All!$H:$H, TRUE,
            All!$I:$I, TRUE,
            All!$U:$U, $A2)</f>
        <v>#DIV/0!</v>
      </c>
      <c r="F2" s="3" t="e">
        <f>AVERAGEIFS(All!N:N,
            All!$G:$G, TRUE,
            All!$H:$H, TRUE,
            All!$I:$I, TRUE,
            All!$U:$U, $A2)</f>
        <v>#DIV/0!</v>
      </c>
      <c r="G2" s="3" t="e">
        <f>AVERAGEIFS(All!O:O,
            All!$G:$G, TRUE,
            All!$H:$H, TRUE,
            All!$I:$I, TRUE,
            All!$U:$U, $A2)</f>
        <v>#DIV/0!</v>
      </c>
      <c r="H2" s="3" t="e">
        <f>AVERAGEIFS(All!P:P,
            All!$G:$G, TRUE,
            All!$H:$H, TRUE,
            All!$I:$I, TRUE,
            All!$U:$U, $A2)</f>
        <v>#DIV/0!</v>
      </c>
      <c r="I2" s="3" t="e">
        <f>AVERAGEIFS(All!Q:Q,
            All!$G:$G, TRUE,
            All!$H:$H, TRUE,
            All!$I:$I, TRUE,
            All!$U:$U, $A2)</f>
        <v>#DIV/0!</v>
      </c>
      <c r="J2" s="3" t="e">
        <f>AVERAGEIFS(All!R:R,
            All!$G:$G, TRUE,
            All!$H:$H, TRUE,
            All!$I:$I, TRUE,
            All!$U:$U, $A2)</f>
        <v>#DIV/0!</v>
      </c>
      <c r="K2" s="3" t="e">
        <f>AVERAGEIFS(All!V:V,
            All!$G:$G, TRUE,
            All!$H:$H, TRUE,
            All!$I:$I, TRUE,
            All!$U:$U, $A2)</f>
        <v>#DIV/0!</v>
      </c>
      <c r="L2" s="3" t="e">
        <f>AVERAGEIFS(All!W:W,
            All!$G:$G, TRUE,
            All!$H:$H, TRUE,
            All!$I:$I, TRUE,
            All!$U:$U, $A2)</f>
        <v>#DIV/0!</v>
      </c>
      <c r="M2" s="3" t="e">
        <f>AVERAGEIFS(All!X:X,
            All!$G:$G, TRUE,
            All!$H:$H, TRUE,
            All!$I:$I, TRUE,
            All!$U:$U, $A2)</f>
        <v>#DIV/0!</v>
      </c>
      <c r="N2" s="3" t="e">
        <f>AVERAGEIFS(All!Y:Y,
            All!$G:$G, TRUE,
            All!$H:$H, TRUE,
            All!$I:$I, TRUE,
            All!$U:$U, $A2)</f>
        <v>#DIV/0!</v>
      </c>
      <c r="O2" s="3">
        <f>COUNTIFS(All!G:G,TRUE,All!$U:$U,$A2)/COUNTIF(All!$U2:$U34,Filter!$A2)</f>
        <v>0</v>
      </c>
      <c r="P2" s="3">
        <f>COUNTIFS(All!H:H,TRUE,All!$U:$U,$A2)/COUNTIF(All!$U2:$U34,Filter!$A2)</f>
        <v>0</v>
      </c>
      <c r="Q2" s="3">
        <f>COUNTIFS(All!I:I,TRUE,All!$U:$U,$A2)/COUNTIF(All!$U2:$U34,Filter!$A2)</f>
        <v>0</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9.0909090909090912E-2</v>
      </c>
      <c r="P3" s="3">
        <f>COUNTIFS(All!H:H,TRUE,All!$U:$U,$A3)/COUNTIF(All!$U3:$U35,Filter!$A3)</f>
        <v>0</v>
      </c>
      <c r="Q3" s="3">
        <f>COUNTIFS(All!I:I,TRUE,All!$U:$U,$A3)/COUNTIF(All!$U3:$U35,Filter!$A3)</f>
        <v>9.0909090909090912E-2</v>
      </c>
    </row>
    <row r="4" spans="1:17" x14ac:dyDescent="0.2">
      <c r="A4" t="s">
        <v>80</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95</v>
      </c>
      <c r="P1" s="4" t="s">
        <v>96</v>
      </c>
      <c r="Q1" s="4" t="s">
        <v>97</v>
      </c>
    </row>
    <row r="2" spans="1:17" x14ac:dyDescent="0.2">
      <c r="A2" s="3" t="s">
        <v>98</v>
      </c>
      <c r="B2" s="3" t="e">
        <f>AVERAGEIFS(All!J:J,All!$G:$G, TRUE,All!$H:$H, TRUE,All!$I:$I, TRUE)</f>
        <v>#DIV/0!</v>
      </c>
      <c r="C2" s="3" t="e">
        <f>AVERAGEIFS(All!K:K,All!$G:$G, TRUE,All!$H:$H, TRUE,All!$I:$I, TRUE)</f>
        <v>#DIV/0!</v>
      </c>
      <c r="D2" s="3" t="e">
        <f>AVERAGEIFS(All!L:L,All!$G:$G, TRUE,All!$H:$H, TRUE,All!$I:$I, TRUE)</f>
        <v>#DIV/0!</v>
      </c>
      <c r="E2" s="3" t="e">
        <f>AVERAGEIFS(All!M:M,All!$G:$G, TRUE,All!$H:$H, TRUE,All!$I:$I, TRUE)</f>
        <v>#DIV/0!</v>
      </c>
      <c r="F2" s="3" t="e">
        <f>AVERAGEIFS(All!N:N,All!$G:$G, TRUE,All!$H:$H, TRUE,All!$I:$I, TRUE)</f>
        <v>#DIV/0!</v>
      </c>
      <c r="G2" s="3" t="e">
        <f>AVERAGEIFS(All!O:O,All!$G:$G, TRUE,All!$H:$H, TRUE,All!$I:$I, TRUE)</f>
        <v>#DIV/0!</v>
      </c>
      <c r="H2" s="3" t="e">
        <f>AVERAGEIFS(All!P:P,All!$G:$G, TRUE,All!$H:$H, TRUE,All!$I:$I, TRUE)</f>
        <v>#DIV/0!</v>
      </c>
      <c r="I2" s="3" t="e">
        <f>AVERAGEIFS(All!Q:Q,All!$G:$G, TRUE,All!$H:$H, TRUE,All!$I:$I, TRUE)</f>
        <v>#DIV/0!</v>
      </c>
      <c r="J2" s="3" t="e">
        <f>AVERAGEIFS(All!R:R,All!$G:$G, TRUE,All!$H:$H, TRUE,All!$I:$I, TRUE)</f>
        <v>#DIV/0!</v>
      </c>
      <c r="K2" s="3" t="e">
        <f>AVERAGEIFS(All!V:V,All!$G:$G, TRUE,All!$H:$H, TRUE,All!$I:$I, TRUE)</f>
        <v>#DIV/0!</v>
      </c>
      <c r="L2" s="3" t="e">
        <f>AVERAGEIFS(All!W:W,All!$G:$G, TRUE,All!$H:$H, TRUE,All!$I:$I, TRUE)</f>
        <v>#DIV/0!</v>
      </c>
      <c r="M2" s="3" t="e">
        <f>AVERAGEIFS(All!X:X,All!$G:$G, TRUE,All!$H:$H, TRUE,All!$I:$I, TRUE)</f>
        <v>#DIV/0!</v>
      </c>
      <c r="N2" s="3" t="e">
        <f>AVERAGEIFS(All!Y:Y,All!$G:$G, TRUE,All!$H:$H, TRUE,All!$I:$I, TRUE)</f>
        <v>#DIV/0!</v>
      </c>
      <c r="O2" s="3">
        <f>COUNTIFS(All!G:G,TRUE)/COUNTA(All!$U2:$U34)</f>
        <v>3.0303030303030304E-2</v>
      </c>
      <c r="P2" s="3">
        <f>COUNTIFS(All!H:H,TRUE)/COUNTA(All!$U2:$U34)</f>
        <v>0</v>
      </c>
      <c r="Q2" s="3">
        <f>COUNTIFS(All!I:I,TRUE)/COUNTA(All!$U2:$U34)</f>
        <v>3.0303030303030304E-2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2025-11-27T19:01:48Z</dcterms:modified>
</cp:coreProperties>
</file>