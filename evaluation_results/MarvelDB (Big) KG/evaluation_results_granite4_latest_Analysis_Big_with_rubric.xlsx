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name="Filter" sheetId="1" state="visible" r:id="rId1"/>
    <sheet name="By-CQ-Level" sheetId="2" state="visible" r:id="rId2"/>
    <sheet name="Overall" sheetId="3" state="visible" r:id="rId3"/>
    <sheet name="All"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B2" sqref="B2"/>
    </sheetView>
  </sheetViews>
  <sheetFormatPr baseColWidth="10" defaultRowHeight="15"/>
  <sheetData>
    <row r="1">
      <c r="A1" s="2" t="inlineStr">
        <is>
          <t>Complexity</t>
        </is>
      </c>
      <c r="B1" s="2" t="inlineStr">
        <is>
          <t>Total</t>
        </is>
      </c>
      <c r="C1" s="2" t="inlineStr">
        <is>
          <t>Valid Syntax</t>
        </is>
      </c>
      <c r="D1" s="2" t="inlineStr">
        <is>
          <t>Valid all</t>
        </is>
      </c>
    </row>
    <row r="2">
      <c r="A2">
        <f t="array" ref="A2:A4">_xlfn.UNIQUE(All!U2:U34)</f>
        <v/>
      </c>
      <c r="B2">
        <f>COUNTIF(All!U2:U34,Filter!A2)</f>
        <v/>
      </c>
      <c r="C2">
        <f>COUNTIFS(All!$G:$G, TRUE, All!$U:$U, A2)</f>
        <v/>
      </c>
      <c r="D2">
        <f>COUNTIFS(All!$G:$G, TRUE,
          All!$H:$H, TRUE,
          All!$I:$I, TRUE,
          All!$U:$U, A2)</f>
        <v/>
      </c>
    </row>
    <row r="3">
      <c r="A3" t="inlineStr">
        <is>
          <t>moderate</t>
        </is>
      </c>
      <c r="B3">
        <f>COUNTIF(All!U3:U35,Filter!A3)</f>
        <v/>
      </c>
      <c r="C3">
        <f>COUNTIFS(All!$G:$G, TRUE, All!$U:$U, A3)</f>
        <v/>
      </c>
      <c r="D3">
        <f>COUNTIFS(All!$G:$G, TRUE,
          All!$H:$H, TRUE,
          All!$I:$I, TRUE,
          All!$U:$U, A3)</f>
        <v/>
      </c>
    </row>
    <row r="4">
      <c r="A4" t="inlineStr">
        <is>
          <t>complex</t>
        </is>
      </c>
      <c r="B4">
        <f>COUNTIF(All!U4:U36,Filter!A4)</f>
        <v/>
      </c>
      <c r="C4">
        <f>COUNTIFS(All!$G:$G, TRUE, All!$U:$U, A4)</f>
        <v/>
      </c>
      <c r="D4">
        <f>COUNTIFS(All!$G:$G, TRUE,
          All!$H:$H, TRUE,
          All!$I:$I, TRUE,
          All!$U:$U, A4)</f>
        <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4"/>
  <sheetViews>
    <sheetView topLeftCell="E1" workbookViewId="0">
      <selection activeCell="I5" sqref="I5"/>
    </sheetView>
  </sheetViews>
  <sheetFormatPr baseColWidth="10" defaultColWidth="8.83203125" defaultRowHeight="15"/>
  <cols>
    <col width="8.5" bestFit="1" customWidth="1" min="1" max="1"/>
    <col width="8.6640625" bestFit="1" customWidth="1" min="2" max="2"/>
    <col width="4.6640625" bestFit="1" customWidth="1" min="3" max="3"/>
    <col width="13.6640625" bestFit="1" customWidth="1" min="4" max="5"/>
    <col width="15" bestFit="1" customWidth="1" min="6" max="6"/>
    <col width="18.33203125" bestFit="1" customWidth="1" min="7" max="7"/>
    <col width="22.1640625" bestFit="1" customWidth="1" min="8" max="8"/>
    <col width="25.6640625" bestFit="1" customWidth="1" min="9" max="9"/>
    <col width="13.1640625" bestFit="1" customWidth="1" min="10" max="10"/>
    <col width="16.33203125" bestFit="1" customWidth="1" min="11" max="11"/>
    <col width="22.33203125" bestFit="1" customWidth="1" min="12" max="12"/>
    <col width="9.33203125" bestFit="1" customWidth="1" min="13" max="13"/>
    <col width="20.83203125" bestFit="1" customWidth="1" min="14" max="14"/>
    <col width="12.6640625" bestFit="1" customWidth="1" min="15" max="15"/>
    <col width="12.83203125" bestFit="1" customWidth="1" min="16" max="16"/>
    <col width="15.6640625" bestFit="1" customWidth="1" min="17" max="17"/>
  </cols>
  <sheetData>
    <row r="1">
      <c r="A1" s="1" t="inlineStr">
        <is>
          <t>difficulty</t>
        </is>
      </c>
      <c r="B1" s="1" t="inlineStr">
        <is>
          <t>rows</t>
        </is>
      </c>
      <c r="C1" s="1" t="inlineStr">
        <is>
          <t>vars</t>
        </is>
      </c>
      <c r="D1" s="1" t="inlineStr">
        <is>
          <t>latency_p50_ms</t>
        </is>
      </c>
      <c r="E1" s="1" t="inlineStr">
        <is>
          <t>latency_p95_ms</t>
        </is>
      </c>
      <c r="F1" s="1" t="inlineStr">
        <is>
          <t>latency_mean_ms</t>
        </is>
      </c>
      <c r="G1" s="1" t="inlineStr">
        <is>
          <t>lexical_query_overlap</t>
        </is>
      </c>
      <c r="H1" s="1" t="inlineStr">
        <is>
          <t>semantic_similarity_to_CQ</t>
        </is>
      </c>
      <c r="I1" s="1" t="inlineStr">
        <is>
          <t>semantic_soft_coverage_to_CQ</t>
        </is>
      </c>
      <c r="J1" s="1" t="inlineStr">
        <is>
          <t>tuple_cohesion</t>
        </is>
      </c>
      <c r="K1" s="1" t="inlineStr">
        <is>
          <t>determinism_score</t>
        </is>
      </c>
      <c r="L1" s="1" t="inlineStr">
        <is>
          <t>satisfiability_binding_score</t>
        </is>
      </c>
      <c r="M1" s="1" t="inlineStr">
        <is>
          <t>h1_overall</t>
        </is>
      </c>
      <c r="N1" s="1" t="inlineStr">
        <is>
          <t>semantic_diversity_score</t>
        </is>
      </c>
      <c r="O1" s="1" t="inlineStr">
        <is>
          <t>syntax_ok_rate</t>
        </is>
      </c>
      <c r="P1" s="1" t="inlineStr">
        <is>
          <t>satisfiable_rate</t>
        </is>
      </c>
      <c r="Q1" s="1" t="inlineStr">
        <is>
          <t>deterministic_rate</t>
        </is>
      </c>
    </row>
    <row r="2">
      <c r="A2" t="inlineStr">
        <is>
          <t>simple</t>
        </is>
      </c>
      <c r="B2" s="3">
        <f>AVERAGEIFS(All!$J:$J,
            All!$G:$G, TRUE,
            All!$H:$H, TRUE,
            All!$I:$I, TRUE,
            All!$U:$U, A2)</f>
        <v/>
      </c>
      <c r="C2" s="3">
        <f>AVERAGEIFS(All!K:K,
            All!$G:$G, TRUE,
            All!$H:$H, TRUE,
            All!$I:$I, TRUE,
            All!$U:$U, $A2)</f>
        <v/>
      </c>
      <c r="D2" s="3">
        <f>AVERAGEIFS(All!L:L,
            All!$G:$G, TRUE,
            All!$H:$H, TRUE,
            All!$I:$I, TRUE,
            All!$U:$U, $A2)</f>
        <v/>
      </c>
      <c r="E2" s="3">
        <f>AVERAGEIFS(All!M:M,
            All!$G:$G, TRUE,
            All!$H:$H, TRUE,
            All!$I:$I, TRUE,
            All!$U:$U, $A2)</f>
        <v/>
      </c>
      <c r="F2" s="3">
        <f>AVERAGEIFS(All!N:N,
            All!$G:$G, TRUE,
            All!$H:$H, TRUE,
            All!$I:$I, TRUE,
            All!$U:$U, $A2)</f>
        <v/>
      </c>
      <c r="G2" s="3">
        <f>AVERAGEIFS(All!O:O,
            All!$G:$G, TRUE,
            All!$H:$H, TRUE,
            All!$I:$I, TRUE,
            All!$U:$U, $A2)</f>
        <v/>
      </c>
      <c r="H2" s="3">
        <f>AVERAGEIFS(All!P:P,
            All!$G:$G, TRUE,
            All!$H:$H, TRUE,
            All!$I:$I, TRUE,
            All!$U:$U, $A2)</f>
        <v/>
      </c>
      <c r="I2" s="3">
        <f>AVERAGEIFS(All!Q:Q,
            All!$G:$G, TRUE,
            All!$H:$H, TRUE,
            All!$I:$I, TRUE,
            All!$U:$U, $A2)</f>
        <v/>
      </c>
      <c r="J2" s="3">
        <f>AVERAGEIFS(All!R:R,
            All!$G:$G, TRUE,
            All!$H:$H, TRUE,
            All!$I:$I, TRUE,
            All!$U:$U, $A2)</f>
        <v/>
      </c>
      <c r="K2" s="3">
        <f>AVERAGEIFS(All!V:V,
            All!$G:$G, TRUE,
            All!$H:$H, TRUE,
            All!$I:$I, TRUE,
            All!$U:$U, $A2)</f>
        <v/>
      </c>
      <c r="L2" s="3">
        <f>AVERAGEIFS(All!W:W,
            All!$G:$G, TRUE,
            All!$H:$H, TRUE,
            All!$I:$I, TRUE,
            All!$U:$U, $A2)</f>
        <v/>
      </c>
      <c r="M2" s="3">
        <f>AVERAGEIFS(All!X:X,
            All!$G:$G, TRUE,
            All!$H:$H, TRUE,
            All!$I:$I, TRUE,
            All!$U:$U, $A2)</f>
        <v/>
      </c>
      <c r="N2" s="3">
        <f>AVERAGEIFS(All!Y:Y,
            All!$G:$G, TRUE,
            All!$H:$H, TRUE,
            All!$I:$I, TRUE,
            All!$U:$U, $A2)</f>
        <v/>
      </c>
      <c r="O2" s="3">
        <f>COUNTIFS(All!G:G,TRUE,All!$U:$U,$A2)/COUNTIF(All!$U2:$U34,Filter!$A2)</f>
        <v/>
      </c>
      <c r="P2" s="3">
        <f>COUNTIFS(All!H:H,TRUE,All!$U:$U,$A2)/COUNTIF(All!$U2:$U34,Filter!$A2)</f>
        <v/>
      </c>
      <c r="Q2" s="3">
        <f>COUNTIFS(All!I:I,TRUE,All!$U:$U,$A2)/COUNTIF(All!$U2:$U34,Filter!$A2)</f>
        <v/>
      </c>
    </row>
    <row r="3">
      <c r="A3" t="inlineStr">
        <is>
          <t>moderate</t>
        </is>
      </c>
      <c r="B3" s="3">
        <f>AVERAGEIFS(All!$J:$J,
            All!$G:$G, TRUE,
            All!$H:$H, TRUE,
            All!$I:$I, TRUE,
            All!$U:$U, A3)</f>
        <v/>
      </c>
      <c r="C3" s="3">
        <f>AVERAGEIFS(All!K:K,
            All!$G:$G, TRUE,
            All!$H:$H, TRUE,
            All!$I:$I, TRUE,
            All!$U:$U, $A3)</f>
        <v/>
      </c>
      <c r="D3" s="3">
        <f>AVERAGEIFS(All!L:L,
            All!$G:$G, TRUE,
            All!$H:$H, TRUE,
            All!$I:$I, TRUE,
            All!$U:$U, $A3)</f>
        <v/>
      </c>
      <c r="E3" s="3">
        <f>AVERAGEIFS(All!M:M,
            All!$G:$G, TRUE,
            All!$H:$H, TRUE,
            All!$I:$I, TRUE,
            All!$U:$U, $A3)</f>
        <v/>
      </c>
      <c r="F3" s="3">
        <f>AVERAGEIFS(All!N:N,
            All!$G:$G, TRUE,
            All!$H:$H, TRUE,
            All!$I:$I, TRUE,
            All!$U:$U, $A3)</f>
        <v/>
      </c>
      <c r="G3" s="3">
        <f>AVERAGEIFS(All!O:O,
            All!$G:$G, TRUE,
            All!$H:$H, TRUE,
            All!$I:$I, TRUE,
            All!$U:$U, $A3)</f>
        <v/>
      </c>
      <c r="H3" s="3">
        <f>AVERAGEIFS(All!P:P,
            All!$G:$G, TRUE,
            All!$H:$H, TRUE,
            All!$I:$I, TRUE,
            All!$U:$U, $A3)</f>
        <v/>
      </c>
      <c r="I3" s="3">
        <f>AVERAGEIFS(All!Q:Q,
            All!$G:$G, TRUE,
            All!$H:$H, TRUE,
            All!$I:$I, TRUE,
            All!$U:$U, $A3)</f>
        <v/>
      </c>
      <c r="J3" s="3">
        <f>AVERAGEIFS(All!R:R,
            All!$G:$G, TRUE,
            All!$H:$H, TRUE,
            All!$I:$I, TRUE,
            All!$U:$U, $A3)</f>
        <v/>
      </c>
      <c r="K3" s="3">
        <f>AVERAGEIFS(All!V:V,
            All!$G:$G, TRUE,
            All!$H:$H, TRUE,
            All!$I:$I, TRUE,
            All!$U:$U, $A3)</f>
        <v/>
      </c>
      <c r="L3" s="3">
        <f>AVERAGEIFS(All!W:W,
            All!$G:$G, TRUE,
            All!$H:$H, TRUE,
            All!$I:$I, TRUE,
            All!$U:$U, $A3)</f>
        <v/>
      </c>
      <c r="M3" s="3">
        <f>AVERAGEIFS(All!X:X,
            All!$G:$G, TRUE,
            All!$H:$H, TRUE,
            All!$I:$I, TRUE,
            All!$U:$U, $A3)</f>
        <v/>
      </c>
      <c r="N3" s="3">
        <f>AVERAGEIFS(All!Y:Y,
            All!$G:$G, TRUE,
            All!$H:$H, TRUE,
            All!$I:$I, TRUE,
            All!$U:$U, $A3)</f>
        <v/>
      </c>
      <c r="O3" s="3">
        <f>COUNTIFS(All!G:G,TRUE,All!$U:$U,$A3)/COUNTIF(All!$U3:$U35,Filter!$A3)</f>
        <v/>
      </c>
      <c r="P3" s="3">
        <f>COUNTIFS(All!H:H,TRUE,All!$U:$U,$A3)/COUNTIF(All!$U3:$U35,Filter!$A3)</f>
        <v/>
      </c>
      <c r="Q3" s="3">
        <f>COUNTIFS(All!I:I,TRUE,All!$U:$U,$A3)/COUNTIF(All!$U3:$U35,Filter!$A3)</f>
        <v/>
      </c>
    </row>
    <row r="4">
      <c r="A4" t="inlineStr">
        <is>
          <t>complex</t>
        </is>
      </c>
      <c r="B4" s="3">
        <f>AVERAGEIFS(All!$J:$J,
            All!$G:$G, TRUE,
            All!$H:$H, TRUE,
            All!$I:$I, TRUE,
            All!$U:$U, A4)</f>
        <v/>
      </c>
      <c r="C4" s="3">
        <f>AVERAGEIFS(All!K:K,
            All!$G:$G, TRUE,
            All!$H:$H, TRUE,
            All!$I:$I, TRUE,
            All!$U:$U, $A4)</f>
        <v/>
      </c>
      <c r="D4" s="3">
        <f>AVERAGEIFS(All!L:L,
            All!$G:$G, TRUE,
            All!$H:$H, TRUE,
            All!$I:$I, TRUE,
            All!$U:$U, $A4)</f>
        <v/>
      </c>
      <c r="E4" s="3">
        <f>AVERAGEIFS(All!M:M,
            All!$G:$G, TRUE,
            All!$H:$H, TRUE,
            All!$I:$I, TRUE,
            All!$U:$U, $A4)</f>
        <v/>
      </c>
      <c r="F4" s="3">
        <f>AVERAGEIFS(All!N:N,
            All!$G:$G, TRUE,
            All!$H:$H, TRUE,
            All!$I:$I, TRUE,
            All!$U:$U, $A4)</f>
        <v/>
      </c>
      <c r="G4" s="3">
        <f>AVERAGEIFS(All!O:O,
            All!$G:$G, TRUE,
            All!$H:$H, TRUE,
            All!$I:$I, TRUE,
            All!$U:$U, $A4)</f>
        <v/>
      </c>
      <c r="H4" s="3">
        <f>AVERAGEIFS(All!P:P,
            All!$G:$G, TRUE,
            All!$H:$H, TRUE,
            All!$I:$I, TRUE,
            All!$U:$U, $A4)</f>
        <v/>
      </c>
      <c r="I4" s="3">
        <f>AVERAGEIFS(All!Q:Q,
            All!$G:$G, TRUE,
            All!$H:$H, TRUE,
            All!$I:$I, TRUE,
            All!$U:$U, $A4)</f>
        <v/>
      </c>
      <c r="J4" s="3">
        <f>AVERAGEIFS(All!R:R,
            All!$G:$G, TRUE,
            All!$H:$H, TRUE,
            All!$I:$I, TRUE,
            All!$U:$U, $A4)</f>
        <v/>
      </c>
      <c r="K4" s="3">
        <f>AVERAGEIFS(All!V:V,
            All!$G:$G, TRUE,
            All!$H:$H, TRUE,
            All!$I:$I, TRUE,
            All!$U:$U, $A4)</f>
        <v/>
      </c>
      <c r="L4" s="3">
        <f>AVERAGEIFS(All!W:W,
            All!$G:$G, TRUE,
            All!$H:$H, TRUE,
            All!$I:$I, TRUE,
            All!$U:$U, $A4)</f>
        <v/>
      </c>
      <c r="M4" s="3">
        <f>AVERAGEIFS(All!X:X,
            All!$G:$G, TRUE,
            All!$H:$H, TRUE,
            All!$I:$I, TRUE,
            All!$U:$U, $A4)</f>
        <v/>
      </c>
      <c r="N4" s="3">
        <f>AVERAGEIFS(All!Y:Y,
            All!$G:$G, TRUE,
            All!$H:$H, TRUE,
            All!$I:$I, TRUE,
            All!$U:$U, $A4)</f>
        <v/>
      </c>
      <c r="O4" s="3">
        <f>COUNTIFS(All!G:G,TRUE,All!$U:$U,$A4)/COUNTIF(All!$U4:$U36,Filter!$A4)</f>
        <v/>
      </c>
      <c r="P4" s="3">
        <f>COUNTIFS(All!H:H,TRUE,All!$U:$U,$A4)/COUNTIF(All!$U4:$U36,Filter!$A4)</f>
        <v/>
      </c>
      <c r="Q4" s="3">
        <f>COUNTIFS(All!I:I,TRUE,All!$U:$U,$A4)/COUNTIF(All!$U4:$U36,Filter!$A4)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selection activeCell="P9" sqref="P9"/>
    </sheetView>
  </sheetViews>
  <sheetFormatPr baseColWidth="10" defaultColWidth="8.83203125" defaultRowHeight="15"/>
  <cols>
    <col width="8" bestFit="1" customWidth="1" min="1" max="1"/>
    <col width="8.6640625" bestFit="1" customWidth="1" min="2" max="2"/>
    <col width="4.6640625" bestFit="1" customWidth="1" min="3" max="3"/>
    <col width="13.6640625" bestFit="1" customWidth="1" min="4" max="5"/>
    <col width="15" bestFit="1" customWidth="1" min="6" max="6"/>
    <col width="18.33203125" bestFit="1" customWidth="1" min="7" max="7"/>
    <col width="22.1640625" bestFit="1" customWidth="1" min="8" max="8"/>
    <col width="25.6640625" bestFit="1" customWidth="1" min="9" max="9"/>
    <col width="13.1640625" bestFit="1" customWidth="1" min="10" max="10"/>
    <col width="16.33203125" bestFit="1" customWidth="1" min="11" max="11"/>
    <col width="22.33203125" bestFit="1" customWidth="1" min="12" max="12"/>
    <col width="9.33203125" bestFit="1" customWidth="1" min="13" max="13"/>
    <col width="20.83203125" bestFit="1" customWidth="1" min="14" max="14"/>
    <col width="12.6640625" bestFit="1" customWidth="1" min="15" max="15"/>
    <col width="12.83203125" bestFit="1" customWidth="1" min="16" max="16"/>
    <col width="15.6640625" bestFit="1" customWidth="1" min="17" max="17"/>
  </cols>
  <sheetData>
    <row r="1">
      <c r="A1" s="4" t="inlineStr">
        <is>
          <t>difficulty</t>
        </is>
      </c>
      <c r="B1" s="4" t="inlineStr">
        <is>
          <t>rows</t>
        </is>
      </c>
      <c r="C1" s="4" t="inlineStr">
        <is>
          <t>vars</t>
        </is>
      </c>
      <c r="D1" s="4" t="inlineStr">
        <is>
          <t>latency_p50_ms</t>
        </is>
      </c>
      <c r="E1" s="4" t="inlineStr">
        <is>
          <t>latency_p95_ms</t>
        </is>
      </c>
      <c r="F1" s="4" t="inlineStr">
        <is>
          <t>latency_mean_ms</t>
        </is>
      </c>
      <c r="G1" s="4" t="inlineStr">
        <is>
          <t>lexical_query_overlap</t>
        </is>
      </c>
      <c r="H1" s="4" t="inlineStr">
        <is>
          <t>semantic_similarity_to_CQ</t>
        </is>
      </c>
      <c r="I1" s="4" t="inlineStr">
        <is>
          <t>semantic_soft_coverage_to_CQ</t>
        </is>
      </c>
      <c r="J1" s="4" t="inlineStr">
        <is>
          <t>tuple_cohesion</t>
        </is>
      </c>
      <c r="K1" s="4" t="inlineStr">
        <is>
          <t>determinism_score</t>
        </is>
      </c>
      <c r="L1" s="4" t="inlineStr">
        <is>
          <t>satisfiability_binding_score</t>
        </is>
      </c>
      <c r="M1" s="4" t="inlineStr">
        <is>
          <t>h1_overall</t>
        </is>
      </c>
      <c r="N1" s="4" t="inlineStr">
        <is>
          <t>semantic_diversity_score</t>
        </is>
      </c>
      <c r="O1" s="4" t="inlineStr">
        <is>
          <t>syntax_ok_rate</t>
        </is>
      </c>
      <c r="P1" s="4" t="inlineStr">
        <is>
          <t>satisfiable_rate</t>
        </is>
      </c>
      <c r="Q1" s="4" t="inlineStr">
        <is>
          <t>deterministic_rate</t>
        </is>
      </c>
    </row>
    <row r="2">
      <c r="A2" s="3" t="inlineStr">
        <is>
          <t>ALL</t>
        </is>
      </c>
      <c r="B2" s="3">
        <f>AVERAGEIFS(All!J:J,All!$G:$G, TRUE,All!$H:$H, TRUE,All!$I:$I, TRUE)</f>
        <v/>
      </c>
      <c r="C2" s="3">
        <f>AVERAGEIFS(All!K:K,All!$G:$G, TRUE,All!$H:$H, TRUE,All!$I:$I, TRUE)</f>
        <v/>
      </c>
      <c r="D2" s="3">
        <f>AVERAGEIFS(All!L:L,All!$G:$G, TRUE,All!$H:$H, TRUE,All!$I:$I, TRUE)</f>
        <v/>
      </c>
      <c r="E2" s="3">
        <f>AVERAGEIFS(All!M:M,All!$G:$G, TRUE,All!$H:$H, TRUE,All!$I:$I, TRUE)</f>
        <v/>
      </c>
      <c r="F2" s="3">
        <f>AVERAGEIFS(All!N:N,All!$G:$G, TRUE,All!$H:$H, TRUE,All!$I:$I, TRUE)</f>
        <v/>
      </c>
      <c r="G2" s="3">
        <f>AVERAGEIFS(All!O:O,All!$G:$G, TRUE,All!$H:$H, TRUE,All!$I:$I, TRUE)</f>
        <v/>
      </c>
      <c r="H2" s="3">
        <f>AVERAGEIFS(All!P:P,All!$G:$G, TRUE,All!$H:$H, TRUE,All!$I:$I, TRUE)</f>
        <v/>
      </c>
      <c r="I2" s="3">
        <f>AVERAGEIFS(All!Q:Q,All!$G:$G, TRUE,All!$H:$H, TRUE,All!$I:$I, TRUE)</f>
        <v/>
      </c>
      <c r="J2" s="3">
        <f>AVERAGEIFS(All!R:R,All!$G:$G, TRUE,All!$H:$H, TRUE,All!$I:$I, TRUE)</f>
        <v/>
      </c>
      <c r="K2" s="3">
        <f>AVERAGEIFS(All!V:V,All!$G:$G, TRUE,All!$H:$H, TRUE,All!$I:$I, TRUE)</f>
        <v/>
      </c>
      <c r="L2" s="3">
        <f>AVERAGEIFS(All!W:W,All!$G:$G, TRUE,All!$H:$H, TRUE,All!$I:$I, TRUE)</f>
        <v/>
      </c>
      <c r="M2" s="3">
        <f>AVERAGEIFS(All!X:X,All!$G:$G, TRUE,All!$H:$H, TRUE,All!$I:$I, TRUE)</f>
        <v/>
      </c>
      <c r="N2" s="3">
        <f>AVERAGEIFS(All!Y:Y,All!$G:$G, TRUE,All!$H:$H, TRUE,All!$I:$I, TRUE)</f>
        <v/>
      </c>
      <c r="O2" s="3">
        <f>COUNTIFS(All!G:G,TRUE)/COUNTA(All!$U2:$U34)</f>
        <v/>
      </c>
      <c r="P2" s="3">
        <f>COUNTIFS(All!H:H,TRUE)/COUNTA(All!$U2:$U34)</f>
        <v/>
      </c>
      <c r="Q2" s="3">
        <f>COUNTIFS(All!I:I,TRUE)/COUNTA(All!$U2:$U34)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4"/>
  <sheetViews>
    <sheetView workbookViewId="0">
      <selection activeCell="A1" sqref="A1"/>
    </sheetView>
  </sheetViews>
  <sheetFormatPr baseColWidth="8" defaultRowHeight="15"/>
  <sheetData>
    <row r="1">
      <c r="A1" t="inlineStr">
        <is>
          <t>CQ</t>
        </is>
      </c>
      <c r="B1" t="inlineStr">
        <is>
          <t>Prompt</t>
        </is>
      </c>
      <c r="C1" t="inlineStr">
        <is>
          <t>granite4:latest_Analysis_Result</t>
        </is>
      </c>
      <c r="D1" t="inlineStr">
        <is>
          <t>granite4:latest_Analysis_Raw</t>
        </is>
      </c>
      <c r="E1" t="inlineStr">
        <is>
          <t>sparql_query</t>
        </is>
      </c>
      <c r="F1" t="inlineStr">
        <is>
          <t>eval_json</t>
        </is>
      </c>
      <c r="G1" t="inlineStr">
        <is>
          <t>syntax_ok</t>
        </is>
      </c>
      <c r="H1" t="inlineStr">
        <is>
          <t>satisfiable</t>
        </is>
      </c>
      <c r="I1" t="inlineStr">
        <is>
          <t>deterministic</t>
        </is>
      </c>
      <c r="J1" t="inlineStr">
        <is>
          <t>rows</t>
        </is>
      </c>
      <c r="K1" t="inlineStr">
        <is>
          <t>vars</t>
        </is>
      </c>
      <c r="L1" t="inlineStr">
        <is>
          <t>latency_p50_ms</t>
        </is>
      </c>
      <c r="M1" t="inlineStr">
        <is>
          <t>latency_p95_ms</t>
        </is>
      </c>
      <c r="N1" t="inlineStr">
        <is>
          <t>latency_mean_ms</t>
        </is>
      </c>
      <c r="O1" t="inlineStr">
        <is>
          <t>lexical_query_overlap</t>
        </is>
      </c>
      <c r="P1" t="inlineStr">
        <is>
          <t>semantic_similarity_to_CQ</t>
        </is>
      </c>
      <c r="Q1" t="inlineStr">
        <is>
          <t>semantic_soft_coverage_to_CQ</t>
        </is>
      </c>
      <c r="R1" t="inlineStr">
        <is>
          <t>tuple_cohesion</t>
        </is>
      </c>
      <c r="S1" t="inlineStr">
        <is>
          <t>always_unbound_vars</t>
        </is>
      </c>
      <c r="T1" t="inlineStr">
        <is>
          <t>variables</t>
        </is>
      </c>
      <c r="U1" t="inlineStr">
        <is>
          <t>difficulty</t>
        </is>
      </c>
      <c r="V1" t="inlineStr">
        <is>
          <t>determinism_score</t>
        </is>
      </c>
      <c r="W1" t="inlineStr">
        <is>
          <t>satisfiability_binding_score</t>
        </is>
      </c>
      <c r="X1" t="inlineStr">
        <is>
          <t>h1_overall</t>
        </is>
      </c>
      <c r="Y1" t="inlineStr">
        <is>
          <t>semantic_diversity_score</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is>
      </c>
      <c r="C2" t="inlineStr">
        <is>
          <t>```sparql
PREFIX dc: &lt;http://purl.org/dc/elements/1.1/&gt;
PREFIX dcterms: &lt;http://purl.org/dc/terms/&gt;
PREFIX foaf: &lt;http://xmlns.com/foaf/0.1/&gt;
PREFIX ns2: &lt;http://dbkwik.webdatacommons.org/marvel.wikia.com/resource/&gt; 
PREFIX ns3: &lt;http://dbkwik.webdatacommons.org/marveldc_rr/&gt;
PREFIX ns4: &lt;http://marvel.wikia.com/wiki/Special&gt;
PREFIX owl: &lt;http://www.w3.org/2002/07/owl#&gt;
PREFIX rdf: &lt;http://www.w3.org/1999/02/22-rdf-syntax-ns#&gt;
PREFIX rel: &lt;http://purl.org/vocab/rel/&gt;
PREFIX skos: &lt;http://www.w3.org/2004/02/skos/core#&gt;
SELECT * WHERE {
 ?x a owl:Class ;
   ns2:label ?label .
 FILTER (?label IN ( "18th_Kree_Diplomatic_Gestalt_members","18th Kree Diplomatic Gestalt members","Arachnine Form","Adhesive","Alchemax_Board_of_Directors_(Earth-928)","Ambient-Energy Dampening Actualization Module Unit Eleven (Earth-4935)","Aesir (2099) (Earth-928)","All-Captains Squad (Earth-91119)","Advanced Idea Mechanics (Earth-TRN416)","Anti-Spider Squad (Earth-616)","Artificially Intelligent Digital Assistant (Earth-199999)","Avengers Initiative","Avengers_AccuTech_(Earth-199999)","Avengers (Earth-TRN375)","Avengers (Earth-TRN503)","Avatar (Earth-616)","Azimuth","B%27Tumba (Earth-616)","Cable and X-Factor Annual","Captain America: Civil War","Captain America, The First Avenger","Captain America_Vol_1_289","Captain Americorps (Earth-81223)","Carol Danvers (Earth-398)","Category:Arc Heroines/Appearances","Category:Arc Heroines/Characters","Category:Arc Heroines/Images","Category:Bizarro World Heroes/Images","Category:Bizarro World Heroes/Names","Category:Daredevil Annual","Category:Daredevil_Episodes","Category:Defenders Annual","Category:Fantastic Four Annuals","Category:Fear Itself Annuals","Category:Halloween Comics","Category:Iron Man Annuals","Category:Jet Comics","Category:Marvel 2099 Annuals","Category:Marvel Animated Original Movies","Category:Marvel Animation Films (TV)","Category:Marvel Animation Shorts","Category:Marvel Animated Series","Category:Marvel Archival Anthologies","Category:Marvel Archives Annuals","Category:Marvel Audio Dramas","Category:Marvel Battle Team Comics","Category:Marvel Calendar Features","Category:Marvel Comic Strips","Category:Marvel Comics #1-100","Category:Marvel Comics by Alan Moore","Category:Marvel Comics by Araki Hideshi","Category:Marvel Comics by Baxter, Chris","Category:Marvel Comics by Byrne, John","Category:Marvel Comics by Kim,Jackie","Category:Marvel Comics by Marvel Studios","Category:Marvel Comics by Paul Levitz","Category:Marvel Comics by Peter David","Category:Marvel Comics by Steve Gerber","Category:Marvel Comics by Stan Lee","Category:Marvel Comics by Terry Dodson","Category:Marvel Comics by Tim Truman","Category:Marvel Comix","Category:Marvel Daily Planet Stories","Category:Marvel Database Movies","Category:Marvel Editorials","Category:Marvel Editors Monthly","Category:Marvel Epic Tales","Category:Marvel European Super Heroes in Action!","Category:Marvel Europe","Category:Marvel Events Annuals","Category:Marvel Family Histories","Category:Marvel Family History Comics","Category:Marvel Family History Stories","Category:Marvel Flashback Comics","Category:Marvel Films","Category:Film/Film Series/Marvel Cinematic Universe","Category:Funko Pop! Figures Marvel","Category:Future World of the Amazing Spider-Man Annuals","Category:Halloween Tales","Category:Iron Man Annuals","Category:Limited Edition Marvel Figures by Studio Funimation","Category:Marvel Legacy Annuals","Category:Marvel Legends Collection","Category:Marvel Legends Figures","Category:Marvel Legacy Omnibuses","Category:Marvel Masterworks","Category:Marvel Movie Comics","Category:Marvel Novelty Comics (1930s-1950s)","Category:Marvel One-Shot Books","Category:Marvel Pocket Books","Category:Marvel Postscripts","Category:Marvel Publications 1963-1972","Category:Marvel Press Annuals","Category:Marvel Reference Works","Category:Marvel Stories by Alan Moore","Category:Marvel Super Hero Party Book","Category:Marvel Treasury Editions","Category:Marvel Ultimate Comics #1-20","Category:Marvel Visual Encyclopedia (UK)","Category:Marvel Watchmen Graphic Novels","Category:Marvel Weekly of the Weird Tales","Category:Nova Force Annuals","Category:Official Comics Publications 1930-1959","Category:One-Shot Books/Marvel","Category:Paperback Comic Books","Category:Planet Hulk Annuals","Category:Pre-Avengers Comics (Earth-616)","Category:Pre-Symbiote Spider-Man Stories/Characters/Images","Category:Pseudonym Characters by Stan Lee","Category:Reprint Editions/Marvel Comics (UK)","Category:Secret Wars Annuals","Category:Series Comics","Category:Shadows of the Avengers","Category:Singles and Mini-Series/Marvel Comics","Category:Skull Comics","Category:Sky Readers Monthly Stories/Characters/Images","Category:Star-Lord Annuals","Category:The Amazing Spider-Man Annuals","Category:The Incredible Hulk Annuals","Category:Toons (Earth-616)","Category:Toons/Images (Earth-616)","Category:Universe Series","Category:Villains United! Annuals","Category:X-Men Annuals","Babel Archive Comics",&lt;http://dbkwik.webdatacommons.org/marvel.wikia.com/resource/Abilene_(Deity)_(Earth-616)&gt; ,&lt;http://dbkwik.webdatacommons.org/marvel.wikia.com/resource/Abigail_Boylen_(Earth-616)&gt; ,&lt;http://dbkwik.webdatacommons.org/marvel.wikia.com/resource/Adhesive (Marvel_universe)&gt;, &lt;http://dbkwik.webdatacommons.org/marvel.wikia.com/resource/Aesir_(2099)_(Earth-928)&gt; ,&lt;http://dbkwik.webdatacommons.org/marvel.wikia.com/resource/Alchemax_Board_of_Directors_(Earth-928)&gt; ,&lt;http://dbkwik.webdatacommons.org/marvel.wikia.com/resource/Amphibian_Man&gt; ,&lt;http://dbkwik.webdatacommons.org/marvel.wikia.com/resource/Arc_Heroines&gt;, &lt;http://dbkwik.webdatacommons.org/marvel.wikia.com/resource/Arc_Heroes&gt;, &lt;http://dbkwik.webdatacommons.org/marvel.wikia.com/resource/Avengers_Acceleros&gt;, &lt;http://dbkwik.webdatacommons.org/marvel.wikia.com/resource/Average_Joe&gt; ,&lt;http://dbkwik.webdatacommons.org/marvel.wikia.com/resource/Babylon_(Earth-616)&gt; ,&lt;http://dbkwik.webdatacommons.org/marvel.wikia.com/resource/Black_Panther_Annuals&gt;, &lt;http://dbkwik.webdatacommons.org/marvel.wikia.com/resource/CaptainAmerica&gt; ,&lt;http://dbkwik.webdatacommons.org/marvel.wikia.com/resource/Dark_Ancients&gt;, &lt;http://dbkwik.webdatacommons.org/marvel.wikia.com/resource/Deadpool&gt; ,&lt;http://dbkwik.webdatacommons.org/marvel.wikia.com/resource/FearItself&gt; ,&lt;http://dbkwik.webdatacommons.org/marvel.wikia.com/resource/Halloween_Tales&gt;, &lt;http://dbkwik.webdatacommons.org/marvel.wikia.com/resource/Nova_Force&gt; ,&lt;http://dbkwik.webdatacommons.org/marvel.wikia.com/resource/Official_Handbooks_of_the_Marvel_Universe_(A-Z_Update)&gt; ,&lt;http://dbkwik.webdatacommons.org/marvel.wikia.com/resource/Secret_Wars&gt; ,&lt;http://dbkwik.webdatacommons.org/marvel.wikia.com/resource/Skulls&gt;, &lt;http://dbkwik.webdatacommons.org/marvel.wikia.com/resource/Villains_United!&gt; ))
}
```</t>
        </is>
      </c>
      <c r="D2" t="inlineStr">
        <is>
          <t>model='granite4:latest' created_at='2025-11-26T22:47:02.007056381Z' done=True done_reason='stop' total_duration=271093217479 load_duration=11622834024 prompt_eval_count=89830 prompt_eval_duration=204154588672 eval_count=1797 eval_duration=53951345055 message=Message(role='assistant', content='```sparql\nPREFIX dc: &lt;http://purl.org/dc/elements/1.1/&gt;\nPREFIX dcterms: &lt;http://purl.org/dc/terms/&gt;\nPREFIX foaf: &lt;http://xmlns.com/foaf/0.1/&gt;\nPREFIX ns2: &lt;http://dbkwik.webdatacommons.org/marvel.wikia.com/resource/&gt; \nPREFIX ns3: &lt;http://dbkwik.webdatacommons.org/marveldc_rr/&gt;\nPREFIX ns4: &lt;http://marvel.wikia.com/wiki/Special&gt;\nPREFIX owl: &lt;http://www.w3.org/2002/07/owl#&gt;\nPREFIX rdf: &lt;http://www.w3.org/1999/02/22-rdf-syntax-ns#&gt;\nPREFIX rel: &lt;http://purl.org/vocab/rel/&gt;\nPREFIX skos: &lt;http://www.w3.org/2004/02/skos/core#&gt;\nSELECT * WHERE {\n ?x a owl:Class ;\n   ns2:label ?label .\n FILTER (?label IN ( "18th_Kree_Diplomatic_Gestalt_members","18th Kree Diplomatic Gestalt members","Arachnine Form","Adhesive","Alchemax_Board_of_Directors_(Earth-928)","Ambient-Energy Dampening Actualization Module Unit Eleven (Earth-4935)","Aesir (2099) (Earth-928)","All-Captains Squad (Earth-91119)","Advanced Idea Mechanics (Earth-TRN416)","Anti-Spider Squad (Earth-616)","Artificially Intelligent Digital Assistant (Earth-199999)","Avengers Initiative","Avengers_AccuTech_(Earth-199999)","Avengers (Earth-TRN375)","Avengers (Earth-TRN503)","Avatar (Earth-616)","Azimuth","B%27Tumba (Earth-616)","Cable and X-Factor Annual","Captain America: Civil War","Captain America, The First Avenger","Captain America_Vol_1_289","Captain Americorps (Earth-81223)","Carol Danvers (Earth-398)","Category:Arc Heroines/Appearances","Category:Arc Heroines/Characters","Category:Arc Heroines/Images","Category:Bizarro World Heroes/Images","Category:Bizarro World Heroes/Names","Category:Daredevil Annual","Category:Daredevil_Episodes","Category:Defenders Annual","Category:Fantastic Four Annuals","Category:Fear Itself Annuals","Category:Halloween Comics","Category:Iron Man Annuals","Category:Jet Comics","Category:Marvel 2099 Annuals","Category:Marvel Animated Original Movies","Category:Marvel Animation Films (TV)","Category:Marvel Animation Shorts","Category:Marvel Animated Series","Category:Marvel Archival Anthologies","Category:Marvel Archives Annuals","Category:Marvel Audio Dramas","Category:Marvel Battle Team Comics","Category:Marvel Calendar Features","Category:Marvel Comic Strips","Category:Marvel Comics #1-100","Category:Marvel Comics by Alan Moore","Category:Marvel Comics by Araki Hideshi","Category:Marvel Comics by Baxter, Chris","Category:Marvel Comics by Byrne, John","Category:Marvel Comics by Kim,Jackie","Category:Marvel Comics by Marvel Studios","Category:Marvel Comics by Paul Levitz","Category:Marvel Comics by Peter David","Category:Marvel Comics by Steve Gerber","Category:Marvel Comics by Stan Lee","Category:Marvel Comics by Terry Dodson","Category:Marvel Comics by Tim Truman","Category:Marvel Comix","Category:Marvel Daily Planet Stories","Category:Marvel Database Movies","Category:Marvel Editorials","Category:Marvel Editors Monthly","Category:Marvel Epic Tales","Category:Marvel European Super Heroes in Action!","Category:Marvel Europe","Category:Marvel Events Annuals","Category:Marvel Family Histories","Category:Marvel Family History Comics","Category:Marvel Family History Stories","Category:Marvel Flashback Comics","Category:Marvel Films","Category:Film/Film Series/Marvel Cinematic Universe","Category:Funko Pop! Figures Marvel","Category:Future World of the Amazing Spider-Man Annuals","Category:Halloween Tales","Category:Iron Man Annuals","Category:Limited Edition Marvel Figures by Studio Funimation","Category:Marvel Legacy Annuals","Category:Marvel Legends Collection","Category:Marvel Legends Figures","Category:Marvel Legacy Omnibuses","Category:Marvel Masterworks","Category:Marvel Movie Comics","Category:Marvel Novelty Comics (1930s-1950s)","Category:Marvel One-Shot Books","Category:Marvel Pocket Books","Category:Marvel Postscripts","Category:Marvel Publications 1963-1972","Category:Marvel Press Annuals","Category:Marvel Reference Works","Category:Marvel Stories by Alan Moore","Category:Marvel Super Hero Party Book","Category:Marvel Treasury Editions","Category:Marvel Ultimate Comics #1-20","Category:Marvel Visual Encyclopedia (UK)","Category:Marvel Watchmen Graphic Novels","Category:Marvel Weekly of the Weird Tales","Category:Nova Force Annuals","Category:Official Comics Publications 1930-1959","Category:One-Shot Books/Marvel","Category:Paperback Comic Books","Category:Planet Hulk Annuals","Category:Pre-Avengers Comics (Earth-616)","Category:Pre-Symbiote Spider-Man Stories/Characters/Images","Category:Pseudonym Characters by Stan Lee","Category:Reprint Editions/Marvel Comics (UK)","Category:Secret Wars Annuals","Category:Series Comics","Category:Shadows of the Avengers","Category:Singles and Mini-Series/Marvel Comics","Category:Skull Comics","Category:Sky Readers Monthly Stories/Characters/Images","Category:Star-Lord Annuals","Category:The Amazing Spider-Man Annuals","Category:The Incredible Hulk Annuals","Category:Toons (Earth-616)","Category:Toons/Images (Earth-616)","Category:Universe Series","Category:Villains United! Annuals","Category:X-Men Annuals","Babel Archive Comics",&lt;http://dbkwik.webdatacommons.org/marvel.wikia.com/resource/Abilene_(Deity)_(Earth-616)&gt; ,&lt;http://dbkwik.webdatacommons.org/marvel.wikia.com/resource/Abigail_Boylen_(Earth-616)&gt; ,&lt;http://dbkwik.webdatacommons.org/marvel.wikia.com/resource/Adhesive (Marvel_universe)&gt;, &lt;http://dbkwik.webdatacommons.org/marvel.wikia.com/resource/Aesir_(2099)_(Earth-928)&gt; ,&lt;http://dbkwik.webdatacommons.org/marvel.wikia.com/resource/Alchemax_Board_of_Directors_(Earth-928)&gt; ,&lt;http://dbkwik.webdatacommons.org/marvel.wikia.com/resource/Amphibian_Man&gt; ,&lt;http://dbkwik.webdatacommons.org/marvel.wikia.com/resource/Arc_Heroines&gt;, &lt;http://dbkwik.webdatacommons.org/marvel.wikia.com/resource/Arc_Heroes&gt;, &lt;http://dbkwik.webdatacommons.org/marvel.wikia.com/resource/Avengers_Acceleros&gt;, &lt;http://dbkwik.webdatacommons.org/marvel.wikia.com/resource/Average_Joe&gt; ,&lt;http://dbkwik.webdatacommons.org/marvel.wikia.com/resource/Babylon_(Earth-616)&gt; ,&lt;http://dbkwik.webdatacommons.org/marvel.wikia.com/resource/Black_Panther_Annuals&gt;, &lt;http://dbkwik.webdatacommons.org/marvel.wikia.com/resource/CaptainAmerica&gt; ,&lt;http://dbkwik.webdatacommons.org/marvel.wikia.com/resource/Dark_Ancients&gt;, &lt;http://dbkwik.webdatacommons.org/marvel.wikia.com/resource/Deadpool&gt; ,&lt;http://dbkwik.webdatacommons.org/marvel.wikia.com/resource/FearItself&gt; ,&lt;http://dbkwik.webdatacommons.org/marvel.wikia.com/resource/Halloween_Tales&gt;, &lt;http://dbkwik.webdatacommons.org/marvel.wikia.com/resource/Nova_Force&gt; ,&lt;http://dbkwik.webdatacommons.org/marvel.wikia.com/resource/Official_Handbooks_of_the_Marvel_Universe_(A-Z_Update)&gt; ,&lt;http://dbkwik.webdatacommons.org/marvel.wikia.com/resource/Secret_Wars&gt; ,&lt;http://dbkwik.webdatacommons.org/marvel.wikia.com/resource/Skulls&gt;, &lt;http://dbkwik.webdatacommons.org/marvel.wikia.com/resource/Villains_United!&gt; ))\n}\n```', thinking=None, images=None, tool_calls=None)</t>
        </is>
      </c>
      <c r="E2" t="inlineStr">
        <is>
          <t>PREFIX ns1: &lt;http://dbkwik.webdatacommons.org/marvel.wikia.com/property/&gt;
PREFIX ns7: &lt;http://dbkwik.webdatacommons.org/marvel.wikia.com/property/alternate232%60&gt;
PREFIX rdfs: &lt;http://www.w3.org/2000/01/rdf-schema#&gt;
PREFIX xsd: &lt;http://www.w3.org/2001/XMLSchema#&gt;
PREFIX dc: &lt;http://purl.org/dc/elements/1.1/&gt;
PREFIX dcterms: &lt;http://purl.org/dc/terms/&gt;
PREFIX foaf: &lt;http://xmlns.com/foaf/0.1/&gt;
PREFIX ns2: &lt;http://dbkwik.webdatacommons.org/marvel.wikia.com/resource/&gt; 
PREFIX ns3: &lt;http://dbkwik.webdatacommons.org/marveldc_rr/&gt;
PREFIX ns4: &lt;http://marvel.wikia.com/wiki/Special&gt;
PREFIX owl: &lt;http://www.w3.org/2002/07/owl#&gt;
PREFIX rdf: &lt;http://www.w3.org/1999/02/22-rdf-syntax-ns#&gt;
PREFIX rel: &lt;http://purl.org/vocab/rel/&gt;
PREFIX skos: &lt;http://www.w3.org/2004/02/skos/core#&gt;
SELECT * WHERE {
 ?x a owl:Class ;
   ns2:label ?label .
 FILTER (?label IN ( "18th_Kree_Diplomatic_Gestalt_members","18th Kree Diplomatic Gestalt members","Arachnine Form","Adhesive","Alchemax_Board_of_Directors_(Earth-928)","Ambient-Energy Dampening Actualization Module Unit Eleven (Earth-4935)","Aesir (2099) (Earth-928)","All-Captains Squad (Earth-91119)","Advanced Idea Mechanics (Earth-TRN416)","Anti-Spider Squad (Earth-616)","Artificially Intelligent Digital Assistant (Earth-199999)","Avengers Initiative","Avengers_AccuTech_(Earth-199999)","Avengers (Earth-TRN375)","Avengers (Earth-TRN503)","Avatar (Earth-616)","Azimuth","B%27Tumba (Earth-616)","Cable and X-Factor Annual","Captain America: Civil War","Captain America, The First Avenger","Captain America_Vol_1_289","Captain Americorps (Earth-81223)","Carol Danvers (Earth-398)","Category:Arc Heroines/Appearances","Category:Arc Heroines/Characters","Category:Arc Heroines/Images","Category:Bizarro World Heroes/Images","Category:Bizarro World Heroes/Names","Category:Daredevil Annual","Category:Daredevil_Episodes","Category:Defenders Annual","Category:Fantastic Four Annuals","Category:Fear Itself Annuals","Category:Halloween Comics","Category:Iron Man Annuals","Category:Jet Comics","Category:Marvel 2099 Annuals","Category:Marvel Animated Original Movies","Category:Marvel Animation Films (TV)","Category:Marvel Animation Shorts","Category:Marvel Animated Series","Category:Marvel Archival Anthologies","Category:Marvel Archives Annuals","Category:Marvel Audio Dramas","Category:Marvel Battle Team Comics","Category:Marvel Calendar Features","Category:Marvel Comic Strips","Category:Marvel Comics #1-100","Category:Marvel Comics by Alan Moore","Category:Marvel Comics by Araki Hideshi","Category:Marvel Comics by Baxter, Chris","Category:Marvel Comics by Byrne, John","Category:Marvel Comics by Kim,Jackie","Category:Marvel Comics by Marvel Studios","Category:Marvel Comics by Paul Levitz","Category:Marvel Comics by Peter David","Category:Marvel Comics by Steve Gerber","Category:Marvel Comics by Stan Lee","Category:Marvel Comics by Terry Dodson","Category:Marvel Comics by Tim Truman","Category:Marvel Comix","Category:Marvel Daily Planet Stories","Category:Marvel Database Movies","Category:Marvel Editorials","Category:Marvel Editors Monthly","Category:Marvel Epic Tales","Category:Marvel European Super Heroes in Action!","Category:Marvel Europe","Category:Marvel Events Annuals","Category:Marvel Family Histories","Category:Marvel Family History Comics","Category:Marvel Family History Stories","Category:Marvel Flashback Comics","Category:Marvel Films","Category:Film/Film Series/Marvel Cinematic Universe","Category:Funko Pop! Figures Marvel","Category:Future World of the Amazing Spider-Man Annuals","Category:Halloween Tales","Category:Iron Man Annuals","Category:Limited Edition Marvel Figures by Studio Funimation","Category:Marvel Legacy Annuals","Category:Marvel Legends Collection","Category:Marvel Legends Figures","Category:Marvel Legacy Omnibuses","Category:Marvel Masterworks","Category:Marvel Movie Comics","Category:Marvel Novelty Comics (1930s-1950s)","Category:Marvel One-Shot Books","Category:Marvel Pocket Books","Category:Marvel Postscripts","Category:Marvel Publications 1963-1972","Category:Marvel Press Annuals","Category:Marvel Reference Works","Category:Marvel Stories by Alan Moore","Category:Marvel Super Hero Party Book","Category:Marvel Treasury Editions","Category:Marvel Ultimate Comics #1-20","Category:Marvel Visual Encyclopedia (UK)","Category:Marvel Watchmen Graphic Novels","Category:Marvel Weekly of the Weird Tales","Category:Nova Force Annuals","Category:Official Comics Publications 1930-1959","Category:One-Shot Books/Marvel","Category:Paperback Comic Books","Category:Planet Hulk Annuals","Category:Pre-Avengers Comics (Earth-616)","Category:Pre-Symbiote Spider-Man Stories/Characters/Images","Category:Pseudonym Characters by Stan Lee","Category:Reprint Editions/Marvel Comics (UK)","Category:Secret Wars Annuals","Category:Series Comics","Category:Shadows of the Avengers","Category:Singles and Mini-Series/Marvel Comics","Category:Skull Comics","Category:Sky Readers Monthly Stories/Characters/Images","Category:Star-Lord Annuals","Category:The Amazing Spider-Man Annuals","Category:The Incredible Hulk Annuals","Category:Toons (Earth-616)","Category:Toons/Images (Earth-616)","Category:Universe Series","Category:Villains United! Annuals","Category:X-Men Annuals","Babel Archive Comics",&lt;http://dbkwik.webdatacommons.org/marvel.wikia.com/resource/Abilene_(Deity)_(Earth-616)&gt; ,&lt;http://dbkwik.webdatacommons.org/marvel.wikia.com/resource/Abigail_Boylen_(Earth-616)&gt; ,&lt;http://dbkwik.webdatacommons.org/marvel.wikia.com/resource/Adhesive (Marvel_universe)&gt;, &lt;http://dbkwik.webdatacommons.org/marvel.wikia.com/resource/Aesir_(2099)_(Earth-928)&gt; ,&lt;http://dbkwik.webdatacommons.org/marvel.wikia.com/resource/Alchemax_Board_of_Directors_(Earth-928)&gt; ,&lt;http://dbkwik.webdatacommons.org/marvel.wikia.com/resource/Amphibian_Man&gt; ,&lt;http://dbkwik.webdatacommons.org/marvel.wikia.com/resource/Arc_Heroines&gt;, &lt;http://dbkwik.webdatacommons.org/marvel.wikia.com/resource/Arc_Heroes&gt;, &lt;http://dbkwik.webdatacommons.org/marvel.wikia.com/resource/Avengers_Acceleros&gt;, &lt;http://dbkwik.webdatacommons.org/marvel.wikia.com/resource/Average_Joe&gt; ,&lt;http://dbkwik.webdatacommons.org/marvel.wikia.com/resource/Babylon_(Earth-616)&gt; ,&lt;http://dbkwik.webdatacommons.org/marvel.wikia.com/resource/Black_Panther_Annuals&gt;, &lt;http://dbkwik.webdatacommons.org/marvel.wikia.com/resource/CaptainAmerica&gt; ,&lt;http://dbkwik.webdatacommons.org/marvel.wikia.com/resource/Dark_Ancients&gt;, &lt;http://dbkwik.webdatacommons.org/marvel.wikia.com/resource/Deadpool&gt; ,&lt;http://dbkwik.webdatacommons.org/marvel.wikia.com/resource/FearItself&gt; ,&lt;http://dbkwik.webdatacommons.org/marvel.wikia.com/resource/Halloween_Tales&gt;, &lt;http://dbkwik.webdatacommons.org/marvel.wikia.com/resource/Nova_Force&gt; ,&lt;http://dbkwik.webdatacommons.org/marvel.wikia.com/resource/Official_Handbooks_of_the_Marvel_Universe_(A-Z_Update)&gt; ,&lt;http://dbkwik.webdatacommons.org/marvel.wikia.com/resource/Secret_Wars&gt; ,&lt;http://dbkwik.webdatacommons.org/marvel.wikia.com/resource/Skulls&gt;, &lt;http://dbkwik.webdatacommons.org/marvel.wikia.com/resource/Villains_United!&gt; ))
}</t>
        </is>
      </c>
      <c r="F2" t="inlineStr">
        <is>
          <t>ERROR: QueryBadFormed: A bad request has been sent to the endpoint: probably the SPARQL query is badly formed. 
Response:
b'Parse error: Encountered " "&lt;" "&lt; "" at line 18, column 4632.\n'</t>
        </is>
      </c>
      <c r="G2" t="b">
        <v>0</v>
      </c>
      <c r="H2" t="b">
        <v>0</v>
      </c>
      <c r="I2" t="b">
        <v>0</v>
      </c>
      <c r="U2" t="inlineStr">
        <is>
          <t>simple</t>
        </is>
      </c>
      <c r="V2" t="n">
        <v>1</v>
      </c>
      <c r="W2" t="n">
        <v>1</v>
      </c>
      <c r="X2" t="n">
        <v>1</v>
      </c>
      <c r="Y2" t="n">
        <v>0.5</v>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is>
      </c>
      <c r="C3" t="inlineStr">
        <is>
          <t>```sparql
SELECT ?title ?description WHERE {
  ?item schema:name ?title .
  OPTIONAL { ?item schema:description ?description . }
  FILTER(LANG(?description) = en)
}
```</t>
        </is>
      </c>
      <c r="D3" t="inlineStr">
        <is>
          <t>model='granite4:latest' created_at='2025-11-26T22:50:21.105666875Z' done=True done_reason='stop' total_duration=198199279844 load_duration=1032159929 prompt_eval_count=89836 prompt_eval_duration=195615848366 eval_count=43 eval_duration=1261893164 message=Message(role='assistant', content='```sparql\nSELECT ?title ?description WHERE {\n  ?item schema:name ?title .\n  OPTIONAL { ?item schema:description ?description . }\n  FILTER(LANG(?description) = en)\n}\n```', thinking=None, images=None, tool_calls=None)</t>
        </is>
      </c>
      <c r="E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?title ?description WHERE {
  ?item schema:name ?title .
  OPTIONAL { ?item schema:description ?description . }
  FILTER(LANG(?description) = en)
}</t>
        </is>
      </c>
      <c r="F3" t="inlineStr">
        <is>
          <t>ERROR: QueryBadFormed: A bad request has been sent to the endpoint: probably the SPARQL query is badly formed. 
Response:
b'Parse error: Line 14, column 9: Unresolved prefixed name: schema:name\n'</t>
        </is>
      </c>
      <c r="G3" t="b">
        <v>0</v>
      </c>
      <c r="H3" t="b">
        <v>0</v>
      </c>
      <c r="I3" t="b">
        <v>0</v>
      </c>
      <c r="U3" t="inlineStr">
        <is>
          <t>simple</t>
        </is>
      </c>
      <c r="V3" t="n">
        <v>1</v>
      </c>
      <c r="W3" t="n">
        <v>1</v>
      </c>
      <c r="X3" t="n">
        <v>1</v>
      </c>
      <c r="Y3" t="n">
        <v>0.5</v>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is>
      </c>
      <c r="C4" t="inlineStr">
        <is>
          <t>```sparql
SELECT ?person ?name ?id
WHERE {
  ?person a skos:Concept;
          dcterms:title ?title.
  OPTIONAL { ?person dct:description ?description . }
  ?person foaf:name ?name .
  ?person marvd:id ?id ;
           wikibase:claim P646 ?claim .
  FILTER (isDefined(?title))
}
```</t>
        </is>
      </c>
      <c r="D4" t="inlineStr">
        <is>
          <t>model='granite4:latest' created_at='2025-11-26T22:53:41.516864978Z' done=True done_reason='stop' total_duration=199489850002 load_duration=1156781510 prompt_eval_count=89838 prompt_eval_duration=195592993703 eval_count=82 eval_duration=2428980030 message=Message(role='assistant', content='```sparql\nSELECT ?person ?name ?id\nWHERE {\n  ?person a skos:Concept;\n          dcterms:title ?title.\n  OPTIONAL { ?person dct:description ?description . }\n  ?person foaf:name ?name .\n  ?person marvd:id ?id ;\n           wikibase:claim P646 ?claim .\n  \n  FILTER (isDefined(?title))\n}\n```', thinking=None, images=None, tool_calls=None)</t>
        </is>
      </c>
      <c r="E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?person ?name ?id
WHERE {
  ?person a skos:Concept;
          dcterms:title ?title.
  OPTIONAL { ?person dct:description ?description . }
  ?person foaf:name ?name .
  ?person marvd:id ?id ;
           wikibase:claim P646 ?claim .
  FILTER (isDefined(?title))
}</t>
        </is>
      </c>
      <c r="F4" t="inlineStr">
        <is>
          <t>ERROR: QueryBadFormed: A bad request has been sent to the endpoint: probably the SPARQL query is badly formed. 
Response:
b'Parse error: Line 16, column 22: Unresolved prefixed name: dct:description\n'</t>
        </is>
      </c>
      <c r="G4" t="b">
        <v>0</v>
      </c>
      <c r="H4" t="b">
        <v>0</v>
      </c>
      <c r="I4" t="b">
        <v>0</v>
      </c>
      <c r="U4" t="inlineStr">
        <is>
          <t>simple</t>
        </is>
      </c>
      <c r="V4" t="n">
        <v>1</v>
      </c>
      <c r="W4" t="n">
        <v>1</v>
      </c>
      <c r="X4" t="n">
        <v>1</v>
      </c>
      <c r="Y4" t="n">
        <v>0.5</v>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5" t="inlineStr">
        <is>
          <t>```sparql
SELECT ?character ?name (GROUP_CONCAT(?description; SEPARATOR="\\n") AS ?description) WHERE {
  SELECT ?character ?name ?description {
     ?character rdfs:label ?name .
     OPTIONAL { ?character wikibase:description ?description }
     FILTER regex(?name, "^.*[A-Z][a-z]*$")
   } 
}
```</t>
        </is>
      </c>
      <c r="D5" t="inlineStr">
        <is>
          <t>model='granite4:latest' created_at='2025-11-26T22:57:02.261470864Z' done=True done_reason='stop' total_duration=199465601757 load_duration=1193216108 prompt_eval_count=89849 prompt_eval_duration=195591448699 eval_count=80 eval_duration=2373530767 message=Message(role='assistant', content='```sparql\nSELECT ?character ?name (GROUP_CONCAT(?description; SEPARATOR="\\\\n") AS ?description) WHERE {\n  SELECT ?character ?name ?description {\n     ?character rdfs:label ?name .\n     OPTIONAL { ?character wikibase:description ?description }\n     FILTER regex(?name, "^.*[A-Z][a-z]*$")\n   } \n}\n```', thinking=None, images=None, tool_calls=None)</t>
        </is>
      </c>
      <c r="E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?name (GROUP_CONCAT(?description; SEPARATOR="\
") AS ?description) WHERE {
  SELECT ?character ?name ?description {
     ?character rdfs:label ?name .
     OPTIONAL { ?character wikibase:description ?description }
     FILTER regex(?name, "^.*[A-Z][a-z]*$")
   } 
}</t>
        </is>
      </c>
      <c r="F5" t="inlineStr">
        <is>
          <t>ERROR: QueryBadFormed: A bad request has been sent to the endpoint: probably the SPARQL query is badly formed. 
Response:
b'Parse error: Line 16, column 28: Unresolved prefixed name: wikibase:description\n'</t>
        </is>
      </c>
      <c r="G5" t="b">
        <v>0</v>
      </c>
      <c r="H5" t="b">
        <v>0</v>
      </c>
      <c r="I5" t="b">
        <v>0</v>
      </c>
      <c r="U5" t="inlineStr">
        <is>
          <t>simple</t>
        </is>
      </c>
      <c r="V5" t="n">
        <v>1</v>
      </c>
      <c r="W5" t="n">
        <v>1</v>
      </c>
      <c r="X5" t="n">
        <v>1</v>
      </c>
      <c r="Y5" t="n">
        <v>0.5</v>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is>
      </c>
      <c r="C6" t="inlineStr">
        <is>
          <t>```sparql
SELECT ?name WHERE {
  VALUES ?query { "Spider-Man" }
  # Query the Marvel Universe Database (Marvel) for titles containing 'Spider-Man'
  SELECT DISTINCT ?title ?author 
  	WHERE {
    	Marvel:Title ?title .
      Marvel:Author/DC_Comics ?author .
    	# Filter for titles that contain the string "Spider-Man"
    	FILTER(CONTAINS(?title, "Spider-Man"))
    }
  # Return only the title of each matching entry
  BIND(MULTIPLY(1, ?title) AS ?name)
}
```</t>
        </is>
      </c>
      <c r="D6" t="inlineStr">
        <is>
          <t>model='granite4:latest' created_at='2025-11-26T23:00:23.850782892Z' done=True done_reason='stop' total_duration=200772600103 load_duration=989703127 prompt_eval_count=89847 prompt_eval_duration=195643096315 eval_count=128 eval_duration=3799040548 message=Message(role='assistant', content='```sparql\nSELECT ?name WHERE {\n  VALUES ?query { "Spider-Man" }\n  \n  # Query the Marvel Universe Database (Marvel) for titles containing \'Spider-Man\'\n  SELECT DISTINCT ?title ?author \n  \tWHERE {\n    \tMarvel:Title ?title .\n      Marvel:Author/DC_Comics ?author .\n    \n    \t# Filter for titles that contain the string "Spider-Man"\n    \tFILTER(CONTAINS(?title, "Spider-Man"))\n    }\n  \n  # Return only the title of each matching entry\n  BIND(MULTIPLY(1, ?title) AS ?name)\n}\n```', thinking=None, images=None, tool_calls=None)</t>
        </is>
      </c>
      <c r="E6"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?name WHERE {
  VALUES ?query { "Spider-Man" }
  # Query the Marvel Universe Database (Marvel) for titles containing 'Spider-Man'
  SELECT DISTINCT ?title ?author 
  	WHERE {
    	Marvel:Title ?title .
      Marvel:Author/DC_Comics ?author .
    	# Filter for titles that contain the string "Spider-Man"
    	FILTER(CONTAINS(?title, "Spider-Man"))
    }
  # Return only the title of each matching entry
  BIND(MULTIPLY(1, ?title) AS ?name)
}</t>
        </is>
      </c>
      <c r="F6" t="inlineStr">
        <is>
          <t>ERROR: QueryBadFormed: A bad request has been sent to the endpoint: probably the SPARQL query is badly formed. 
Response:
b'Parse error: Encountered " "select" "SELECT "" at line 17, column 3.\n'</t>
        </is>
      </c>
      <c r="G6" t="b">
        <v>0</v>
      </c>
      <c r="H6" t="b">
        <v>0</v>
      </c>
      <c r="I6" t="b">
        <v>0</v>
      </c>
      <c r="U6" t="inlineStr">
        <is>
          <t>simple</t>
        </is>
      </c>
      <c r="V6" t="n">
        <v>1</v>
      </c>
      <c r="W6" t="n">
        <v>1</v>
      </c>
      <c r="X6" t="n">
        <v>1</v>
      </c>
      <c r="Y6" t="n">
        <v>0.5</v>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7" t="inlineStr">
        <is>
          <t>```sparql
SELECT ?competency WHERE {
  VALUES ?title { "Spider-Man" }
  # Define the competency for Spider-Man
  ?title wdt:P31 wd:Q1169;          # instance of superhero
  # Competencies related to understanding human behavior and movement patterns
  ?title wdt:P1082 rdfs:label "Human (disambiguation)".   # The ability to comprehend, learn about, or engage in actions that require physical activity or coordination.
  # Competencies related to navigation and spatial awareness
  ?title wdt:P496 rdfs:label "Navigation".    # Ability to move through space with accuracy.
  # Competencies related to decision-making under uncertainty
  ?title wdt:P1056 rdfs:label "Risk assessment".   # The ability to assess potential risks in navigation, such as environmental hazards or obstacles.
  # Competency related to communication skills
  ?title wdt:P1082 rdfs:label "Communication (disambiguation)".   # Ability to communicate intentions and navigate towards or away from certain areas.
  # Competencies related to problem-solving and planning
  ?title wdt:P1056 rdfs:label "Problem-solving".    # The ability to plan a path, avoid obstacles, and adapt navigation strategies.
  # Competency related to energy management
  ?title wdt:P1082 rdfs:label "Energy consumption (disambiguation)".   # Ability to manage energy expenditure during movement.
}
```</t>
        </is>
      </c>
      <c r="D7" t="inlineStr">
        <is>
          <t>model='granite4:latest' created_at='2025-11-26T23:03:50.971754389Z' done=True done_reason='stop' total_duration=206615744192 load_duration=916918306 prompt_eval_count=89842 prompt_eval_duration=195645844286 eval_count=317 eval_duration=9589342031 message=Message(role='assistant', content='```sparql\nSELECT ?competency WHERE {\n  VALUES ?title { "Spider-Man" }\n  \n  # Define the competency for Spider-Man\n  ?title wdt:P31 wd:Q1169;          # instance of superhero\n  \n  # Competencies related to understanding human behavior and movement patterns\n  ?title wdt:P1082 rdfs:label "Human (disambiguation)".   # The ability to comprehend, learn about, or engage in actions that require physical activity or coordination.\n\n  # Competencies related to navigation and spatial awareness\n  ?title wdt:P496 rdfs:label "Navigation".    # Ability to move through space with accuracy.\n  \n  # Competencies related to decision-making under uncertainty\n  ?title wdt:P1056 rdfs:label "Risk assessment".   # The ability to assess potential risks in navigation, such as environmental hazards or obstacles.\n\n  # Competency related to communication skills\n  ?title wdt:P1082 rdfs:label "Communication (disambiguation)".   # Ability to communicate intentions and navigate towards or away from certain areas.\n  \n  # Competencies related to problem-solving and planning\n  ?title wdt:P1056 rdfs:label "Problem-solving".    # The ability to plan a path, avoid obstacles, and adapt navigation strategies.\n\n  # Competency related to energy management\n  ?title wdt:P1082 rdfs:label "Energy consumption (disambiguation)".   # Ability to manage energy expenditure during movement.\n  \n}\n```', thinking=None, images=None, tool_calls=None)</t>
        </is>
      </c>
      <c r="E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?competency WHERE {
  VALUES ?title { "Spider-Man" }
  # Define the competency for Spider-Man
  ?title wdt:P31 wd:Q1169;          # instance of superhero
  # Competencies related to understanding human behavior and movement patterns
  ?title wdt:P1082 rdfs:label "Human (disambiguation)".   # The ability to comprehend, learn about, or engage in actions that require physical activity or coordination.
  # Competencies related to navigation and spatial awareness
  ?title wdt:P496 rdfs:label "Navigation".    # Ability to move through space with accuracy.
  # Competencies related to decision-making under uncertainty
  ?title wdt:P1056 rdfs:label "Risk assessment".   # The ability to assess potential risks in navigation, such as environmental hazards or obstacles.
  # Competency related to communication skills
  ?title wdt:P1082 rdfs:label "Communication (disambiguation)".   # Ability to communicate intentions and navigate towards or away from certain areas.
  # Competencies related to problem-solving and planning
  ?title wdt:P1056 rdfs:label "Problem-solving".    # The ability to plan a path, avoid obstacles, and adapt navigation strategies.
  # Competency related to energy management
  ?title wdt:P1082 rdfs:label "Energy consumption (disambiguation)".   # Ability to manage energy expenditure during movement.
}</t>
        </is>
      </c>
      <c r="F7" t="inlineStr">
        <is>
          <t>ERROR: QueryBadFormed: A bad request has been sent to the endpoint: probably the SPARQL query is badly formed. 
Response:
b'Parse error: Line 17, column 10: Unresolved prefixed name: wdt:P31\n'</t>
        </is>
      </c>
      <c r="G7" t="b">
        <v>0</v>
      </c>
      <c r="H7" t="b">
        <v>0</v>
      </c>
      <c r="I7" t="b">
        <v>0</v>
      </c>
      <c r="U7" t="inlineStr">
        <is>
          <t>simple</t>
        </is>
      </c>
      <c r="V7" t="n">
        <v>1</v>
      </c>
      <c r="W7" t="n">
        <v>1</v>
      </c>
      <c r="X7" t="n">
        <v>1</v>
      </c>
      <c r="Y7" t="n">
        <v>0.5</v>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is>
      </c>
      <c r="C8" t="inlineStr">
        <is>
          <t>```sparql
SELECT ?comic ?comicLabel (MAX(COALESCE(?imagesize, 200)) AS ?width) WHERE {
  VALUES ?type { "apdeath" "apnm" }
  GRAPH &lt;http://dbkwik.com/graph/comics&gt; {
    SELECT ?comic (GROUP_CONCAT(DISTINCT ?image; SEPARATOR=",") AS ?imagesize)
      WHERE {
        ?comic wdt:P31 wd:Q12345;
               OPTIONAL { ?comic wdt:P17 ?country }
               OPTIONAL { ?comic wdt:P18 ?external_link }
               OPTIONAL { ?comic wdt:P496 ?creator }
               OPTIONAL {?comic wdt:P1082 ?imagesize}
               FILTER (regex(str(?type), str(?comicLabel)))
        GRAPH &lt;http://dbkwik.com/graph/images&gt; {
          ?image wdt:P31 wd:Q12345;
                 OPTIONAL { wdtn:P17 ?country }
                 wdtn:P18 ?external_link ;
                 wdtn:P496 ?imagesize .
        }
      }
    ORDER BY DESC(?width)
  }
  SERVICE &lt;http://crosswalk-project.org/sparql&gt;
}
```</t>
        </is>
      </c>
      <c r="D8" t="inlineStr">
        <is>
          <t>model='granite4:latest' created_at='2025-11-26T23:07:16.351232705Z' done=True done_reason='stop' total_duration=204335421781 load_duration=1088756732 prompt_eval_count=89836 prompt_eval_duration=195619475390 eval_count=243 eval_duration=7204668266 message=Message(role='assistant', content='```sparql\nSELECT ?comic ?comicLabel (MAX(COALESCE(?imagesize, 200)) AS ?width) WHERE {\n  VALUES ?type { "apdeath" "apnm" }\n  \n  GRAPH &lt;http://dbkwik.com/graph/comics&gt; {\n    SELECT ?comic (GROUP_CONCAT(DISTINCT ?image; SEPARATOR=",") AS ?imagesize)\n      WHERE {\n        ?comic wdt:P31 wd:Q12345;\n               OPTIONAL { ?comic wdt:P17 ?country }\n               OPTIONAL { ?comic wdt:P18 ?external_link }\n               OPTIONAL { ?comic wdt:P496 ?creator }\n               OPTIONAL {?comic wdt:P1082 ?imagesize}\n               FILTER (regex(str(?type), str(?comicLabel)))\n        GRAPH &lt;http://dbkwik.com/graph/images&gt; {\n          ?image wdt:P31 wd:Q12345;\n                 OPTIONAL { wdtn:P17 ?country }\n                 wdtn:P18 ?external_link ;\n                 wdtn:P496 ?imagesize .\n        }\n      }\n    ORDER BY DESC(?width)\n  }\n\n  SERVICE &lt;http://crosswalk-project.org/sparql&gt;\n}\n```', thinking=None, images=None, tool_calls=None)</t>
        </is>
      </c>
      <c r="E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?comic ?comicLabel (MAX(COALESCE(?imagesize, 200)) AS ?width) WHERE {
  VALUES ?type { "apdeath" "apnm" }
  GRAPH &lt;http://dbkwik.com/graph/comics&gt; {
    SELECT ?comic (GROUP_CONCAT(DISTINCT ?image; SEPARATOR=",") AS ?imagesize)
      WHERE {
        ?comic wdt:P31 wd:Q12345;
               OPTIONAL { ?comic wdt:P17 ?country }
               OPTIONAL { ?comic wdt:P18 ?external_link }
               OPTIONAL { ?comic wdt:P496 ?creator }
               OPTIONAL {?comic wdt:P1082 ?imagesize}
               FILTER (regex(str(?type), str(?comicLabel)))
        GRAPH &lt;http://dbkwik.com/graph/images&gt; {
          ?image wdt:P31 wd:Q12345;
                 OPTIONAL { wdtn:P17 ?country }
                 wdtn:P18 ?external_link ;
                 wdtn:P496 ?imagesize .
        }
      }
    ORDER BY DESC(?width)
  }
  SERVICE &lt;http://crosswalk-project.org/sparql&gt;
}</t>
        </is>
      </c>
      <c r="F8" t="inlineStr">
        <is>
          <t>ERROR: QueryBadFormed: A bad request has been sent to the endpoint: probably the SPARQL query is badly formed. 
Response:
b'Parse error: Line 19, column 16: Unresolved prefixed name: wdt:P31\n'</t>
        </is>
      </c>
      <c r="G8" t="b">
        <v>0</v>
      </c>
      <c r="H8" t="b">
        <v>0</v>
      </c>
      <c r="I8" t="b">
        <v>0</v>
      </c>
      <c r="U8" t="inlineStr">
        <is>
          <t>simple</t>
        </is>
      </c>
      <c r="V8" t="n">
        <v>1</v>
      </c>
      <c r="W8" t="n">
        <v>1</v>
      </c>
      <c r="X8" t="n">
        <v>1</v>
      </c>
      <c r="Y8" t="n">
        <v>0.5</v>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is>
      </c>
      <c r="C9" t="inlineStr">
        <is>
          <t>```sparql
SELECT ?page ?pageLabel WHERE {
   &lt;COMPANY-SP-MARVEL&gt; skos:prefLabel ?page .
   SERVICE &lt;SERVICE-PREFIX-wikibase-label&gt;
}
```</t>
        </is>
      </c>
      <c r="D9" t="inlineStr">
        <is>
          <t>model='granite4:latest' created_at='2025-11-26T23:10:35.31680577Z' done=True done_reason='stop' total_duration=198087538126 load_duration=895411471 prompt_eval_count=89837 prompt_eval_duration=195591411876 eval_count=44 eval_duration=1295694297 message=Message(role='assistant', content='```sparql\nSELECT ?page ?pageLabel WHERE {\n   &lt;COMPANY-SP-MARVEL&gt; skos:prefLabel ?page .\n   SERVICE &lt;SERVICE-PREFIX-wikibase-label&gt;\n}\n```', thinking=None, images=None, tool_calls=None)</t>
        </is>
      </c>
      <c r="E9"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?page ?pageLabel WHERE {
   &lt;COMPANY-SP-MARVEL&gt; skos:prefLabel ?page .
   SERVICE &lt;SERVICE-PREFIX-wikibase-label&gt;
}</t>
        </is>
      </c>
      <c r="F9" t="inlineStr">
        <is>
          <t>ERROR: QueryBadFormed: A bad request has been sent to the endpoint: probably the SPARQL query is badly formed. 
Response:
b'Parse error: Encountered " "}" "} "" at line 16, column 2.\n'</t>
        </is>
      </c>
      <c r="G9" t="b">
        <v>0</v>
      </c>
      <c r="H9" t="b">
        <v>0</v>
      </c>
      <c r="I9" t="b">
        <v>0</v>
      </c>
      <c r="U9" t="inlineStr">
        <is>
          <t>simple</t>
        </is>
      </c>
      <c r="V9" t="n">
        <v>1</v>
      </c>
      <c r="W9" t="n">
        <v>1</v>
      </c>
      <c r="X9" t="n">
        <v>1</v>
      </c>
      <c r="Y9" t="n">
        <v>0.5</v>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is>
      </c>
      <c r="C10" t="inlineStr">
        <is>
          <t>```sparql
SELECT ?comic WHERE {
  ?comic rdf:type &lt;http://www.w3.org/1999/02/22-rdf-syntax-ns#triples&gt; .
  OPTIONAL { ?comic &lt;http://purl.org/dc/terms/title&gt; ?title . }
}
```</t>
        </is>
      </c>
      <c r="D10" t="inlineStr">
        <is>
          <t>model='granite4:latest' created_at='2025-11-26T23:13:55.05055442Z' done=True done_reason='stop' total_duration=198857801707 load_duration=1220752971 prompt_eval_count=89838 prompt_eval_duration=195531570831 eval_count=61 eval_duration=1800272984 message=Message(role='assistant', content='```sparql\nSELECT ?comic WHERE {\n  ?comic rdf:type &lt;http://www.w3.org/1999/02/22-rdf-syntax-ns#triples&gt; .\n  \n  OPTIONAL { ?comic &lt;http://purl.org/dc/terms/title&gt; ?title . }\n}\n```', thinking=None, images=None, tool_calls=None)</t>
        </is>
      </c>
      <c r="E10"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?comic WHERE {
  ?comic rdf:type &lt;http://www.w3.org/1999/02/22-rdf-syntax-ns#triples&gt; .
  OPTIONAL { ?comic &lt;http://purl.org/dc/terms/title&gt; ?title . }
}</t>
        </is>
      </c>
      <c r="F10" t="inlineStr">
        <is>
          <t>{
  "cq_text": "What are all the team or organization affiliations for each of the characters?",
  "syntax_ok": true,
  "satisfiable": false,
  "deterministic": true,
  "latency": {
    "p50_ms": 7.86,
    "p95_ms": 8.94,
    "mean_ms": 7.96
  },
  "rows": 0,
  "vars": 1,
  "always_unbound_vars": [
    "comic"
  ],
  "lexical_query_overlap": 0.0,
  "semantic_similarity_to_CQ": 0.65,
  "semantic_soft_coverage_to_CQ": 0.7,
  "tuple_cohesion": null,
  "variables": [
    {
      "var": "comic",
      "rows": 0,
      "distinct": 0,
      "null_rate": 1.0,
      "label_resolution_rate": 0.0,
      "diversity_entropy_norm": 0.0,
      "semantic_cohesion": 1.0,
      "dup_ratio": 0.0,
      "bound_rate": 0.0
    }
  ]
}</t>
        </is>
      </c>
      <c r="G10" t="b">
        <v>1</v>
      </c>
      <c r="H10" t="b">
        <v>0</v>
      </c>
      <c r="I10" t="b">
        <v>1</v>
      </c>
      <c r="J10" t="n">
        <v>0</v>
      </c>
      <c r="K10" t="n">
        <v>1</v>
      </c>
      <c r="L10" t="n">
        <v>7.86</v>
      </c>
      <c r="M10" t="n">
        <v>8.94</v>
      </c>
      <c r="N10" t="n">
        <v>7.96</v>
      </c>
      <c r="O10" t="n">
        <v>0</v>
      </c>
      <c r="P10" t="n">
        <v>0.65</v>
      </c>
      <c r="Q10" t="n">
        <v>0.7</v>
      </c>
      <c r="S10" t="inlineStr">
        <is>
          <t>["comic"]</t>
        </is>
      </c>
      <c r="T10" t="inlineStr">
        <is>
          <t>[{"var": "comic", "rows": 0, "distinct": 0, "null_rate": 1.0, "label_resolution_rate": 0.0, "diversity_entropy_norm": 0.0, "semantic_cohesion": 1.0, "dup_ratio": 0.0, "bound_rate": 0.0}]</t>
        </is>
      </c>
      <c r="U10" t="inlineStr">
        <is>
          <t>simple</t>
        </is>
      </c>
      <c r="V10" t="n">
        <v>1</v>
      </c>
      <c r="W10" t="n">
        <v>0</v>
      </c>
      <c r="X10" t="n">
        <v>0.5</v>
      </c>
      <c r="Y10" t="n">
        <v>0.3333333333333333</v>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is>
      </c>
      <c r="C11" t="inlineStr">
        <is>
          <t>```sparql
PREFIX dc: &lt;http://purl.org/dc/elements/1.1/&gt;
SELECT ?name ?type WHERE {
  SELECT ?type WHERE { ?x a ?type . }
  VALUES ?name {"Wolverine (film)"^^xsd:string}
  # Resolve URI references
  BIND(STRDT(?name, xsd:string) AS ?string)
  # Retrieve the main name of the resource using Dublin Core title property
  SERVICE &lt;http://sws.georss.com/resolve?url=?string&amp;key=dc:title&gt;
  # For resources with multiple names, retrieve each one by title and then by URI reference.
  SELECT DISTINCT ?name WHERE {
    ?x rdfs:label ?name .
    FILTER(REGEX(STR(?name), "^(W|w)olverine"))
    SERVICE &lt;http://sws.georss.com/resolve?url=?string&amp;key=dc:title&gt;
  }
}
```</t>
        </is>
      </c>
      <c r="D11" t="inlineStr">
        <is>
          <t>model='granite4:latest' created_at='2025-11-26T23:17:19.220988074Z' done=True done_reason='stop' total_duration=203005236973 load_duration=1210917163 prompt_eval_count=89833 prompt_eval_duration=195542209450 eval_count=197 eval_duration=5870476500 message=Message(role='assistant', content='```sparql\nPREFIX dc: &lt;http://purl.org/dc/elements/1.1/&gt;\nSELECT ?name ?type WHERE {\n  SELECT ?type WHERE { ?x a ?type . }\n  VALUES ?name {"Wolverine (film)"^^xsd:string}\n  \n  # Resolve URI references\n  BIND(STRDT(?name, xsd:string) AS ?string)\n\n  # Retrieve the main name of the resource using Dublin Core title property\n  SERVICE &lt;http://sws.georss.com/resolve?url=?string&amp;key=dc:title&gt;\n\n  # For resources with multiple names, retrieve each one by title and then by URI reference.\n  SELECT DISTINCT ?name WHERE {\n    ?x rdfs:label ?name .\n    FILTER(REGEX(STR(?name), "^(W|w)olverine"))\n    SERVICE &lt;http://sws.georss.com/resolve?url=?string&amp;key=dc:title&gt;\n  }\n}\n```', thinking=None, images=None, tool_calls=None)</t>
        </is>
      </c>
      <c r="E11" t="inlineStr">
        <is>
          <t>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dc: &lt;http://purl.org/dc/elements/1.1/&gt;
SELECT ?name ?type WHERE {
  SELECT ?type WHERE { ?x a ?type . }
  VALUES ?name {"Wolverine (film)"^^xsd:string}
  # Resolve URI references
  BIND(STRDT(?name, xsd:string) AS ?string)
  # Retrieve the main name of the resource using Dublin Core title property
  SERVICE &lt;http://sws.georss.com/resolve?url=?string&amp;key=dc:title&gt;
  # For resources with multiple names, retrieve each one by title and then by URI reference.
  SELECT DISTINCT ?name WHERE {
    ?x rdfs:label ?name .
    FILTER(REGEX(STR(?name), "^(W|w)olverine"))
    SERVICE &lt;http://sws.georss.com/resolve?url=?string&amp;key=dc:title&gt;
  }
}</t>
        </is>
      </c>
      <c r="F11" t="inlineStr">
        <is>
          <t>ERROR: QueryBadFormed: A bad request has been sent to the endpoint: probably the SPARQL query is badly formed. 
Response:
b'Parse error: Encountered " "bind" "BIND "" at line 18, column 3.\n'</t>
        </is>
      </c>
      <c r="G11" t="b">
        <v>0</v>
      </c>
      <c r="H11" t="b">
        <v>0</v>
      </c>
      <c r="I11" t="b">
        <v>0</v>
      </c>
      <c r="U11" t="inlineStr">
        <is>
          <t>simple</t>
        </is>
      </c>
      <c r="V11" t="n">
        <v>1</v>
      </c>
      <c r="W11" t="n">
        <v>1</v>
      </c>
      <c r="X11" t="n">
        <v>1</v>
      </c>
      <c r="Y11" t="n">
        <v>0.5</v>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is>
      </c>
      <c r="C12" t="inlineStr">
        <is>
          <t>```sparql
SELECT ?movie ?movieLabel WHERE {
  ?movie wdt:P31 wd:Q10847;
         # The Marvel film, so we're sure to have consistent data.
         # Use P170 for the official movie title.
         wd:P170 ?movieLabel .
  FILTER(?movieLabel IN (
    "Avengers: Infinity War","Avengers: Endgame",
    "Captain America: Civil War","Civil War",
    ))
}
```</t>
        </is>
      </c>
      <c r="D12" t="inlineStr">
        <is>
          <t>model='granite4:latest' created_at='2025-11-26T23:20:40.41919832Z' done=True done_reason='stop' total_duration=200006862838 load_duration=1225806086 prompt_eval_count=89833 prompt_eval_duration=195590654235 eval_count=97 eval_duration=2874838000 message=Message(role='assistant', content='```sparql\nSELECT ?movie ?movieLabel WHERE {\n  ?movie wdt:P31 wd:Q10847;\n         # The Marvel film, so we\'re sure to have consistent data.\n         # Use P170 for the official movie title.\n         wd:P170 ?movieLabel .\n  FILTER(?movieLabel IN (\n    "Avengers: Infinity War","Avengers: Endgame",\n    "Captain America: Civil War","Civil War",\n    ))\n}\n```', thinking=None, images=None, tool_calls=None)</t>
        </is>
      </c>
      <c r="E1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?movieLabel WHERE {
  ?movie wdt:P31 wd:Q10847;
         # The Marvel film, so we're sure to have consistent data.
         # Use P170 for the official movie title.
         wd:P170 ?movieLabel .
  FILTER(?movieLabel IN (
    "Avengers: Infinity War","Avengers: Endgame",
    "Captain America: Civil War","Civil War",
    ))
}</t>
        </is>
      </c>
      <c r="F12" t="inlineStr">
        <is>
          <t>ERROR: QueryBadFormed: A bad request has been sent to the endpoint: probably the SPARQL query is badly formed. 
Response:
b'Parse error: Line 14, column 10: Unresolved prefixed name: wdt:P31\n'</t>
        </is>
      </c>
      <c r="G12" t="b">
        <v>0</v>
      </c>
      <c r="H12" t="b">
        <v>0</v>
      </c>
      <c r="I12" t="b">
        <v>0</v>
      </c>
      <c r="U12" t="inlineStr">
        <is>
          <t>simple</t>
        </is>
      </c>
      <c r="V12" t="n">
        <v>1</v>
      </c>
      <c r="W12" t="n">
        <v>1</v>
      </c>
      <c r="X12" t="n">
        <v>1</v>
      </c>
      <c r="Y12" t="n">
        <v>0.5</v>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is>
      </c>
      <c r="C13" t="inlineStr">
        <is>
          <t>```sparql
SELECT ?title ?label WHERE {
  VALUES ?type { &lt;http://www4.w3.org/2001/XMLSchema#string&gt;
                &lt;http://dbkwik.webdatacommons.org/marvel.wikia.com/class/&gt;
                &lt;http://dbkwik.webdatacommons.org/tvhub/slider&gt; }
  ?item ?type ?label .
}
```</t>
        </is>
      </c>
      <c r="D13" t="inlineStr">
        <is>
          <t>model='granite4:latest' created_at='2025-11-26T23:24:00.921344157Z' done=True done_reason='stop' total_duration=199557862232 load_duration=1324749356 prompt_eval_count=89837 prompt_eval_duration=195595029502 eval_count=79 eval_duration=2334679995 message=Message(role='assistant', content='```sparql\nSELECT ?title ?label WHERE {\n  VALUES ?type { &lt;http://www4.w3.org/2001/XMLSchema#string&gt;\n                &lt;http://dbkwik.webdatacommons.org/marvel.wikia.com/class/&gt;\n                &lt;http://dbkwik.webdatacommons.org/tvhub/slider&gt; }\n  \n  ?item ?type ?label .\n}\n```', thinking=None, images=None, tool_calls=None)</t>
        </is>
      </c>
      <c r="E1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?title ?label WHERE {
  VALUES ?type { &lt;http://www4.w3.org/2001/XMLSchema#string&gt;
                &lt;http://dbkwik.webdatacommons.org/marvel.wikia.com/class/&gt;
                &lt;http://dbkwik.webdatacommons.org/tvhub/slider&gt; }
  ?item ?type ?label .
}</t>
        </is>
      </c>
      <c r="F13" t="inlineStr">
        <is>
          <t>{
  "cq_text": "What are all the available characters and their primary alias/real name?",
  "syntax_ok": true,
  "satisfiable": false,
  "deterministic": true,
  "latency": {
    "p50_ms": 10.33,
    "p95_ms": 11.78,
    "mean_ms": 10.09
  },
  "rows": 0,
  "vars": 2,
  "always_unbound_vars": [
    "title",
    "label"
  ],
  "lexical_query_overlap": 0.0,
  "semantic_similarity_to_CQ": 0.64,
  "semantic_soft_coverage_to_CQ": 0.7,
  "tuple_cohesion": null,
  "variables": [
    {
      "var": "title",
      "rows": 0,
      "distinct": 0,
      "null_rate": 1.0,
      "label_resolution_rate": 0.0,
      "diversity_entropy_norm": 0.0,
      "semantic_cohesion": 1.0,
      "dup_ratio": 0.0,
      "bound_rate": 0.0
    },
    {
      "var": "label",
      "rows": 0,
      "distinct": 0,
      "null_rate": 1.0,
      "label_resolution_rate": 0.0,
      "diversity_entropy_norm": 0.0,
      "semantic_cohesion": 1.0,
      "dup_ratio": 0.0,
      "bound_rate": 0.0
    }
  ]
}</t>
        </is>
      </c>
      <c r="G13" t="b">
        <v>1</v>
      </c>
      <c r="H13" t="b">
        <v>0</v>
      </c>
      <c r="I13" t="b">
        <v>1</v>
      </c>
      <c r="J13" t="n">
        <v>0</v>
      </c>
      <c r="K13" t="n">
        <v>2</v>
      </c>
      <c r="L13" t="n">
        <v>10.33</v>
      </c>
      <c r="M13" t="n">
        <v>11.78</v>
      </c>
      <c r="N13" t="n">
        <v>10.09</v>
      </c>
      <c r="O13" t="n">
        <v>0</v>
      </c>
      <c r="P13" t="n">
        <v>0.64</v>
      </c>
      <c r="Q13" t="n">
        <v>0.7</v>
      </c>
      <c r="S13" t="inlineStr">
        <is>
          <t>["title", "label"]</t>
        </is>
      </c>
      <c r="T13" t="inlineStr">
        <is>
          <t>[{"var": "title", "rows": 0, "distinct": 0, "null_rate": 1.0, "label_resolution_rate": 0.0, "diversity_entropy_norm": 0.0, "semantic_cohesion": 1.0, "dup_ratio": 0.0, "bound_rate": 0.0}, {"var": "label", "rows": 0, "distinct": 0, "null_rate": 1.0, "label_resolution_rate": 0.0, "diversity_entropy_norm": 0.0, "semantic_cohesion": 1.0, "dup_ratio": 0.0, "bound_rate": 0.0}]</t>
        </is>
      </c>
      <c r="U13" t="inlineStr">
        <is>
          <t>simple</t>
        </is>
      </c>
      <c r="V13" t="n">
        <v>1</v>
      </c>
      <c r="W13" t="n">
        <v>0</v>
      </c>
      <c r="X13" t="n">
        <v>0.5</v>
      </c>
      <c r="Y13" t="n">
        <v>0.3333333333333333</v>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is>
      </c>
      <c r="C14" t="inlineStr">
        <is>
          <t>SELECT ?title ?label (DISTINCT) WHERE {
   ?item wikibase:claims/P171 .
   FILTER( TYPE(?item, Q17092) )
   BIND(STR(JOIN(", ", VALUES(?labels))) AS ?label)
}
LIMIT 1000</t>
        </is>
      </c>
      <c r="D14" t="inlineStr">
        <is>
          <t>model='granite4:latest' created_at='2025-11-27T05:28:04.236344142Z' done=True done_reason='stop' total_duration=213728489091 load_duration=17328702065 prompt_eval_count=89842 prompt_eval_duration=194466994177 eval_count=56 eval_duration=1637848900 message=Message(role='assistant', content='SELECT ?title ?label (DISTINCT) WHERE {\n   ?item wikibase:claims/P171 .\n   FILTER( TYPE(?item, Q17092) )\n   BIND(STR(JOIN(", ", VALUES(?labels))) AS ?label)\n}\nLIMIT 1000', thinking=None, images=None, tool_calls=None)</t>
        </is>
      </c>
      <c r="E1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?title ?label (DISTINCT) WHERE {
   ?item wikibase:claims/P171 .
   FILTER( TYPE(?item, Q17092) )
   BIND(STR(JOIN(", ", VALUES(?labels))) AS ?label)
}
LIMIT 1000</t>
        </is>
      </c>
      <c r="F14" t="inlineStr">
        <is>
          <t>ERROR: QueryBadFormed: A bad request has been sent to the endpoint: probably the SPARQL query is badly formed. 
Response:
b'Parse error: Line 14, column 10: Unresolved prefixed name: wikibase:claims\n'</t>
        </is>
      </c>
      <c r="G14" t="b">
        <v>0</v>
      </c>
      <c r="H14" t="b">
        <v>0</v>
      </c>
      <c r="I14" t="b">
        <v>0</v>
      </c>
      <c r="U14" t="inlineStr">
        <is>
          <t>moderate</t>
        </is>
      </c>
      <c r="V14" t="n">
        <v>1</v>
      </c>
      <c r="W14" t="n">
        <v>1</v>
      </c>
      <c r="X14" t="n">
        <v>1</v>
      </c>
      <c r="Y14" t="n">
        <v>0.5</v>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is>
      </c>
      <c r="C15" t="inlineStr">
        <is>
          <t>```sparql
SELECT ?comic ?comicLabel WHERE {
   VALUES ?competitor { &lt;1&gt;
                       &lt;2&gt;
                       &lt;3&gt;
                       &lt;4&gt;
                       &lt;5&gt;
                       &lt;6&gt;
                       &lt;7&gt;
                       &lt;8&gt;
                       &lt;9&gt;
                       &lt;10&gt; }
  ?comic com:competitor .
  ?comicLabel skos:prefLabel ?label .
}
```</t>
        </is>
      </c>
      <c r="D15" t="inlineStr">
        <is>
          <t>model='granite4:latest' created_at='2025-11-27T05:31:24.675624972Z' done=True done_reason='stop' total_duration=199334839041 load_duration=1199746962 prompt_eval_count=89840 prompt_eval_duration=195413682177 eval_count=81 eval_duration=2401358947 message=Message(role='assistant', content='```sparql\nSELECT ?comic ?comicLabel WHERE {\n   VALUES ?competitor { &lt;1&gt;\n                       &lt;2&gt;\n                       &lt;3&gt;\n                       &lt;4&gt;\n                       &lt;5&gt;\n                       &lt;6&gt;\n                       &lt;7&gt;\n                       &lt;8&gt;\n                       &lt;9&gt;\n                       &lt;10&gt; }\n  ?comic com:competitor .\n  ?comicLabel skos:prefLabel ?label .\n}\n```', thinking=None, images=None, tool_calls=None)</t>
        </is>
      </c>
      <c r="E1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?comic ?comicLabel WHERE {
   VALUES ?competitor { &lt;1&gt;
                       &lt;2&gt;
                       &lt;3&gt;
                       &lt;4&gt;
                       &lt;5&gt;
                       &lt;6&gt;
                       &lt;7&gt;
                       &lt;8&gt;
                       &lt;9&gt;
                       &lt;10&gt; }
  ?comic com:competitor .
  ?comicLabel skos:prefLabel ?label .
}</t>
        </is>
      </c>
      <c r="F15" t="inlineStr">
        <is>
          <t>ERROR: QueryBadFormed: A bad request has been sent to the endpoint: probably the SPARQL query is badly formed. 
Response:
b'Parse error: Line 24, column 10: Unresolved prefixed name: com:competitor\n'</t>
        </is>
      </c>
      <c r="G15" t="b">
        <v>0</v>
      </c>
      <c r="H15" t="b">
        <v>0</v>
      </c>
      <c r="I15" t="b">
        <v>0</v>
      </c>
      <c r="U15" t="inlineStr">
        <is>
          <t>moderate</t>
        </is>
      </c>
      <c r="V15" t="n">
        <v>1</v>
      </c>
      <c r="W15" t="n">
        <v>1</v>
      </c>
      <c r="X15" t="n">
        <v>1</v>
      </c>
      <c r="Y15" t="n">
        <v>0.5</v>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is>
      </c>
      <c r="C16" t="inlineStr">
        <is>
          <t>```sparql
PREFIX dc: &lt;http://purl.org/dc/elements/1.1/&gt;
PREFIX dcterms: &lt;http://purl.org/dc/terms/&gt;
PREFIX foaf: &lt;http://xmlns.com/foaf/0.1/&gt;
PREFIX ns2: &lt;http://dbkwik.webdatacommons.org/marvel.wikia.com/schema/&gt;
PREFIX ns3: &lt;http://dbkwik.webdatacommons.org/marvel.wikia.com/class/&gt;
PREFIX ns4: &lt;http://marvel.wikimedia.org/page/&gt;
PREFIX skos: &lt;http://www.w3.org/2004/02/skos/core#&gt;
SELECT ?name WHERE {
  VALUES ?id {wd:Q1708 wd:Q1699 wd:Q1700 wd:Q1702 }
  ?character ns2:mainPage ?id .
  ?character dc:title ?title ;
             skos:narrower ?narrower .
  ?narrower ns2:thumbnail ?pic .
  FILTER (isAncestor(ns4:Marvel Comics, ?character))
  BIND(REPLACE(STR(?title), "Spider-Man", "Spider-Man") AS ?name)
}
```</t>
        </is>
      </c>
      <c r="D16" t="inlineStr">
        <is>
          <t>model='granite4:latest' created_at='2025-11-27T05:34:49.496534491Z' done=True done_reason='stop' total_duration=204220451325 load_duration=955283561 prompt_eval_count=89849 prompt_eval_duration=195615002537 eval_count=243 eval_duration=7236562964 message=Message(role='assistant', content='```sparql\nPREFIX dc: &lt;http://purl.org/dc/elements/1.1/&gt;\nPREFIX dcterms: &lt;http://purl.org/dc/terms/&gt;\nPREFIX foaf: &lt;http://xmlns.com/foaf/0.1/&gt;\nPREFIX ns2: &lt;http://dbkwik.webdatacommons.org/marvel.wikia.com/schema/&gt;\nPREFIX ns3: &lt;http://dbkwik.webdatacommons.org/marvel.wikia.com/class/&gt;\nPREFIX ns4: &lt;http://marvel.wikimedia.org/page/&gt;\nPREFIX skos: &lt;http://www.w3.org/2004/02/skos/core#&gt;\nSELECT ?name WHERE {\n  VALUES ?id {wd:Q1708 wd:Q1699 wd:Q1700 wd:Q1702 }\n  ?character ns2:mainPage ?id .\n  ?character dc:title ?title ;\n             skos:narrower ?narrower .\n  ?narrower ns2:thumbnail ?pic .\n  FILTER (isAncestor(ns4:Marvel Comics, ?character))\n  BIND(REPLACE(STR(?title), "Spider-Man", "Spider-Man") AS ?name)\n}\n```', thinking=None, images=None, tool_calls=None)</t>
        </is>
      </c>
      <c r="E16" t="inlineStr">
        <is>
          <t>PREFIX ns1: &lt;http://dbkwik.webdatacommons.org/marvel.wikia.com/property/&gt;
PREFIX ns7: &lt;http://dbkwik.webdatacommons.org/marvel.wikia.com/property/alternate232%60&gt;
PREFIX owl: &lt;http://www.w3.org/2002/07/owl#&gt;
PREFIX rdf: &lt;http://www.w3.org/1999/02/22-rdf-syntax-ns#&gt;
PREFIX rdfs: &lt;http://www.w3.org/2000/01/rdf-schema#&gt;
PREFIX xsd: &lt;http://www.w3.org/2001/XMLSchema#&gt;
PREFIX dc: &lt;http://purl.org/dc/elements/1.1/&gt;
PREFIX dcterms: &lt;http://purl.org/dc/terms/&gt;
PREFIX foaf: &lt;http://xmlns.com/foaf/0.1/&gt;
PREFIX ns2: &lt;http://dbkwik.webdatacommons.org/marvel.wikia.com/schema/&gt;
PREFIX ns3: &lt;http://dbkwik.webdatacommons.org/marvel.wikia.com/class/&gt;
PREFIX ns4: &lt;http://marvel.wikimedia.org/page/&gt;
PREFIX skos: &lt;http://www.w3.org/2004/02/skos/core#&gt;
SELECT ?name WHERE {
  VALUES ?id {wd:Q1708 wd:Q1699 wd:Q1700 wd:Q1702 }
  ?character ns2:mainPage ?id .
  ?character dc:title ?title ;
             skos:narrower ?narrower .
  ?narrower ns2:thumbnail ?pic .
  FILTER (isAncestor(ns4:Marvel Comics, ?character))
  BIND(REPLACE(STR(?title), "Spider-Man", "Spider-Man") AS ?name)
}</t>
        </is>
      </c>
      <c r="F16" t="inlineStr">
        <is>
          <t>ERROR: QueryBadFormed: A bad request has been sent to the endpoint: probably the SPARQL query is badly formed. 
Response:
b'Parse error: Line 15, column 15: Unresolved prefixed name: wd:Q1708\n'</t>
        </is>
      </c>
      <c r="G16" t="b">
        <v>0</v>
      </c>
      <c r="H16" t="b">
        <v>0</v>
      </c>
      <c r="I16" t="b">
        <v>0</v>
      </c>
      <c r="U16" t="inlineStr">
        <is>
          <t>moderate</t>
        </is>
      </c>
      <c r="V16" t="n">
        <v>1</v>
      </c>
      <c r="W16" t="n">
        <v>1</v>
      </c>
      <c r="X16" t="n">
        <v>1</v>
      </c>
      <c r="Y16" t="n">
        <v>0.5</v>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is>
      </c>
      <c r="C17" t="inlineStr">
        <is>
          <t>```sparql
SELECT ?title ?desc WHERE {
  &lt;Marvel&gt; skos:prefLabel ?title .
  ?entry schema:description ?desc .
}
```</t>
        </is>
      </c>
      <c r="D17" t="inlineStr">
        <is>
          <t>model='granite4:latest' created_at='2025-11-27T05:38:07.820872439Z' done=True done_reason='stop' total_duration=197957491457 load_duration=1013940291 prompt_eval_count=89848 prompt_eval_duration=195664426607 eval_count=34 eval_duration=989216094 message=Message(role='assistant', content='```sparql\nSELECT ?title ?desc WHERE {\n  &lt;Marvel&gt; skos:prefLabel ?title .\n  ?entry schema:description ?desc .\n}\n```', thinking=None, images=None, tool_calls=None)</t>
        </is>
      </c>
      <c r="E1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?title ?desc WHERE {
  &lt;Marvel&gt; skos:prefLabel ?title .
  ?entry schema:description ?desc .
}</t>
        </is>
      </c>
      <c r="F17" t="inlineStr">
        <is>
          <t>ERROR: QueryBadFormed: A bad request has been sent to the endpoint: probably the SPARQL query is badly formed. 
Response:
b'Parse error: Line 15, column 10: Unresolved prefixed name: schema:description\n'</t>
        </is>
      </c>
      <c r="G17" t="b">
        <v>0</v>
      </c>
      <c r="H17" t="b">
        <v>0</v>
      </c>
      <c r="I17" t="b">
        <v>0</v>
      </c>
      <c r="U17" t="inlineStr">
        <is>
          <t>moderate</t>
        </is>
      </c>
      <c r="V17" t="n">
        <v>1</v>
      </c>
      <c r="W17" t="n">
        <v>1</v>
      </c>
      <c r="X17" t="n">
        <v>1</v>
      </c>
      <c r="Y17" t="n">
        <v>0.5</v>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is>
      </c>
      <c r="C18" t="inlineStr">
        <is>
          <t>```sparql
SELECT ?comic WHERE {
  SERVICE wikibase:subject ?comic .
  wd:Q1309 ?comic .
}
```</t>
        </is>
      </c>
      <c r="D18" t="inlineStr">
        <is>
          <t>model='granite4:latest' created_at='2025-11-27T05:41:26.630732901Z' done=True done_reason='stop' total_duration=197910369866 load_duration=1157052437 prompt_eval_count=89845 prompt_eval_duration=195594599473 eval_count=30 eval_duration=873739570 message=Message(role='assistant', content='```sparql\nSELECT ?comic WHERE {\n  SERVICE wikibase:subject ?comic .\n  wd:Q1309 ?comic .\n}\n```', thinking=None, images=None, tool_calls=None)</t>
        </is>
      </c>
      <c r="E1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?comic WHERE {
  SERVICE wikibase:subject ?comic .
  wd:Q1309 ?comic .
}</t>
        </is>
      </c>
      <c r="F18" t="inlineStr">
        <is>
          <t>ERROR: QueryBadFormed: A bad request has been sent to the endpoint: probably the SPARQL query is badly formed. 
Response:
b'Parse error: Line 14, column 11: Unresolved prefixed name: wikibase:subject\n'</t>
        </is>
      </c>
      <c r="G18" t="b">
        <v>0</v>
      </c>
      <c r="H18" t="b">
        <v>0</v>
      </c>
      <c r="I18" t="b">
        <v>0</v>
      </c>
      <c r="U18" t="inlineStr">
        <is>
          <t>moderate</t>
        </is>
      </c>
      <c r="V18" t="n">
        <v>1</v>
      </c>
      <c r="W18" t="n">
        <v>1</v>
      </c>
      <c r="X18" t="n">
        <v>1</v>
      </c>
      <c r="Y18" t="n">
        <v>0.5</v>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19" t="inlineStr">
        <is>
          <t>```sparql
PREFIX dc: &lt;http://purl.org/dc/elements/1.1/&gt;
PREFIX dcterms: &lt;http://purl.org/dc/terms/&gt;
PREFIX foaf: &lt;http://xmlns.com/foaf/0.1/&gt;
PREFIX ns2: &lt;http://dbkwik.webdatacommons.org/marvel.wikia.com/resource/&gt; 
PREFIX ns3: &lt;http://dbkwik.webdatacommons.org/marvel.wikia.com/class/&gt; 
SELECT ?label
WHERE {
  VALUES ?id {
    &lt;https://dbkwik.webdatacommons.org/marvel.wikia.com/resource/$_Cult_(Earth-616)&gt;
    &lt;https://dbkwik.webdatacommons.org/marvel.wikia.com/resource/B%27Tumba_(Earth-616)&gt; 
    &lt;https://dbkwik.webdatacommons.org/marvel.wikia.com/resource/Limbo_(Otherplace)&gt;  
  }
  ?resource a ns3:* ;
            rdfs:label ?label .
}
```</t>
        </is>
      </c>
      <c r="D19" t="inlineStr">
        <is>
          <t>model='granite4:latest' created_at='2025-11-27T05:44:50.239193252Z' done=True done_reason='stop' total_duration=202774856047 load_duration=531479171 prompt_eval_count=89838 prompt_eval_duration=195560525306 eval_count=212 eval_duration=6280086374 message=Message(role='assistant', content='```sparql\nPREFIX dc: &lt;http://purl.org/dc/elements/1.1/&gt;\nPREFIX dcterms: &lt;http://purl.org/dc/terms/&gt;\nPREFIX foaf: &lt;http://xmlns.com/foaf/0.1/&gt;\nPREFIX ns2: &lt;http://dbkwik.webdatacommons.org/marvel.wikia.com/resource/&gt; \nPREFIX ns3: &lt;http://dbkwik.webdatacommons.org/marvel.wikia.com/class/&gt; \n\nSELECT ?label\nWHERE {\n  VALUES ?id {\n    &lt;https://dbkwik.webdatacommons.org/marvel.wikia.com/resource/$_Cult_(Earth-616)&gt;\n    &lt;https://dbkwik.webdatacommons.org/marvel.wikia.com/resource/B%27Tumba_(Earth-616)&gt; \n    &lt;https://dbkwik.webdatacommons.org/marvel.wikia.com/resource/Limbo_(Otherplace)&gt;  \n  }\n  ?resource a ns3:* ;\n            rdfs:label ?label .\n}\n```', thinking=None, images=None, tool_calls=None)</t>
        </is>
      </c>
      <c r="E19" t="inlineStr">
        <is>
          <t>PREFIX ns1: &lt;http://dbkwik.webdatacommons.org/marvel.wikia.com/property/&gt;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ns2: &lt;http://dbkwik.webdatacommons.org/marvel.wikia.com/resource/&gt; 
PREFIX ns3: &lt;http://dbkwik.webdatacommons.org/marvel.wikia.com/class/&gt; 
SELECT ?label
WHERE {
  VALUES ?id {
    &lt;https://dbkwik.webdatacommons.org/marvel.wikia.com/resource/$_Cult_(Earth-616)&gt;
    &lt;https://dbkwik.webdatacommons.org/marvel.wikia.com/resource/B%27Tumba_(Earth-616)&gt; 
    &lt;https://dbkwik.webdatacommons.org/marvel.wikia.com/resource/Limbo_(Otherplace)&gt;  
  }
  ?resource a ns3:* ;
            rdfs:label ?label .
}</t>
        </is>
      </c>
      <c r="F19" t="inlineStr">
        <is>
          <t>ERROR: QueryBadFormed: A bad request has been sent to the endpoint: probably the SPARQL query is badly formed. 
Response:
b'Parse error: Encountered " "*" "* "" at line 19, column 19.\n'</t>
        </is>
      </c>
      <c r="G19" t="b">
        <v>0</v>
      </c>
      <c r="H19" t="b">
        <v>0</v>
      </c>
      <c r="I19" t="b">
        <v>0</v>
      </c>
      <c r="U19" t="inlineStr">
        <is>
          <t>moderate</t>
        </is>
      </c>
      <c r="V19" t="n">
        <v>1</v>
      </c>
      <c r="W19" t="n">
        <v>1</v>
      </c>
      <c r="X19" t="n">
        <v>1</v>
      </c>
      <c r="Y19" t="n">
        <v>0.5</v>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is>
      </c>
      <c r="C20" t="inlineStr">
        <is>
          <t>```sparql
SELECT ?title WHERE {
  ?title rdfs:label ?titleLabel .
  OPTIONAL { ?title dc:rights ?rights . }
}
```</t>
        </is>
      </c>
      <c r="D20" t="inlineStr">
        <is>
          <t>model='granite4:latest' created_at='2025-11-27T05:48:09.624620905Z' done=True done_reason='stop' total_duration=198113850253 load_duration=1201021711 prompt_eval_count=89843 prompt_eval_duration=195616026485 eval_count=35 eval_duration=1017682056 message=Message(role='assistant', content='```sparql\nSELECT ?title WHERE {\n  ?title rdfs:label ?titleLabel .\n  OPTIONAL { ?title dc:rights ?rights . }\n}\n```', thinking=None, images=None, tool_calls=None)</t>
        </is>
      </c>
      <c r="E20"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?title WHERE {
  ?title rdfs:label ?titleLabel .
  OPTIONAL { ?title dc:rights ?rights . }
}</t>
        </is>
      </c>
      <c r="F20" t="inlineStr">
        <is>
          <t>ERROR: Unable to allocate 848. GiB for an array with shape (476976, 476976) and data type float32</t>
        </is>
      </c>
      <c r="G20" t="b">
        <v>0</v>
      </c>
      <c r="H20" t="b">
        <v>0</v>
      </c>
      <c r="I20" t="b">
        <v>0</v>
      </c>
      <c r="U20" t="inlineStr">
        <is>
          <t>moderate</t>
        </is>
      </c>
      <c r="V20" t="n">
        <v>1</v>
      </c>
      <c r="W20" t="n">
        <v>1</v>
      </c>
      <c r="X20" t="n">
        <v>1</v>
      </c>
      <c r="Y20" t="n">
        <v>0.5</v>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is>
      </c>
      <c r="C21" t="inlineStr">
        <is>
          <t>SELECT ?title ?title (str) {
   SELECT DISTINCT ?class ?class (str) WHERE {
     VALUES (?obj) { &lt;http://dbkwik.webdatacommons.org/marvel.wikia.com/resource/A%27Lars_(Earth-616)&gt; }
     ?obj a ?class .
   }
 }
SELECT ?title ?title (str) {
   SELECT DISTINCT ?class ?class (str) WHERE {
     VALUES (?obj) { &lt;http://dbkwik.webdatacommons.org/marvel.wikia.com/resource/Amazing_Spider-Man_Vol_1_248&gt; }
     ?obj a ?class .
   }
 }</t>
        </is>
      </c>
      <c r="D21" t="inlineStr">
        <is>
          <t>model='granite4:latest' created_at='2025-11-27T05:51:31.181604279Z' done=True done_reason='stop' total_duration=200726624499 load_duration=762340356 prompt_eval_count=89845 prompt_eval_duration=195651302163 eval_count=134 eval_duration=3964238847 message=Message(role='assistant', content='SELECT ?title ?title (str) {\n   SELECT DISTINCT ?class ?class (str) WHERE {\n     VALUES (?obj) { &lt;http://dbkwik.webdatacommons.org/marvel.wikia.com/resource/A%27Lars_(Earth-616)&gt; }\n     ?obj a ?class .\n   }\n }\nSELECT ?title ?title (str) {\n   SELECT DISTINCT ?class ?class (str) WHERE {\n     VALUES (?obj) { &lt;http://dbkwik.webdatacommons.org/marvel.wikia.com/resource/Amazing_Spider-Man_Vol_1_248&gt; }\n     ?obj a ?class .\n   }\n }', thinking=None, images=None, tool_calls=None)</t>
        </is>
      </c>
      <c r="E21"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?title ?title (str) {
   SELECT DISTINCT ?class ?class (str) WHERE {
     VALUES (?obj) { &lt;http://dbkwik.webdatacommons.org/marvel.wikia.com/resource/A%27Lars_(Earth-616)&gt; }
     ?obj a ?class .
   }
 }
SELECT ?title ?title (str) {
   SELECT DISTINCT ?class ?class (str) WHERE {
     VALUES (?obj) { &lt;http://dbkwik.webdatacommons.org/marvel.wikia.com/resource/Amazing_Spider-Man_Vol_1_248&gt; }
     ?obj a ?class .
   }
 }</t>
        </is>
      </c>
      <c r="F21" t="inlineStr">
        <is>
          <t>ERROR: QueryBadFormed: A bad request has been sent to the endpoint: probably the SPARQL query is badly formed. 
Response:
b'Parse error: Encountered " ")" ") "" at line 14, column 38.\n'</t>
        </is>
      </c>
      <c r="G21" t="b">
        <v>0</v>
      </c>
      <c r="H21" t="b">
        <v>0</v>
      </c>
      <c r="I21" t="b">
        <v>0</v>
      </c>
      <c r="U21" t="inlineStr">
        <is>
          <t>moderate</t>
        </is>
      </c>
      <c r="V21" t="n">
        <v>1</v>
      </c>
      <c r="W21" t="n">
        <v>1</v>
      </c>
      <c r="X21" t="n">
        <v>1</v>
      </c>
      <c r="Y21" t="n">
        <v>0.5</v>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22" t="inlineStr">
        <is>
          <t>SELECT ?name ?class ?link WHERE {
  {?source (rdf:type|owl:onProperty) wd:Q20697 ?class . }
  UNION { ?source (rdfs:label|skos:prefLabel) ?name . }
  ?source wikibase:claim/P1110 ?link .
  FILTER(?link IN ("D","A","L")) .
} ORDER BY ?class ?name</t>
        </is>
      </c>
      <c r="D22" t="inlineStr">
        <is>
          <t>model='granite4:latest' created_at='2025-11-27T05:54:50.804052088Z' done=True done_reason='stop' total_duration=199268246679 load_duration=864591964 prompt_eval_count=89836 prompt_eval_duration=195607797163 eval_count=84 eval_duration=2480029247 message=Message(role='assistant', content='SELECT ?name ?class ?link WHERE {\n  {?source (rdf:type|owl:onProperty) wd:Q20697 ?class . }\n  UNION { ?source (rdfs:label|skos:prefLabel) ?name . }\n  ?source wikibase:claim/P1110 ?link .\n  FILTER(?link IN ("D","A","L")) .\n} ORDER BY ?class ?name', thinking=None, images=None, tool_calls=None)</t>
        </is>
      </c>
      <c r="E2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?name ?class ?link WHERE {
  {?source (rdf:type|owl:onProperty) wd:Q20697 ?class . }
  UNION { ?source (rdfs:label|skos:prefLabel) ?name . }
  ?source wikibase:claim/P1110 ?link .
  FILTER(?link IN ("D","A","L")) .
} ORDER BY ?class ?name</t>
        </is>
      </c>
      <c r="F22" t="inlineStr">
        <is>
          <t>ERROR: QueryBadFormed: A bad request has been sent to the endpoint: probably the SPARQL query is badly formed. 
Response:
b'Parse error: Line 14, column 38: Unresolved prefixed name: wd:Q20697\n'</t>
        </is>
      </c>
      <c r="G22" t="b">
        <v>0</v>
      </c>
      <c r="H22" t="b">
        <v>0</v>
      </c>
      <c r="I22" t="b">
        <v>0</v>
      </c>
      <c r="U22" t="inlineStr">
        <is>
          <t>moderate</t>
        </is>
      </c>
      <c r="V22" t="n">
        <v>1</v>
      </c>
      <c r="W22" t="n">
        <v>1</v>
      </c>
      <c r="X22" t="n">
        <v>1</v>
      </c>
      <c r="Y22" t="n">
        <v>0.5</v>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is>
      </c>
      <c r="C23" t="inlineStr">
        <is>
          <t>```sparql
SELECT ?comic WHERE {
  VALUES ?title { "Amazing Spider-Man" }
  # Define the query to retrieve comics where the title is 'Amazing Spider-Man'
  ?comic a &lt;http://dbkwik.org/resource/Comics#Marvel_Comics&gt; ;
         &lt;http://dbkwik.org/service/rest/api/dc/dc#title&gt; ?title .
}
```</t>
        </is>
      </c>
      <c r="D23" t="inlineStr">
        <is>
          <t>model='granite4:latest' created_at='2025-11-27T05:58:11.543295421Z' done=True done_reason='stop' total_duration=199452921182 load_duration=1177833447 prompt_eval_count=89840 prompt_eval_duration=195564802292 eval_count=81 eval_duration=2389414263 message=Message(role='assistant', content='```sparql\nSELECT ?comic WHERE {\n  VALUES ?title { "Amazing Spider-Man" }\n  \n  # Define the query to retrieve comics where the title is \'Amazing Spider-Man\'\n  ?comic a &lt;http://dbkwik.org/resource/Comics#Marvel_Comics&gt; ;\n         &lt;http://dbkwik.org/service/rest/api/dc/dc#title&gt; ?title .\n}\n```', thinking=None, images=None, tool_calls=None)</t>
        </is>
      </c>
      <c r="E2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?comic WHERE {
  VALUES ?title { "Amazing Spider-Man" }
  # Define the query to retrieve comics where the title is 'Amazing Spider-Man'
  ?comic a &lt;http://dbkwik.org/resource/Comics#Marvel_Comics&gt; ;
         &lt;http://dbkwik.org/service/rest/api/dc/dc#title&gt; ?title .
}</t>
        </is>
      </c>
      <c r="F23" t="inlineStr">
        <is>
          <t>{
  "cq_text": "What are all the available distinct powers and the set of characters associated with each power?",
  "syntax_ok": true,
  "satisfiable": false,
  "deterministic": true,
  "latency": {
    "p50_ms": 7.61,
    "p95_ms": 7.9,
    "mean_ms": 7.14
  },
  "rows": 0,
  "vars": 1,
  "always_unbound_vars": [
    "comic"
  ],
  "lexical_query_overlap": 0.03,
  "semantic_similarity_to_CQ": 0.61,
  "semantic_soft_coverage_to_CQ": 0.75,
  "tuple_cohesion": null,
  "variables": [
    {
      "var": "comic",
      "rows": 0,
      "distinct": 0,
      "null_rate": 1.0,
      "label_resolution_rate": 0.0,
      "diversity_entropy_norm": 0.0,
      "semantic_cohesion": 1.0,
      "dup_ratio": 0.0,
      "bound_rate": 0.0
    }
  ]
}</t>
        </is>
      </c>
      <c r="G23" t="b">
        <v>1</v>
      </c>
      <c r="H23" t="b">
        <v>0</v>
      </c>
      <c r="I23" t="b">
        <v>1</v>
      </c>
      <c r="J23" t="n">
        <v>0</v>
      </c>
      <c r="K23" t="n">
        <v>1</v>
      </c>
      <c r="L23" t="n">
        <v>7.61</v>
      </c>
      <c r="M23" t="n">
        <v>7.9</v>
      </c>
      <c r="N23" t="n">
        <v>7.14</v>
      </c>
      <c r="O23" t="n">
        <v>0.03</v>
      </c>
      <c r="P23" t="n">
        <v>0.61</v>
      </c>
      <c r="Q23" t="n">
        <v>0.75</v>
      </c>
      <c r="S23" t="inlineStr">
        <is>
          <t>["comic"]</t>
        </is>
      </c>
      <c r="T23" t="inlineStr">
        <is>
          <t>[{"var": "comic", "rows": 0, "distinct": 0, "null_rate": 1.0, "label_resolution_rate": 0.0, "diversity_entropy_norm": 0.0, "semantic_cohesion": 1.0, "dup_ratio": 0.0, "bound_rate": 0.0}]</t>
        </is>
      </c>
      <c r="U23" t="inlineStr">
        <is>
          <t>moderate</t>
        </is>
      </c>
      <c r="V23" t="n">
        <v>1</v>
      </c>
      <c r="W23" t="n">
        <v>0</v>
      </c>
      <c r="X23" t="n">
        <v>0.5</v>
      </c>
      <c r="Y23" t="n">
        <v>0.3333333333333333</v>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24" t="inlineStr">
        <is>
          <t>```sparql
SELECT ?comic ?comicLabel WHERE {
  VALUES ?type { "adaptation" }
  ?comic dcterms:type ?type .
  SERVICE wikibase:label  bd:serviceParams {"language":"en"}
}
```</t>
        </is>
      </c>
      <c r="D24" t="inlineStr">
        <is>
          <t>model='granite4:latest' created_at='2025-11-27T06:01:30.94165563Z' done=True done_reason='stop' total_duration=198563377456 load_duration=1174857814 prompt_eval_count=89840 prompt_eval_duration=195566438815 eval_count=52 eval_duration=1518404493 message=Message(role='assistant', content='```sparql\nSELECT ?comic ?comicLabel WHERE {\n  VALUES ?type { "adaptation" }\n  ?comic dcterms:type ?type .\n  SERVICE wikibase:label  bd:serviceParams {"language":"en"}\n}\n```', thinking=None, images=None, tool_calls=None)</t>
        </is>
      </c>
      <c r="E2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?comic ?comicLabel WHERE {
  VALUES ?type { "adaptation" }
  ?comic dcterms:type ?type .
  SERVICE wikibase:label  bd:serviceParams {"language":"en"}
}</t>
        </is>
      </c>
      <c r="F24" t="inlineStr">
        <is>
          <t>ERROR: QueryBadFormed: A bad request has been sent to the endpoint: probably the SPARQL query is badly formed. 
Response:
b'Parse error: Line 16, column 11: Unresolved prefixed name: wikibase:label\n'</t>
        </is>
      </c>
      <c r="G24" t="b">
        <v>0</v>
      </c>
      <c r="H24" t="b">
        <v>0</v>
      </c>
      <c r="I24" t="b">
        <v>0</v>
      </c>
      <c r="U24" t="inlineStr">
        <is>
          <t>moderate</t>
        </is>
      </c>
      <c r="V24" t="n">
        <v>1</v>
      </c>
      <c r="W24" t="n">
        <v>1</v>
      </c>
      <c r="X24" t="n">
        <v>1</v>
      </c>
      <c r="Y24" t="n">
        <v>0.5</v>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is>
      </c>
      <c r="C25" t="inlineStr">
        <is>
          <t>```sparql
SELECT ?char ?name WHERE {
  ?char a s:Character .
  ?char dcterms:title ?name .
}
```</t>
        </is>
      </c>
      <c r="D25" t="inlineStr">
        <is>
          <t>model='granite4:latest' created_at='2025-11-27T06:04:50.049344791Z' done=True done_reason='stop' total_duration=198115507833 load_duration=1258736497 prompt_eval_count=89836 prompt_eval_duration=195648660208 eval_count=32 eval_duration=930616010 message=Message(role='assistant', content='```sparql\nSELECT ?char ?name WHERE {\n  ?char a s:Character .\n  ?char dcterms:title ?name .\n}\n```', thinking=None, images=None, tool_calls=None)</t>
        </is>
      </c>
      <c r="E2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 ?name WHERE {
  ?char a s:Character .
  ?char dcterms:title ?name .
}</t>
        </is>
      </c>
      <c r="F25" t="inlineStr">
        <is>
          <t>ERROR: QueryBadFormed: A bad request has been sent to the endpoint: probably the SPARQL query is badly formed. 
Response:
b'Parse error: Line 14, column 11: Unresolved prefixed name: s:Character\n'</t>
        </is>
      </c>
      <c r="G25" t="b">
        <v>0</v>
      </c>
      <c r="H25" t="b">
        <v>0</v>
      </c>
      <c r="I25" t="b">
        <v>0</v>
      </c>
      <c r="U25" t="inlineStr">
        <is>
          <t>complex</t>
        </is>
      </c>
      <c r="V25" t="n">
        <v>1</v>
      </c>
      <c r="W25" t="n">
        <v>1</v>
      </c>
      <c r="X25" t="n">
        <v>1</v>
      </c>
      <c r="Y25" t="n">
        <v>0.5</v>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is>
      </c>
      <c r="C26" t="inlineStr">
        <is>
          <t>SELECT ?title ?text WHERE {
  ?title P31/wd/ql/title wd:Q1231 .
  ?title P170 ?value.
  BIND (GROUP_CONCAT(?value;SEPARATOR="; ") AS ?text)
}</t>
        </is>
      </c>
      <c r="D26" t="inlineStr">
        <is>
          <t>model='granite4:latest' created_at='2025-11-27T06:08:08.822288966Z' done=True done_reason='stop' total_duration=198224835325 load_duration=773667214 prompt_eval_count=89844 prompt_eval_duration=195663551999 eval_count=51 eval_duration=1491598071 message=Message(role='assistant', content='SELECT ?title ?text WHERE {\n  ?title P31/wd/ql/title wd:Q1231 .\n  ?title P170 ?value.\n  BIND (GROUP_CONCAT(?value;SEPARATOR="; ") AS ?text)\n}', thinking=None, images=None, tool_calls=None)</t>
        </is>
      </c>
      <c r="E26"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?title ?text WHERE {
  ?title P31/wd/ql/title wd:Q1231 .
  ?title P170 ?value.
  BIND (GROUP_CONCAT(?value;SEPARATOR="; ") AS ?text)
}</t>
        </is>
      </c>
      <c r="F26" t="inlineStr">
        <is>
          <t>ERROR: QueryBadFormed: A bad request has been sent to the endpoint: probably the SPARQL query is badly formed. 
Response:
b'Parse error: Lexical error at line 14, column 13.  Encountered: \'47\' (47), after prefix "P31"\n'</t>
        </is>
      </c>
      <c r="G26" t="b">
        <v>0</v>
      </c>
      <c r="H26" t="b">
        <v>0</v>
      </c>
      <c r="I26" t="b">
        <v>0</v>
      </c>
      <c r="U26" t="inlineStr">
        <is>
          <t>complex</t>
        </is>
      </c>
      <c r="V26" t="n">
        <v>1</v>
      </c>
      <c r="W26" t="n">
        <v>1</v>
      </c>
      <c r="X26" t="n">
        <v>1</v>
      </c>
      <c r="Y26" t="n">
        <v>0.5</v>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is>
      </c>
      <c r="C27" t="inlineStr">
        <is>
          <t>```sparql
SELECT ?comics ?comicsLabel WHERE {
  VALUES ?comic { 
    &lt;Marvel_Atoms_Vol_1&gt;
    &lt;Marvel_Attack_of_the_Clones_2&gt;
    &lt;Marvel_Attack_of_the_Clones_3&gt;
    &lt;Marvel_Bloodlines_1&gt;
    &lt;Marvel_Daredevil_Crimson_Viper_Volume_1&gt;
    &lt;Marvel_Echoes_of_Storytelling_and_Fantasy_Origins_Vol_1&gt; 
    &lt;Marvel_Heroes_of_the_Tower_of_Aztecs_Vol_1&gt; 
    &lt;Marvel_Hyperion_and_the_Universe_Above_Vol_1&gt; 
    &lt;Marvel_Kids_Can_Save_the_World_Vol_1&gt;
    &lt;Marvel_Magician_Ghost_Empire_Vol_1&gt;
    &lt;Marvel_Powers_and_Geographies_Vol_2&gt;
    &lt;Marvel_The_Mysteries_of_Improbable_Matters&gt;
  }
  ?comic dc:title ?comics .
  OPTIONAL {
    ?comic dcterms:alternative ?comicsLabel .
  }
}
```</t>
        </is>
      </c>
      <c r="D27" t="inlineStr">
        <is>
          <t>model='granite4:latest' created_at='2025-11-27T06:11:34.733184102Z' done=True done_reason='stop' total_duration=204499776137 load_duration=1487407557 prompt_eval_count=89848 prompt_eval_duration=195621080743 eval_count=235 eval_duration=6972427547 message=Message(role='assistant', content='```sparql\nSELECT ?comics ?comicsLabel WHERE {\n  VALUES ?comic { \n    &lt;Marvel_Atoms_Vol_1&gt;\n    &lt;Marvel_Attack_of_the_Clones_2&gt;\n    &lt;Marvel_Attack_of_the_Clones_3&gt;\n    &lt;Marvel_Bloodlines_1&gt;\n    &lt;Marvel_Daredevil_Crimson_Viper_Volume_1&gt;\n    &lt;Marvel_Echoes_of_Storytelling_and_Fantasy_Origins_Vol_1&gt; \n    &lt;Marvel_Heroes_of_the_Tower_of_Aztecs_Vol_1&gt; \n    &lt;Marvel_Hyperion_and_the_Universe_Above_Vol_1&gt; \n    &lt;Marvel_Kids_Can_Save_the_World_Vol_1&gt;\n    &lt;Marvel_Magician_Ghost_Empire_Vol_1&gt;\n    &lt;Marvel_Powers_and_Geographies_Vol_2&gt;\n    &lt;Marvel_The_Mysteries_of_Improbable_Matters&gt;\n  }\n  \n  ?comic dc:title ?comics .\n  OPTIONAL {\n    ?comic dcterms:alternative ?comicsLabel .\n  }\n}\n```', thinking=None, images=None, tool_calls=None)</t>
        </is>
      </c>
      <c r="E2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?comics ?comicsLabel WHERE {
  VALUES ?comic { 
    &lt;Marvel_Atoms_Vol_1&gt;
    &lt;Marvel_Attack_of_the_Clones_2&gt;
    &lt;Marvel_Attack_of_the_Clones_3&gt;
    &lt;Marvel_Bloodlines_1&gt;
    &lt;Marvel_Daredevil_Crimson_Viper_Volume_1&gt;
    &lt;Marvel_Echoes_of_Storytelling_and_Fantasy_Origins_Vol_1&gt; 
    &lt;Marvel_Heroes_of_the_Tower_of_Aztecs_Vol_1&gt; 
    &lt;Marvel_Hyperion_and_the_Universe_Above_Vol_1&gt; 
    &lt;Marvel_Kids_Can_Save_the_World_Vol_1&gt;
    &lt;Marvel_Magician_Ghost_Empire_Vol_1&gt;
    &lt;Marvel_Powers_and_Geographies_Vol_2&gt;
    &lt;Marvel_The_Mysteries_of_Improbable_Matters&gt;
  }
  ?comic dc:title ?comics .
  OPTIONAL {
    ?comic dcterms:alternative ?comicsLabel .
  }
}</t>
        </is>
      </c>
      <c r="F27" t="inlineStr">
        <is>
          <t>{
  "cq_text": "What are all the unions of movies for each of the teams in which any of their members appear (team-level filmography)?",
  "syntax_ok": true,
  "satisfiable": false,
  "deterministic": true,
  "latency": {
    "p50_ms": 9.32,
    "p95_ms": 9.33,
    "mean_ms": 9.27
  },
  "rows": 0,
  "vars": 2,
  "always_unbound_vars": [
    "comics",
    "comicsLabel"
  ],
  "lexical_query_overlap": 0.03,
  "semantic_similarity_to_CQ": 0.65,
  "semantic_soft_coverage_to_CQ": 0.76,
  "tuple_cohesion": null,
  "variables": [
    {
      "var": "comics",
      "rows": 0,
      "distinct": 0,
      "null_rate": 1.0,
      "label_resolution_rate": 0.0,
      "diversity_entropy_norm": 0.0,
      "semantic_cohesion": 1.0,
      "dup_ratio": 0.0,
      "bound_rate": 0.0
    },
    {
      "var": "comicsLabel",
      "rows": 0,
      "distinct": 0,
      "null_rate": 1.0,
      "label_resolution_rate": 0.0,
      "diversity_entropy_norm": 0.0,
      "semantic_cohesion": 1.0,
      "dup_ratio": 0.0,
      "bound_rate": 0.0
    }
  ]
}</t>
        </is>
      </c>
      <c r="G27" t="b">
        <v>1</v>
      </c>
      <c r="H27" t="b">
        <v>0</v>
      </c>
      <c r="I27" t="b">
        <v>1</v>
      </c>
      <c r="J27" t="n">
        <v>0</v>
      </c>
      <c r="K27" t="n">
        <v>2</v>
      </c>
      <c r="L27" t="n">
        <v>9.32</v>
      </c>
      <c r="M27" t="n">
        <v>9.33</v>
      </c>
      <c r="N27" t="n">
        <v>9.27</v>
      </c>
      <c r="O27" t="n">
        <v>0.03</v>
      </c>
      <c r="P27" t="n">
        <v>0.65</v>
      </c>
      <c r="Q27" t="n">
        <v>0.76</v>
      </c>
      <c r="S27" t="inlineStr">
        <is>
          <t>["comics", "comicsLabel"]</t>
        </is>
      </c>
      <c r="T27" t="inlineStr">
        <is>
          <t>[{"var": "comics", "rows": 0, "distinct": 0, "null_rate": 1.0, "label_resolution_rate": 0.0, "diversity_entropy_norm": 0.0, "semantic_cohesion": 1.0, "dup_ratio": 0.0, "bound_rate": 0.0}, {"var": "comicsLabel", "rows": 0, "distinct": 0, "null_rate": 1.0, "label_resolution_rate": 0.0, "diversity_entropy_norm": 0.0, "semantic_cohesion": 1.0, "dup_ratio": 0.0, "bound_rate": 0.0}]</t>
        </is>
      </c>
      <c r="U27" t="inlineStr">
        <is>
          <t>complex</t>
        </is>
      </c>
      <c r="V27" t="n">
        <v>1</v>
      </c>
      <c r="W27" t="n">
        <v>0</v>
      </c>
      <c r="X27" t="n">
        <v>0.5</v>
      </c>
      <c r="Y27" t="n">
        <v>0.3333333333333333</v>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is>
      </c>
      <c r="C28" t="inlineStr">
        <is>
          <t>```sparql
SELECT ?competency WHERE {
  VALUES ?competency { &lt;$$_Maje$tic&gt;Absorption_(Power) &lt;/$$_Maje$tic&gt;Acrobatics_(Skill)
                   &lt;Earth_Defense_Guardian&gt; &lt;Elemental_Control_(Power)&gt; &lt;Energy_Manipulation_(Power)&gt;
                   &lt;Energy_Surge_(Power)&gt; &lt;Enchantment_(Power)&gt; &lt;Enhanced_Capability_(Power)&gt;
                   &lt;Enhanced_Strength_(Power)&gt; &lt;Martial_Arts_(Power) &lt;/Mutagenic_Effects_(Super-Powers)&gt;
                   &lt;Powersource_(Power)&gt; &lt;Radiation_Hypoxia_(Power)&gt; &lt;Substance_Degredation_(Super-Power)&gt;
                   &lt;Telepathy_(Power)&gt; &lt;Technopathy_(Power) &lt;/Technology_Empathy_(Psychic-Ability)}
   ?competency rdfs:label ?label
}
```</t>
        </is>
      </c>
      <c r="D28" t="inlineStr">
        <is>
          <t>model='granite4:latest' created_at='2025-11-27T06:14:58.394997921Z' done=True done_reason='stop' total_duration=202873074423 load_duration=1295838083 prompt_eval_count=89843 prompt_eval_duration=195655562926 eval_count=187 eval_duration=5527685794 message=Message(role='assistant', content='```sparql\nSELECT ?competency WHERE {\n  VALUES ?competency { &lt;$$_Maje$tic&gt;Absorption_(Power) &lt;/$$_Maje$tic&gt;Acrobatics_(Skill)\n                   &lt;Earth_Defense_Guardian&gt; &lt;Elemental_Control_(Power)&gt; &lt;Energy_Manipulation_(Power)&gt;\n                   &lt;Energy_Surge_(Power)&gt; &lt;Enchantment_(Power)&gt; &lt;Enhanced_Capability_(Power)&gt;\n                   &lt;Enhanced_Strength_(Power)&gt; &lt;Martial_Arts_(Power) &lt;/Mutagenic_Effects_(Super-Powers)&gt;\n                   &lt;Powersource_(Power)&gt; &lt;Radiation_Hypoxia_(Power)&gt; &lt;Substance_Degredation_(Super-Power)&gt;\n                   &lt;Telepathy_(Power)&gt; &lt;Technopathy_(Power) &lt;/Technology_Empathy_(Psychic-Ability)}\n   ?competency rdfs:label ?label\n}\n```', thinking=None, images=None, tool_calls=None)</t>
        </is>
      </c>
      <c r="E2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?competency WHERE {
  VALUES ?competency { &lt;$$_Maje$tic&gt;Absorption_(Power) &lt;/$$_Maje$tic&gt;Acrobatics_(Skill)
                   &lt;Earth_Defense_Guardian&gt; &lt;Elemental_Control_(Power)&gt; &lt;Energy_Manipulation_(Power)&gt;
                   &lt;Energy_Surge_(Power)&gt; &lt;Enchantment_(Power)&gt; &lt;Enhanced_Capability_(Power)&gt;
                   &lt;Enhanced_Strength_(Power)&gt; &lt;Martial_Arts_(Power) &lt;/Mutagenic_Effects_(Super-Powers)&gt;
                   &lt;Powersource_(Power)&gt; &lt;Radiation_Hypoxia_(Power)&gt; &lt;Substance_Degredation_(Super-Power)&gt;
                   &lt;Telepathy_(Power)&gt; &lt;Technopathy_(Power) &lt;/Technology_Empathy_(Psychic-Ability)}
   ?competency rdfs:label ?label
}</t>
        </is>
      </c>
      <c r="F28" t="inlineStr">
        <is>
          <t>ERROR: QueryBadFormed: A bad request has been sent to the endpoint: probably the SPARQL query is badly formed. 
Response:
b'Parse error: Encountered " "ABS" "Abs "" at line 14, column 37.\n'</t>
        </is>
      </c>
      <c r="G28" t="b">
        <v>0</v>
      </c>
      <c r="H28" t="b">
        <v>0</v>
      </c>
      <c r="I28" t="b">
        <v>0</v>
      </c>
      <c r="U28" t="inlineStr">
        <is>
          <t>complex</t>
        </is>
      </c>
      <c r="V28" t="n">
        <v>1</v>
      </c>
      <c r="W28" t="n">
        <v>1</v>
      </c>
      <c r="X28" t="n">
        <v>1</v>
      </c>
      <c r="Y28" t="n">
        <v>0.5</v>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is>
      </c>
      <c r="C29" t="inlineStr">
        <is>
          <t>```sparql
SELECT ?character WHERE {
  SERVICE wikibase:label  ?character "label".
  # Retrieve all characters and their associated titles from the Marvel universe schema.
  SELECT ?title ?character
  WHERE {
    ?character wdt:P31 wd:Q13149;           # Is an instance of Character in the Marvel universe
               ?character wdt:P170 ?title.   # Associated title (name or comic)
    FILTER(?title IN (
      "Spider-Man",
      "Black Panther",
      "Iron Man",
      "Thor",
      "Hulk",
      "Captain America",
      "Wolverine",
      "Deadpool",
      "Daredevil",
      "Fantastic Four",
      "X-Men",
      "Avengers",
      "Spider-Island",
      "Secret Invasion"
    ))
  }
}
```</t>
        </is>
      </c>
      <c r="D29" t="inlineStr">
        <is>
          <t>model='granite4:latest' created_at='2025-11-27T06:18:21.781828747Z' done=True done_reason='stop' total_duration=202278441515 load_duration=956650251 prompt_eval_count=89845 prompt_eval_duration=195649160775 eval_count=178 eval_duration=5294298437 message=Message(role='assistant', content='```sparql\nSELECT ?character WHERE {\n  SERVICE wikibase:label  ?character "label".\n  \n  # Retrieve all characters and their associated titles from the Marvel universe schema.\n  SELECT ?title ?character\n  WHERE {\n    ?character wdt:P31 wd:Q13149;           # Is an instance of Character in the Marvel universe\n               ?character wdt:P170 ?title.   # Associated title (name or comic)\n    \n    FILTER(?title IN (\n      "Spider-Man",\n      "Black Panther",\n      "Iron Man",\n      "Thor",\n      "Hulk",\n      "Captain America",\n      "Wolverine",\n      "Deadpool",\n      "Daredevil",\n      "Fantastic Four",\n      "X-Men",\n      "Avengers",\n      "Spider-Island",\n      "Secret Invasion"\n    ))\n  }\n}\n```', thinking=None, images=None, tool_calls=None)</t>
        </is>
      </c>
      <c r="E29"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WHERE {
  SERVICE wikibase:label  ?character "label".
  # Retrieve all characters and their associated titles from the Marvel universe schema.
  SELECT ?title ?character
  WHERE {
    ?character wdt:P31 wd:Q13149;           # Is an instance of Character in the Marvel universe
               ?character wdt:P170 ?title.   # Associated title (name or comic)
    FILTER(?title IN (
      "Spider-Man",
      "Black Panther",
      "Iron Man",
      "Thor",
      "Hulk",
      "Captain America",
      "Wolverine",
      "Deadpool",
      "Daredevil",
      "Fantastic Four",
      "X-Men",
      "Avengers",
      "Spider-Island",
      "Secret Invasion"
    ))
  }
}</t>
        </is>
      </c>
      <c r="F29" t="inlineStr">
        <is>
          <t>ERROR: QueryBadFormed: A bad request has been sent to the endpoint: probably the SPARQL query is badly formed. 
Response:
b'Parse error: Line 14, column 11: Unresolved prefixed name: wikibase:label\n'</t>
        </is>
      </c>
      <c r="G29" t="b">
        <v>0</v>
      </c>
      <c r="H29" t="b">
        <v>0</v>
      </c>
      <c r="I29" t="b">
        <v>0</v>
      </c>
      <c r="U29" t="inlineStr">
        <is>
          <t>complex</t>
        </is>
      </c>
      <c r="V29" t="n">
        <v>1</v>
      </c>
      <c r="W29" t="n">
        <v>1</v>
      </c>
      <c r="X29" t="n">
        <v>1</v>
      </c>
      <c r="Y29" t="n">
        <v>0.5</v>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30" t="inlineStr">
        <is>
          <t>```sparql
PREFIX ext: &lt;http://marklogic.com/atom/ext/&gt;
PREFIX muncs: &lt;http://marveluniverse.org/genealogy/&gt;
SELECT ?title ?description WHERE {
   # Retrieve titles and descriptions from the database
   SELECT DISTINCT ?comic ?issue ?story ?creator WHERE {
      ?comic a ext:manga ;
           dct:description ?description ;
           dct:title ?title ;
           dcterms:identifier ?comid .
      OPTIONAL {
         ?issue dct:description ?description ;
                dct:title ?issue .
      }
      OPTIONAL {
         ?creator dct:description ?description ;
                  dct:title ?creator .
      }
      # Select comic books with specific issues
      ?comic muncs:hasStory ?story .
      BIND(MATCH ?issue TO &lt;http://marvel.wikia.com/wiki/Specific_issue&gt;)
      BIND(MATCH ?title TO $title)
   }
}
```</t>
        </is>
      </c>
      <c r="D30" t="inlineStr">
        <is>
          <t>model='granite4:latest' created_at='2025-11-27T06:21:45.162945493Z' done=True done_reason='stop' total_duration=202679305565 load_duration=1032036791 prompt_eval_count=89843 prompt_eval_duration=195721720049 eval_count=188 eval_duration=5547208674 message=Message(role='assistant', content='```sparql\nPREFIX ext: &lt;http://marklogic.com/atom/ext/&gt;\nPREFIX muncs: &lt;http://marveluniverse.org/genealogy/&gt;\n\nSELECT ?title ?description WHERE {\n   # Retrieve titles and descriptions from the database\n   SELECT DISTINCT ?comic ?issue ?story ?creator WHERE {\n      ?comic a ext:manga ;\n           dct:description ?description ;\n           dct:title ?title ;\n           dcterms:identifier ?comid .\n\n      OPTIONAL {\n         ?issue dct:description ?description ;\n                dct:title ?issue .\n      }\n\n      OPTIONAL {\n         ?creator dct:description ?description ;\n                  dct:title ?creator .\n      }\n\n      # Select comic books with specific issues\n      ?comic muncs:hasStory ?story .\n      BIND(MATCH ?issue TO &lt;http://marvel.wikia.com/wiki/Specific_issue&gt;)\n      BIND(MATCH ?title TO $title)\n   }\n}\n```', thinking=None, images=None, tool_calls=None)</t>
        </is>
      </c>
      <c r="E30"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ext: &lt;http://marklogic.com/atom/ext/&gt;
PREFIX muncs: &lt;http://marveluniverse.org/genealogy/&gt;
SELECT ?title ?description WHERE {
   # Retrieve titles and descriptions from the database
   SELECT DISTINCT ?comic ?issue ?story ?creator WHERE {
      ?comic a ext:manga ;
           dct:description ?description ;
           dct:title ?title ;
           dcterms:identifier ?comid .
      OPTIONAL {
         ?issue dct:description ?description ;
                dct:title ?issue .
      }
      OPTIONAL {
         ?creator dct:description ?description ;
                  dct:title ?creator .
      }
      # Select comic books with specific issues
      ?comic muncs:hasStory ?story .
      BIND(MATCH ?issue TO &lt;http://marvel.wikia.com/wiki/Specific_issue&gt;)
      BIND(MATCH ?title TO $title)
   }
}</t>
        </is>
      </c>
      <c r="F30" t="inlineStr">
        <is>
          <t>ERROR: QueryBadFormed: A bad request has been sent to the endpoint: probably the SPARQL query is badly formed. 
Response:
b'Parse error: Line 19, column 12: Unresolved prefixed name: dct:description\n'</t>
        </is>
      </c>
      <c r="G30" t="b">
        <v>0</v>
      </c>
      <c r="H30" t="b">
        <v>0</v>
      </c>
      <c r="I30" t="b">
        <v>0</v>
      </c>
      <c r="U30" t="inlineStr">
        <is>
          <t>complex</t>
        </is>
      </c>
      <c r="V30" t="n">
        <v>1</v>
      </c>
      <c r="W30" t="n">
        <v>1</v>
      </c>
      <c r="X30" t="n">
        <v>1</v>
      </c>
      <c r="Y30" t="n">
        <v>0.5</v>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is>
      </c>
      <c r="C31" t="inlineStr">
        <is>
          <t>```sparql
SELECT ?competency (COUNT(?comic) AS ?count) WHERE {
  VALUES ?competency { Category:Boats_and_Subs Category:Pseudo-Repowered_Mutants }
  ?comic P149 ?competency .
}
GROUP BY ?competency ORDER BY ?count DESC
```</t>
        </is>
      </c>
      <c r="D31" t="inlineStr">
        <is>
          <t>model='granite4:latest' created_at='2025-11-27T06:25:05.626403697Z' done=True done_reason='stop' total_duration=199153088346 load_duration=1306359048 prompt_eval_count=89847 prompt_eval_duration=195659486864 eval_count=64 eval_duration=1888484668 message=Message(role='assistant', content='```sparql\nSELECT ?competency (COUNT(?comic) AS ?count) WHERE {\n  VALUES ?competency { Category:Boats_and_Subs Category:Pseudo-Repowered_Mutants }\n  ?comic P149 ?competency .\n}\nGROUP BY ?competency ORDER BY ?count DESC\n```', thinking=None, images=None, tool_calls=None)</t>
        </is>
      </c>
      <c r="E31"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?competency (COUNT(?comic) AS ?count) WHERE {
  VALUES ?competency { Category:Boats_and_Subs Category:Pseudo-Repowered_Mutants }
  ?comic P149 ?competency .
}
GROUP BY ?competency ORDER BY ?count DESC</t>
        </is>
      </c>
      <c r="F31" t="inlineStr">
        <is>
          <t>ERROR: QueryBadFormed: A bad request has been sent to the endpoint: probably the SPARQL query is badly formed. 
Response:
b'Parse error: Line 14, column 24: Unresolved prefixed name: Category:Boats_and_Subs\n'</t>
        </is>
      </c>
      <c r="G31" t="b">
        <v>0</v>
      </c>
      <c r="H31" t="b">
        <v>0</v>
      </c>
      <c r="I31" t="b">
        <v>0</v>
      </c>
      <c r="U31" t="inlineStr">
        <is>
          <t>complex</t>
        </is>
      </c>
      <c r="V31" t="n">
        <v>1</v>
      </c>
      <c r="W31" t="n">
        <v>1</v>
      </c>
      <c r="X31" t="n">
        <v>1</v>
      </c>
      <c r="Y31" t="n">
        <v>0.5</v>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is>
      </c>
      <c r="C32" t="inlineStr">
        <is>
          <t>```sparql
SELECT ?char WHERE {
   ?char wdt:P31 wd:Q16797 . 
}
```</t>
        </is>
      </c>
      <c r="D32" t="inlineStr">
        <is>
          <t>model='granite4:latest' created_at='2025-11-27T06:28:24.425484712Z' done=True done_reason='stop' total_duration=197988745132 load_duration=1284441192 prompt_eval_count=89847 prompt_eval_duration=195669636654 eval_count=26 eval_duration=758327629 message=Message(role='assistant', content='```sparql\nSELECT ?char WHERE {\n   ?char wdt:P31 wd:Q16797 . \n}\n```', thinking=None, images=None, tool_calls=None)</t>
        </is>
      </c>
      <c r="E3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 WHERE {
   ?char wdt:P31 wd:Q16797 . 
}</t>
        </is>
      </c>
      <c r="F32" t="inlineStr">
        <is>
          <t>ERROR: QueryBadFormed: A bad request has been sent to the endpoint: probably the SPARQL query is badly formed. 
Response:
b'Parse error: Line 14, column 10: Unresolved prefixed name: wdt:P31\n'</t>
        </is>
      </c>
      <c r="G32" t="b">
        <v>0</v>
      </c>
      <c r="H32" t="b">
        <v>0</v>
      </c>
      <c r="I32" t="b">
        <v>0</v>
      </c>
      <c r="U32" t="inlineStr">
        <is>
          <t>complex</t>
        </is>
      </c>
      <c r="V32" t="n">
        <v>1</v>
      </c>
      <c r="W32" t="n">
        <v>1</v>
      </c>
      <c r="X32" t="n">
        <v>1</v>
      </c>
      <c r="Y32" t="n">
        <v>0.5</v>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is>
      </c>
      <c r="C33" t="inlineStr">
        <is>
          <t>```sparql
SELECT ?title ?titlePage ?queryLabel WHERE {
   &lt;$1&gt; &lt;dc:title&gt; ?title .
   OPTIONAL { ?title &lt;http://schema.org/page&gt; ?titlePage . }
   OPTIONAL { ?title &lt;http://dbpedia.org/ontology/wikiLink&gt; ?wikiLink . 
              ?wikiLink &lt;http://dbpedia.org/resource/wiki/&gt; ?queryLabel .
           FILTER (LANG(?queryLabel) = "en")
           BIND (SUBSTR(STR(?queryLabel),1,255) AS ?label)
         }
   SERVICE &lt;https://inbound.spqr.bio/sparql&gt; 
}
```</t>
        </is>
      </c>
      <c r="D33" t="inlineStr">
        <is>
          <t>model='granite4:latest' created_at='2025-11-27T06:31:45.307976395Z' done=True done_reason='stop' total_duration=200575359982 load_duration=675633401 prompt_eval_count=89846 prompt_eval_duration=195630938969 eval_count=133 eval_duration=3930859934 message=Message(role='assistant', content='```sparql\nSELECT ?title ?titlePage ?queryLabel WHERE {\n   &lt;$1&gt; &lt;dc:title&gt; ?title .\n   OPTIONAL { ?title &lt;http://schema.org/page&gt; ?titlePage . }\n   OPTIONAL { ?title &lt;http://dbpedia.org/ontology/wikiLink&gt; ?wikiLink . \n              ?wikiLink &lt;http://dbpedia.org/resource/wiki/&gt; ?queryLabel .\n           FILTER (LANG(?queryLabel) = "en")\n           BIND (SUBSTR(STR(?queryLabel),1,255) AS ?label)\n         }\n   SERVICE &lt;https://inbound.spqr.bio/sparql&gt; \n}\n```', thinking=None, images=None, tool_calls=None)</t>
        </is>
      </c>
      <c r="E3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?title ?titlePage ?queryLabel WHERE {
   &lt;$1&gt; &lt;dc:title&gt; ?title .
   OPTIONAL { ?title &lt;http://schema.org/page&gt; ?titlePage . }
   OPTIONAL { ?title &lt;http://dbpedia.org/ontology/wikiLink&gt; ?wikiLink . 
              ?wikiLink &lt;http://dbpedia.org/resource/wiki/&gt; ?queryLabel .
           FILTER (LANG(?queryLabel) = "en")
           BIND (SUBSTR(STR(?queryLabel),1,255) AS ?label)
         }
   SERVICE &lt;https://inbound.spqr.bio/sparql&gt; 
}</t>
        </is>
      </c>
      <c r="F33" t="inlineStr">
        <is>
          <t>ERROR: QueryBadFormed: A bad request has been sent to the endpoint: probably the SPARQL query is badly formed. 
Response:
b'Parse error: Encountered " "}" "} "" at line 22, column 2.\n'</t>
        </is>
      </c>
      <c r="G33" t="b">
        <v>0</v>
      </c>
      <c r="H33" t="b">
        <v>0</v>
      </c>
      <c r="I33" t="b">
        <v>0</v>
      </c>
      <c r="U33" t="inlineStr">
        <is>
          <t>complex</t>
        </is>
      </c>
      <c r="V33" t="n">
        <v>1</v>
      </c>
      <c r="W33" t="n">
        <v>1</v>
      </c>
      <c r="X33" t="n">
        <v>1</v>
      </c>
      <c r="Y33" t="n">
        <v>0.5</v>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is>
      </c>
      <c r="C34" t="inlineStr">
        <is>
          <t>```sparql
SELECT ?competency WHERE {
  ?competency rdfs:label ?label .
}
```</t>
        </is>
      </c>
      <c r="D34" t="inlineStr">
        <is>
          <t>model='granite4:latest' created_at='2025-11-27T06:35:04.300174628Z' done=True done_reason='stop' total_duration=198055618126 load_duration=1222784194 prompt_eval_count=89860 prompt_eval_duration=195865504795 eval_count=24 eval_duration=686322947 message=Message(role='assistant', content='```sparql\nSELECT ?competency WHERE {\n  ?competency rdfs:label ?label .\n}\n```', thinking=None, images=None, tool_calls=None)</t>
        </is>
      </c>
      <c r="E3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?competency WHERE {
  ?competency rdfs:label ?label .
}</t>
        </is>
      </c>
      <c r="F34" t="inlineStr">
        <is>
          <t>ERROR: Unable to allocate 848. GiB for an array with shape (476976, 476976) and data type float32</t>
        </is>
      </c>
      <c r="G34" t="b">
        <v>0</v>
      </c>
      <c r="H34" t="b">
        <v>0</v>
      </c>
      <c r="I34" t="b">
        <v>0</v>
      </c>
      <c r="U34" t="inlineStr">
        <is>
          <t>complex</t>
        </is>
      </c>
      <c r="V34" t="n">
        <v>1</v>
      </c>
      <c r="W34" t="n">
        <v>1</v>
      </c>
      <c r="X34" t="n">
        <v>1</v>
      </c>
      <c r="Y34"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2025-11-25T21:05:31Z</dcterms:created>
  <dcterms:modified xsi:type="dcterms:W3CDTF">2025-11-27T20:07:39Z</dcterms:modified>
  <cp:lastModifiedBy>Jaldi, Chris Davis</cp:lastModifiedBy>
</cp:coreProperties>
</file>