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B8762100-5E72-0242-B7D2-5638B3374F61}"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<sst xmlns="http://schemas.openxmlformats.org/spreadsheetml/2006/main" count="364" uniqueCount="265">
  <si>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</si>
  <si>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</si>
  <si>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</si>
  <si>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</si>
  <si>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</si>
  <si>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</si>
  <si>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</si>
  <si>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</si>
  <si>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</si>
  <si>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</si>
  <si>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</si>
  <si>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</si>
  <si>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</si>
  <si>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</si>
  <si>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</si>
  <si>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</si>
  <si>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</si>
  <si>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</si>
  <si>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</si>
  <si>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</si>
  <si>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</si>
  <si>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</si>
  <si>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</si>
  <si>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</si>
  <si>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</si>
  <si>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</si>
  <si>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</si>
  <si>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</si>
  <si>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</si>
  <si>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</si>
  <si>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</si>
  <si>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</si>
  <si>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</si>
  <si>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</si>
  <si>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</si>
  <si>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</si>
  <si>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</si>
  <si>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</si>
  <si>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</si>
  <si>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</si>
  <si>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</si>
  <si>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</si>
  <si>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</si>
  <si>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</si>
  <si>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</si>
  <si>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</si>
  <si>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</si>
  <si>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</si>
  <si>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</si>
  <si>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</si>
  <si>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</si>
  <si>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</si>
  <si>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</si>
  <si>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</si>
  <si>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</si>
  <si>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</si>
  <si>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</si>
  <si>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</si>
  <si>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</si>
  <si>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</si>
  <si>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</si>
  <si>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</si>
  <si>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</si>
  <si>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</si>
  <si>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</si>
  <si>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</si>
  <si>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["movie", "team"]</t>
  </si>
  <si>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</si>
  <si>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</si>
  <si>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</si>
  <si>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</si>
  <si>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</si>
  <si>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</si>
  <si>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</si>
  <si>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</si>
  <si>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</si>
  <si>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</si>
  <si>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</si>
  <si>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</si>
  <si>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</si>
  <si>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</si>
  <si>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</si>
  <si>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</si>
  <si>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</si>
  <si>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</si>
  <si>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["power"]</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</si>
  <si>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</si>
  <si>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</si>
  <si>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</si>
  <si>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</si>
  <si>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</si>
  <si>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</si>
  <si>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</si>
  <si>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</si>
  <si>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</si>
  <si>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</si>
  <si>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</si>
  <si>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</si>
  <si>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</si>
  <si>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</si>
  <si>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</si>
  <si>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</si>
  <si>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</si>
  <si>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</si>
  <si>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</si>
  <si>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</si>
  <si>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ns2:Character.
  ?s ns2:wikiPageWikiLink ?o.
  ?s ns2:wikiPageWikiLinkText ?label.
  FILTER (regex(str(?label), "^[a-zA-Z]$", "i"))
}
```
```</t>
  </si>
  <si>
    <t>model='mistral-small3.2:latest' created_at='2025-11-20T15:05:01.262576535Z' done=True done_reason='stop' total_duration=297860203311 load_duration=22184691274 prompt_eval_count=99402 prompt_eval_duration=254651019862 eval_count=364 eval_duration=20441261607 message=Message(role='assistant', content='```\nPREFIX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?s ?p ?o\nWHERE {\n  ?s a ns2:Character.\n  ?s ns2:wikiPageWikiLink ?o.\n  ?s ns2:wikiPageWikiLinkText ?label.\n  FILTER (regex(str(?label), "^[a-zA-Z]$", "i"))\n}\n```\n```',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</si>
  <si>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ns2:Character.
  ?s ns2:wikiPageWikiLink ?o.
  ?s ns2:wikiPageWikiLinkText ?label.
  FILTER (regex(str(?label), "^[a-zA-Z]$", "i"))
}</t>
  </si>
  <si>
    <t>{
  "cq_text": "Who are all the characters available?",
  "syntax_ok": true,
  "satisfiable": false,
  "deterministic": true,
  "latency": {
    "p50_ms": 15.87,
    "p95_ms": 17.22,
    "mean_ms": 16.31
  },
  "rows": 0,
  "vars": 1,
  "always_unbound_vars": [
    "label"
  ],
  "lexical_query_overlap": 0.0,
  "semantic_similarity_to_CQ": 0.62,
  "semantic_soft_coverage_to_CQ": 0.74,
  "tuple_cohesion": null,
  "variables": [
    {
      "var": "label",
      "rows": 0,
      "distinct": 0,
      "null_rate": 1.0,
      "label_resolution_rate": 0.0,
      "diversity_entropy_norm": 0.0,
      "semantic_cohesion": 1.0,
      "dup_ratio": 0.0,
      "bound_rate": 0.0
    }
  ]
}</t>
  </si>
  <si>
    <t>["label"]</t>
  </si>
  <si>
    <t>[{"var": "label", "rows": 0, "distinct": 0, "null_rate": 1.0, "label_resolution_rate": 0.0, "diversity_entropy_norm": 0.0, "semantic_cohesion": 1.0, "dup_ratio": 0.0, "bound_rate": 0.0}]</t>
  </si>
  <si>
    <t>PREFIX ns2: &lt;http://dbkwik.webdatacommons.org/ontology/&gt;
PREFIX skos: &lt;http://www.w3.org/2004/02/skos/core#&gt;
PREFIX rdfs: &lt;http://www.w3.org/2000/01/rdf-schema#&gt;
PREFIX rdf: &lt;http://www.w3.org/1999/02/22-rdf-syntax-ns#&gt;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dc: &lt;http://purl.org/dc/elements/1.1/&gt;
PREFIX xsd: &lt;http://www.w3.org/2001/XMLSchema#&gt;
SELECT ?s ?p ?o
WHERE {
  ?s ?p ?o .
  FILTER (CONTAINS(str(?s), "Category") &amp;&amp;
  REGEX(str(?s), "Category:.*(?:Movies|TV Series|Comics|Characters|Comics|Television Series|Characters|Comics|TV Series)"))
}
ORDER BY ?s ?p ?o
```
The SPARQL query retrieves all movies, TV series, and comics data where the category names match the given pattern. It filters the data to ensure that only relevant information (i.e., those categories that contain Movies, TV Series, Comics, Characters, Television Series, or Comics) is returned.
The result will include data from those categories to provide a comprehensive view of movies, TV series, and comics in the Marvel Universe.</t>
  </si>
  <si>
    <t>model='mistral-small3.2:latest' created_at='2025-11-20T15:09:43.744582158Z' done=True done_reason='stop' total_duration=281919396291 load_duration=685294424 prompt_eval_count=99408 prompt_eval_duration=255621215410 eval_count=445 eval_duration=25040136224 message=Message(role='assistant', content='PREFIX ns2: &lt;http://dbkwik.webdatacommons.org/ontology/&gt;\nPREFIX skos: &lt;http://www.w3.org/2004/02/skos/core#&gt;\nPREFIX rdfs: &lt;http://www.w3.org/2000/01/rdf-schema#&gt;\nPREFIX rdf: &lt;http://www.w3.org/1999/02/22-rdf-syntax-ns#&gt;\nPREFIX foaf: &lt;http://xmlns.com/foaf/0.1/&gt;\nPREFIX ns1: &lt;http://dbkwik.webdatacommons.org/marvel.wikia.com/property/&gt;\nPREFIX ns3: &lt;http://dbkwik.webdatacommons.org/marvel.wikia.com/property/%3&gt;\nPREFIX ns7: &lt;http://dbkwik.webdatacommons.org/marvel.wikia.com/property/alternate232%60&gt;\nPREFIX owl: &lt;http://www.w3.org/2002/07/owl#&gt;\nPREFIX dc: &lt;http://purl.org/dc/elements/1.1/&gt;\nPREFIX xsd: &lt;http://www.w3.org/2001/XMLSchema#&gt;\n\nSELECT ?s ?p ?o\nWHERE {\n  ?s ?p ?o .\n  FILTER (CONTAINS(str(?s), "Category") &amp;&amp;\n  REGEX(str(?s), "Category:.*(?:Movies|TV Series|Comics|Characters|Comics|Television Series|Characters|Comics|TV Series)"))\n}\nORDER BY ?s ?p ?o\n\n```\nThe SPARQL query retrieves all movies, TV series, and comics data where the category names match the given pattern. It filters the data to ensure that only relevant information (i.e., those categories that contain Movies, TV Series, Comics, Characters, Television Series, or Comics) is returned.\n\nThe result will include data from those categories to provide a comprehensive view of movies, TV series, and comics in the Marvel Universe.', thinking=None, images=None, tool_calls=None)</t>
  </si>
  <si>
    <t>PREFIX dcterms: &lt;http://purl.org/dc/terms/&gt;
PREFIX ns2: &lt;http://dbkwik.webdatacommons.org/ontology/&gt;
PREFIX skos: &lt;http://www.w3.org/2004/02/skos/core#&gt;
PREFIX rdfs: &lt;http://www.w3.org/2000/01/rdf-schema#&gt;
PREFIX rdf: &lt;http://www.w3.org/1999/02/22-rdf-syntax-ns#&gt;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dc: &lt;http://purl.org/dc/elements/1.1/&gt;
PREFIX xsd: &lt;http://www.w3.org/2001/XMLSchema#&gt;
SELECT ?s ?p ?o
WHERE {
  ?s ?p ?o .
  FILTER (CONTAINS(str(?s), "Category") &amp;&amp;
  REGEX(str(?s), "Category:.*(?:Movies|TV Series|Comics|Characters|Comics|Television Series|Characters|Comics|TV Series)"))
}
ORDER BY ?s ?p ?o
```
The SPARQL query retrieves all movies, TV series, and comics data where the category names match the given pattern. It filters the data to ensure that only relevant information (i.e., those categories that contain Movies, TV Series, Comics, Characters, Television Series, or Comics) is returned.
The result will include data from those categories to provide a comprehensive view of movies, TV series, and comics in the Marvel Universe.</t>
  </si>
  <si>
    <t>ERROR: QueryBadFormed: A bad request has been sent to the endpoint: probably the SPARQL query is badly formed. 
Response:
b"Parse error: Lexical error at line 22, column 1.  Encountered: '96' (96),\n"</t>
  </si>
  <si>
    <t>```sparql
SELECT ?character ?realName ?alias
WHERE {
    {
      # Characters with real names
      ?character ns1:realname ?realName.
      OPTIONAL { ?character ns1:identity ?identity. }
    }
    UNION
    {
      # Characters with aliases
      ?character ns1:identity ?alias.
      OPTIONAL { ?character ns1:realname ?realName. }
    }
    FILTER (!isLiteral(?character) &amp;&amp; (!bound(?realName) || (?realName != "")) &amp;&amp; (!bound(?alias) || (?alias != "")))
}
```</t>
  </si>
  <si>
    <t>model='mistral-small3.2:latest' created_at='2025-11-20T19:11:43.093937478Z' done=True done_reason='stop' total_duration=292220870876 load_duration=30191529089 prompt_eval_count=99410 prompt_eval_duration=254263357081 eval_count=131 eval_duration=7283898041 message=Message(role='assistant', content='```sparql\nSELECT ?character ?realName ?alias\nWHERE {\n    {\n      # Characters with real names\n      ?character ns1:realname ?realName.\n      OPTIONAL { ?character ns1:identity ?identity. }\n    }\n    UNION\n    {\n      # Characters with aliases\n      ?character ns1:identity ?alias.\n      OPTIONAL { ?character ns1:realname ?realName. }\n    }\n    FILTER (!isLiteral(?character) &amp;&amp; (!bound(?realName) || (?realName != "")) &amp;&amp; (!bound(?alias) || (?alias !=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</si>
  <si>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?character ?realName ?alias
WHERE {
    {
      # Characters with real names
      ?character ns1:realname ?realName.
      OPTIONAL { ?character ns1:identity ?identity. }
    }
    UNION
    {
      # Characters with aliases
      ?character ns1:identity ?alias.
      OPTIONAL { ?character ns1:realname ?realName. }
    }
    FILTER (!isLiteral(?character) &amp;&amp; (!bound(?realName) || (?realName != "")) &amp;&amp; (!bound(?alias) || (?alias != "")))
}</t>
  </si>
  <si>
    <t>{
  "cq_text": "What are the real names and/or primary aliases for each of the characters?",
  "syntax_ok": true,
  "satisfiable": true,
  "deterministic": true,
  "latency": {
    "p50_ms": 12.39,
    "p95_ms": 16.94,
    "mean_ms": 13.09
  },
  "rows": 2,
  "vars": 3,
  "always_unbound_vars": [],
  "lexical_query_overlap": 0.12,
  "semantic_similarity_to_CQ": 0.78,
  "semantic_soft_coverage_to_CQ": 0.81,
  "tuple_cohesion": 0.88,
  "variables": [
    {
      "var": "character",
      "rows": 2,
      "distinct": 1,
      "null_rate": 0.0,
      "label_resolution_rate": 1.0,
      "diversity_entropy_norm": -1.0,
      "semantic_cohesion": 1.0,
      "dup_ratio": 0.5,
      "bound_rate": 1.0
    },
    {
      "var": "realName",
      "rows": 2,
      "distinct": 1,
      "null_rate": 0.0,
      "label_resolution_rate": 1.0,
      "diversity_entropy_norm": -1.0,
      "semantic_cohesion": 1.0,
      "dup_ratio": 0.5,
      "bound_rate": 1.0
    },
    {
      "var": "alias",
      "rows": 2,
      "distinct": 1,
      "null_rate": 0.5,
      "label_resolution_rate": 1.0,
      "diversity_entropy_norm": -1.0,
      "semantic_cohesion": 1.0,
      "dup_ratio": 0.0,
      "bound_rate": 0.5
    }
  ]
}</t>
  </si>
  <si>
    <t>[{"var": "character", "rows": 2, "distinct": 1, "null_rate": 0.0, "label_resolution_rate": 1.0, "diversity_entropy_norm": -1.0, "semantic_cohesion": 1.0, "dup_ratio": 0.5, "bound_rate": 1.0}, {"var": "realName", "rows": 2, "distinct": 1, "null_rate": 0.0, "label_resolution_rate": 1.0, "diversity_entropy_norm": -1.0, "semantic_cohesion": 1.0, "dup_ratio": 0.5, "bound_rate": 1.0}, {"var": "alias", "rows": 2, "distinct": 1, "null_rate": 0.5, "label_resolution_rate": 1.0, "diversity_entropy_norm": -1.0, "semantic_cohesion": 1.0, "dup_ratio": 0.0, "bound_rate": 0.5}]</t>
  </si>
  <si>
    <t>```
PREFIX ns1: &lt;http://dbkwik.webdatacommons.org/marvel.wikia.com/property/&gt;
PREFIX ns2: &lt;http://dbkwik.webdatacommons.org/marvel.wikia.com/resource/&gt;
PREFIX rdf: &lt;http://www.w3.org/1999/02/22-rdf-syntax-ns#&gt;
PREFIX rdfs: &lt;http://www.w3.org/2000/01/rdf-schema#&gt;
PREFIX skos: &lt;http://www.w3.org/2004/02/skos/core#&gt;
PREFIX xsd: &lt;http://www.w3.org/2001/XMLSchema#&gt;
SELECT ?character ?speciesOrType WHERE {
    ?character a &lt;http://dbkwik.webdatacommons.org/marvel.wikia.com/class/character&gt;;
    ns1:type ?speciesOrType.
}
```</t>
  </si>
  <si>
    <t>model='mistral-small3.2:latest' created_at='2025-11-20T19:16:11.08686717Z' done=True done_reason='stop' total_duration=267700265308 load_duration=424627165 prompt_eval_count=99421 prompt_eval_duration=255517307897 eval_count=202 eval_duration=11278416969 message=Message(role='assistant', content='```\nPREFIX ns1: &lt;http://dbkwik.webdatacommons.org/marvel.wikia.com/property/&gt;\nPREFIX ns2: &lt;http://dbkwik.webdatacommons.org/marvel.wikia.com/resource/&gt;\nPREFIX rdf: &lt;http://www.w3.org/1999/02/22-rdf-syntax-ns#&gt;\nPREFIX rdfs: &lt;http://www.w3.org/2000/01/rdf-schema#&gt;\nPREFIX skos: &lt;http://www.w3.org/2004/02/skos/core#&gt;\nPREFIX xsd: &lt;http://www.w3.org/2001/XMLSchema#&gt;\n\nSELECT ?character ?speciesOrType WHERE {\n    ?character a &lt;http://dbkwik.webdatacommons.org/marvel.wikia.com/class/character&gt;;\n    ns1:type ?speciesOrType.\n}\n```',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</si>
  <si>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ns1: &lt;http://dbkwik.webdatacommons.org/marvel.wikia.com/property/&gt;
PREFIX ns2: &lt;http://dbkwik.webdatacommons.org/marvel.wikia.com/resource/&gt;
PREFIX rdf: &lt;http://www.w3.org/1999/02/22-rdf-syntax-ns#&gt;
PREFIX rdfs: &lt;http://www.w3.org/2000/01/rdf-schema#&gt;
PREFIX skos: &lt;http://www.w3.org/2004/02/skos/core#&gt;
PREFIX xsd: &lt;http://www.w3.org/2001/XMLSchema#&gt;
SELECT ?character ?speciesOrType WHERE {
    ?character a &lt;http://dbkwik.webdatacommons.org/marvel.wikia.com/class/character&gt;;
    ns1:type ?speciesOrType.
}</t>
  </si>
  <si>
    <t>{
  "cq_text": "What are all the associated species or types (e.g., human, Asgardian, AI) for each of the characters?",
  "syntax_ok": true,
  "satisfiable": false,
  "deterministic": true,
  "latency": {
    "p50_ms": 8.83,
    "p95_ms": 15.32,
    "mean_ms": 10.28
  },
  "rows": 0,
  "vars": 2,
  "always_unbound_vars": [
    "character",
    "speciesOrType"
  ],
  "lexical_query_overlap": 0.12,
  "semantic_similarity_to_CQ": 0.73,
  "semantic_soft_coverage_to_CQ": 0.77,
  "tuple_cohesion": null,
  "variables": [
    {
      "var": "character",
      "rows": 0,
      "distinct": 0,
      "null_rate": 1.0,
      "label_resolution_rate": 0.0,
      "diversity_entropy_norm": 0.0,
      "semantic_cohesion": 1.0,
      "dup_ratio": 0.0,
      "bound_rate": 0.0
    },
    {
      "var": "speciesOrType",
      "rows": 0,
      "distinct": 0,
      "null_rate": 1.0,
      "label_resolution_rate": 0.0,
      "diversity_entropy_norm": 0.0,
      "semantic_cohesion": 1.0,
      "dup_ratio": 0.0,
      "bound_rate": 0.0
    }
  ]
}</t>
  </si>
  <si>
    <t>["character", "speciesOrType"]</t>
  </si>
  <si>
    <t>[{"var": "character", "rows": 0, "distinct": 0, "null_rate": 1.0, "label_resolution_rate": 0.0, "diversity_entropy_norm": 0.0, "semantic_cohesion": 1.0, "dup_ratio": 0.0, "bound_rate": 0.0}, {"var": "speciesOrType", "rows": 0, "distinct": 0, "null_rate": 1.0, "label_resolution_rate": 0.0, "diversity_entropy_norm": 0.0, "semantic_cohesion": 1.0, "dup_ratio": 0.0, "bound_rate": 0.0}]</t>
  </si>
  <si>
    <t>```
SELECT *
WHERE {
?resource1 ns1:origin ?origin .
?origin rdfs:label ?origin_label .
?resource1 ns1:placeofbirth ?placeofbirth .
?placeofbirth rdfs:label ?placeofbirth_label .
}
```</t>
  </si>
  <si>
    <t>model='mistral-small3.2:latest' created_at='2025-11-20T19:20:31.08300289Z' done=True done_reason='stop' total_duration=259724392983 load_duration=387876488 prompt_eval_count=99419 prompt_eval_duration=255808092351 eval_count=56 eval_duration=3104981622 message=Message(role='assistant', content='```\nSELECT *\nWHERE {\n?resource1 ns1:origin ?origin .\n?origin rdfs:label ?origin_label .\n?resource1 ns1:placeofbirth ?placeofbirth .\n?placeofbirth rdfs:label ?placeofbirth_label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</si>
  <si>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WHERE {
?resource1 ns1:origin ?origin .
?origin rdfs:label ?origin_label .
?resource1 ns1:placeofbirth ?placeofbirth .
?placeofbirth rdfs:label ?placeofbirth_label .
}</t>
  </si>
  <si>
    <t>{
  "cq_text": "What are all the origin locations (e.g., homeworld, birthplace, base) for each of the characters?",
  "syntax_ok": true,
  "satisfiable": true,
  "deterministic": true,
  "latency": {
    "p50_ms": 8.2,
    "p95_ms": 14.54,
    "mean_ms": 10.3
  },
  "rows": 1,
  "vars": 5,
  "always_unbound_vars": [],
  "lexical_query_overlap": 0.05,
  "semantic_similarity_to_CQ": 0.68,
  "semantic_soft_coverage_to_CQ": 0.72,
  "tuple_cohesion": 1.0,
  "variables": [
    {
      "var": "origin",
      "rows": 1,
      "distinct": 1,
      "null_rate": 0.0,
      "label_resolution_rate": 1.0,
      "diversity_entropy_norm": -1.0,
      "semantic_cohesion": 1.0,
      "dup_ratio": 0.0,
      "bound_rate": 1.0
    },
    {
      "var": "origin_label",
      "rows": 1,
      "distinct": 1,
      "null_rate": 0.0,
      "label_resolution_rate": 1.0,
      "diversity_entropy_norm": -1.0,
      "semantic_cohesion": 1.0,
      "dup_ratio": 0.0,
      "bound_rate": 1.0
    },
    {
      "var": "placeofbirth",
      "rows": 1,
      "distinct": 1,
      "null_rate": 0.0,
      "label_resolution_rate": 1.0,
      "diversity_entropy_norm": -1.0,
      "semantic_cohesion": 1.0,
      "dup_ratio": 0.0,
      "bound_rate": 1.0
    },
    {
      "var": "placeofbirth_label",
      "rows": 1,
      "distinct": 1,
      "null_rate": 0.0,
      "label_resolution_rate": 1.0,
      "diversity_entropy_norm": -1.0,
      "semantic_cohesion": 1.0,
      "dup_ratio": 0.0,
      "bound_rate": 1.0
    },
    {
      "var": "resource1",
      "rows": 1,
      "distinct": 1,
      "null_rate": 0.0,
      "label_resolution_rate": 1.0,
      "diversity_entropy_norm": -1.0,
      "semantic_cohesion": 1.0,
      "dup_ratio": 0.0,
      "bound_rate": 1.0
    }
  ]
}</t>
  </si>
  <si>
    <t>[{"var": "origin", "rows": 1, "distinct": 1, "null_rate": 0.0, "label_resolution_rate": 1.0, "diversity_entropy_norm": -1.0, "semantic_cohesion": 1.0, "dup_ratio": 0.0, "bound_rate": 1.0}, {"var": "origin_label", "rows": 1, "distinct": 1, "null_rate": 0.0, "label_resolution_rate": 1.0, "diversity_entropy_norm": -1.0, "semantic_cohesion": 1.0, "dup_ratio": 0.0, "bound_rate": 1.0}, {"var": "placeofbirth", "rows": 1, "distinct": 1, "null_rate": 0.0, "label_resolution_rate": 1.0, "diversity_entropy_norm": -1.0, "semantic_cohesion": 1.0, "dup_ratio": 0.0, "bound_rate": 1.0}, {"var": "placeofbirth_label", "rows": 1, "distinct": 1, "null_rate": 0.0, "label_resolution_rate": 1.0, "diversity_entropy_norm": -1.0, "semantic_cohesion": 1.0, "dup_ratio": 0.0, "bound_rate": 1.0}, {"var": "resource1", "rows": 1, "distinct": 1, "null_rate": 0.0, "label_resolution_rate": 1.0, "diversity_entropy_norm": -1.0, "semantic_cohesion": 1.0, "dup_ratio": 0.0, "bound_rate": 1.0}]</t>
  </si>
  <si>
    <t>SELECT ?s ?p ?o ?type
WHERE {
  ?s ?p ?o .
  ?s a ?type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
}
```</t>
  </si>
  <si>
    <t>model='mistral-small3.2:latest' created_at='2025-11-20T19:25:01.514605553Z' done=True done_reason='stop' total_duration=269551892298 load_duration=1039549616 prompt_eval_count=99414 prompt_eval_duration=255818158078 eval_count=218 eval_duration=12189581859 message=Message(role='assistant', content='SELECT ?s ?p ?o ?type\nWHERE {\n  ?s ?p ?o .\n  ?s a ?type\n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</si>
  <si>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?type
WHERE {
  ?s ?p ?o .
  ?s a ?type
  FILTER (?type IN (&lt;http://dbkwik.webdatacommons.org/marvel.wikia.com/class/flashforwardonly&gt;,&lt;http://dbkwik.webdatacommons.org/marvel.wikia.com/class/kick-ass&gt;,&lt;http://dbkwik.webdatacommons.org/marvel.wikia.com/class/nav&gt;,&lt;http://dbkwik.webdatacommons.org/marvel.wikia.com/class/rename&gt;,&lt;http://dbkwik.webdatacommons.org/marvel.wikia.com/class/statue&gt;,&lt;http://dbkwik.webdatacommons.org/marvel.wikia.com/class/thor_links&gt;,&lt;http://dbkwik.webdatacommons.org/marvel.wikia.com/class/verify_source&gt;,&lt;http://dbkwik.webdatacommons.org/marvel.wikia.com/class/wp2&gt;))
}
```</t>
  </si>
  <si>
    <t>ERROR: QueryBadFormed: A bad request has been sent to the endpoint: probably the SPARQL query is badly formed. 
Response:
b"Parse error: Lexical error at line 19, column 1.  Encountered: '96' (96),\n"</t>
  </si>
  <si>
    <t>```sparql
PREFIX ns2: &lt;http://dbkwik.webdatacommons.org/marvel.wikia.com/property/&gt;
SELECT DISTINCT ?director ?movie WHERE {
	?director ns2:alternate ?movie
}
```</t>
  </si>
  <si>
    <t>model='mistral-small3.2:latest' created_at='2025-11-20T19:29:22.571509073Z' done=True done_reason='stop' total_duration=260250878826 load_duration=1098785233 prompt_eval_count=99408 prompt_eval_duration=255763629883 eval_count=54 eval_duration=2966369371 message=Message(role='assistant', content='```sparql\nPREFIX ns2: &lt;http://dbkwik.webdatacommons.org/marvel.wikia.com/property/&gt;\nSELECT DISTINCT ?director ?movie WHERE {\n\t?director ns2:alternate ?movie\n}\n```', thinking=None, images=None, tool_calls=None)</t>
  </si>
  <si>
    <t>PREFIX dc: &lt;http://purl.org/dc/elements/1.1/&gt;
PREFIX dcterms: &lt;http://purl.org/dc/terms/&gt;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ns2: &lt;http://dbkwik.webdatacommons.org/marvel.wikia.com/property/&gt;
SELECT DISTINCT ?director ?movie WHERE {
	?director ns2:alternate ?movie
}</t>
  </si>
  <si>
    <t>{
  "cq_text": "Who are all the director(s) for each of the movies?",
  "syntax_ok": true,
  "satisfiable": true,
  "deterministic": true,
  "latency": {
    "p50_ms": 647.23,
    "p95_ms": 670.94,
    "mean_ms": 645.19
  },
  "rows": 25191,
  "vars": 2,
  "always_unbound_vars": [],
  "lexical_query_overlap": 0.08,
  "semantic_similarity_to_CQ": 0.71,
  "semantic_soft_coverage_to_CQ": 0.77,
  "tuple_cohesion": 0.94,
  "variables": [
    {
      "var": "director",
      "rows": 25191,
      "distinct": 3433,
      "null_rate": 0.0,
      "label_resolution_rate": 1.0,
      "diversity_entropy_norm": 0.83,
      "semantic_cohesion": 0.64,
      "dup_ratio": 0.86,
      "bound_rate": 1.0
    },
    {
      "var": "movie",
      "rows": 25191,
      "distinct": 4522,
      "null_rate": 0.0,
      "label_resolution_rate": 0.9867699867699867,
      "diversity_entropy_norm": 0.83,
      "semantic_cohesion": 0.78,
      "dup_ratio": 0.82,
      "bound_rate": 1.0
    }
  ]
}</t>
  </si>
  <si>
    <t>[{"var": "director", "rows": 25191, "distinct": 3433, "null_rate": 0.0, "label_resolution_rate": 1.0, "diversity_entropy_norm": 0.83, "semantic_cohesion": 0.64, "dup_ratio": 0.86, "bound_rate": 1.0}, {"var": "movie", "rows": 25191, "distinct": 4522, "null_rate": 0.0, "label_resolution_rate": 0.9867699867699867, "diversity_entropy_norm": 0.83, "semantic_cohesion": 0.78, "dup_ratio": 0.82, "bound_rate": 1.0}]</t>
  </si>
  <si>
    <t xml:space="preserve">
    SELECT ?p
    WHERE {
        ?s &lt;http://purl.org/dc/elements/1.1/publisher&gt; ?p .
        ?s &lt;http://purl.org/dc/elements/1.1/description&gt; ?d .
        ?d &lt;http://www.w3.org/2002/07/owl#sameAs&gt; ?p .
    }
```</t>
  </si>
  <si>
    <t>model='mistral-small3.2:latest' created_at='2025-11-20T19:33:44.287767572Z' done=True done_reason='stop' total_duration=261420588428 load_duration=426982082 prompt_eval_count=99409 prompt_eval_duration=255757961097 eval_count=86 eval_duration=4784955846 message=Message(role='assistant', content='\n    SELECT ?p\n    WHERE {\n        ?s &lt;http://purl.org/dc/elements/1.1/publisher&gt; ?p .\n        ?s &lt;http://purl.org/dc/elements/1.1/description&gt; ?d .\n        ?d &lt;http://www.w3.org/2002/07/owl#sameAs&gt; ?p .\n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</si>
  <si>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
    WHERE {
        ?s &lt;http://purl.org/dc/elements/1.1/publisher&gt; ?p .
        ?s &lt;http://purl.org/dc/elements/1.1/description&gt; ?d .
        ?d &lt;http://www.w3.org/2002/07/owl#sameAs&gt; ?p .
    }
```</t>
  </si>
  <si>
    <t>ERROR: QueryBadFormed: A bad request has been sent to the endpoint: probably the SPARQL query is badly formed. 
Response:
b"Parse error: Lexical error at line 20, column 1.  Encountered: '96' (96),\n"</t>
  </si>
  <si>
    <t xml:space="preserve">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?character WHERE {
      ?character a &lt;http://dbkwik.webdatacommons.org/marvel.wikia.com/class/character&gt;;
      ns1:teames ?teams .
      ?teams a &lt;http://dbkwik.webdatacommons.org/marvel.wikia.com/class/team&gt;;
      ?teams ns2:thumbnail ?thumbnail;
      ?teams ns2:wikiPageWikiLink ?wikipage .
      ?wikipage ns1:name ?name.
    }
    ORDER BY ?character</t>
  </si>
  <si>
    <t>model='mistral-small3.2:latest' created_at='2025-11-20T19:38:22.109239053Z' done=True done_reason='stop' total_duration=277460252887 load_duration=585248285 prompt_eval_count=99410 prompt_eval_duration=255771761377 eval_count=366 eval_duration=20542733144 message=Message(role='assistant', content='\n    PREFIX ns1: &lt;http://dbkwik.webdatacommons.org/marvel.wikia.com/property/&gt;\n    PREFIX ns2: &lt;http://dbkwik.webdatacommons.org/marvel.wikia.com/ontology/&gt;\n    PREFIX ns3: &lt;http://dbkwik.webdatacommons.org/marvel.wikia.com/property/%3&gt;\n    PREFIX ns7: &lt;http://dbkwik.webdatacommons.org/marvel.wikia.com/property/alternate232%60&gt;\n    PREFIX owl: &lt;http://www.w3.org/2002/07/owl#&gt;\n    PREFIX rdf: &lt;http://www.w3.org/1999/02/22-rdf-syntax-ns#&gt;\n    PREFIX rdfs: &lt;http://www.w3.org/2000/01/rdf-schema#&gt;\n    PREFIX skos: &lt;http://www.w3.org/2004/02/skos/core#&gt;\n    PREFIX xsd: &lt;http://www.w3.org/2001/XMLSchema#&gt;\n\n    SELECT DISTINCT ?character WHERE {\n      ?character a &lt;http://dbkwik.webdatacommons.org/marvel.wikia.com/class/character&gt;;\n      ns1:teames ?teams .\n      ?teams a &lt;http://dbkwik.webdatacommons.org/marvel.wikia.com/class/team&gt;;\n      ?teams ns2:thumbnail ?thumbnail;\n      ?teams ns2:wikiPageWikiLink ?wikipage .\n      ?wikipage ns1:name ?name.\n    }\n    ORDER BY ?character', thinking=None, images=None, tool_calls=None)</t>
  </si>
  <si>
    <t>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?character WHERE {
      ?character a &lt;http://dbkwik.webdatacommons.org/marvel.wikia.com/class/character&gt;;
      ns1:teames ?teams .
      ?teams a &lt;http://dbkwik.webdatacommons.org/marvel.wikia.com/class/team&gt;;
      ?teams ns2:thumbnail ?thumbnail;
      ?teams ns2:wikiPageWikiLink ?wikipage .
      ?wikipage ns1:name ?name.
    }
    ORDER BY ?character</t>
  </si>
  <si>
    <t>ERROR: QueryBadFormed: A bad request has been sent to the endpoint: probably the SPARQL query is badly formed. 
Response:
b'Parse error: Encountered " &lt;VAR1&gt; "?thumbnail "" at line 17, column 28.\n'</t>
  </si>
  <si>
    <t>SELECT  ?s ?o
WHERE {
  { ?s ns1:title ?o .
  FILTER( regex( str(?o), "@en") ) }
  UNION
  { ?s ns1:titletext ?o .
  FILTER( regex( str(?o), "@en") ) }
  UNION
  { ?s rdfs:label ?o .
  FILTER( regex( str(?o), "@en") ) }
  UNION
  { ?s skos:prefLabel ?o .
  FILTER( regex( str(?o), "@en") ) }
} ```</t>
  </si>
  <si>
    <t>model='mistral-small3.2:latest' created_at='2025-11-20T19:42:47.118292647Z' done=True done_reason='stop' total_duration=263855440451 load_duration=907489872 prompt_eval_count=99405 prompt_eval_duration=255588324056 eval_count=124 eval_duration=6895276991 message=Message(role='assistant', content='SELECT  ?s ?o\nWHERE {\n  { ?s ns1:title ?o .\n  FILTER( regex( str(?o), "@en") ) }\n  UNION\n  { ?s ns1:titletext ?o .\n  FILTER( regex( str(?o), "@en") ) }\n  UNION\n  { ?s rdfs:label ?o .\n  FILTER( regex( str(?o), "@en") ) }\n  UNION\n  { ?s skos:prefLabel ?o .\n  FILTER( regex( str(?o), "@en") ) }\n}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</si>
  <si>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?o
WHERE {
  { ?s ns1:title ?o .
  FILTER( regex( str(?o), "@en") ) }
  UNION
  { ?s ns1:titletext ?o .
  FILTER( regex( str(?o), "@en") ) }
  UNION
  { ?s rdfs:label ?o .
  FILTER( regex( str(?o), "@en") ) }
  UNION
  { ?s skos:prefLabel ?o .
  FILTER( regex( str(?o), "@en") ) }
} ```</t>
  </si>
  <si>
    <t>ERROR: QueryBadFormed: A bad request has been sent to the endpoint: probably the SPARQL query is badly formed. 
Response:
b"Parse error: Lexical error at line 26, column 3.  Encountered: '96' (96),\n"</t>
  </si>
  <si>
    <t>```
PREFIX ns1: &lt;http://dbkwik.webdatacommons.org/marvel.wikia.com/property/&gt;
PREFIX ns2: &lt;http://dbkwik.webdatacommons.org/marvel.wikia.com/ontology/&gt;
PREFIX rdf: &lt;http://www.w3.org/1999/02/22-rdf-syntax-ns#&gt;
PREFIX rdfs: &lt;http://www.w3.org/2000/01/rdf-schema#&gt;
PREFIX owl: &lt;http://www.w3.org/2002/07/owl#&gt;
PREFIX skos: &lt;http://www.w3.org/2004/02/skos/core#&gt;
PREFIX xsd: &lt;http://www.w3.org/2001/XMLSchema#&gt;
SELECT ?title ?year
WHERE {
  ?title a ns2:comic_toc ;
    ns1:featured "Spider-Man"^^rdf:langString ;
    ns1:year ?year ;
    rdfs:label ?titleLabel .
  FILTER (REGEX(?titleLabel, "Vol"))
}
```</t>
  </si>
  <si>
    <t>model='mistral-small3.2:latest' created_at='2025-11-20T19:47:19.712520265Z' done=True done_reason='stop' total_duration=271317419866 load_duration=1507904008 prompt_eval_count=99405 prompt_eval_duration=255461944124 eval_count=248 eval_duration=13842431010 message=Message(role='assistant', content='```\nPREFIX ns1: &lt;http://dbkwik.webdatacommons.org/marvel.wikia.com/property/&gt;\nPREFIX ns2: &lt;http://dbkwik.webdatacommons.org/marvel.wikia.com/ontology/&gt;\nPREFIX rdf: &lt;http://www.w3.org/1999/02/22-rdf-syntax-ns#&gt;\nPREFIX rdfs: &lt;http://www.w3.org/2000/01/rdf-schema#&gt;\nPREFIX owl: &lt;http://www.w3.org/2002/07/owl#&gt;\nPREFIX skos: &lt;http://www.w3.org/2004/02/skos/core#&gt;\nPREFIX xsd: &lt;http://www.w3.org/2001/XMLSchema#&gt;\n\nSELECT ?title ?year\nWHERE {\n  ?title a ns2:comic_toc ;\n    ns1:featured "Spider-Man"^^rdf:langString ;\n    ns1:year ?year ;\n    rdfs:label ?titleLabel .\n  FILTER (REGEX(?titleLabel, "Vol"))\n}\n\n```',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</si>
  <si>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ns1: &lt;http://dbkwik.webdatacommons.org/marvel.wikia.com/property/&gt;
PREFIX ns2: &lt;http://dbkwik.webdatacommons.org/marvel.wikia.com/ontology/&gt;
PREFIX rdf: &lt;http://www.w3.org/1999/02/22-rdf-syntax-ns#&gt;
PREFIX rdfs: &lt;http://www.w3.org/2000/01/rdf-schema#&gt;
PREFIX owl: &lt;http://www.w3.org/2002/07/owl#&gt;
PREFIX skos: &lt;http://www.w3.org/2004/02/skos/core#&gt;
PREFIX xsd: &lt;http://www.w3.org/2001/XMLSchema#&gt;
SELECT ?title ?year
WHERE {
  ?title a ns2:comic_toc ;
    ns1:featured "Spider-Man"^^rdf:langString ;
    ns1:year ?year ;
    rdfs:label ?titleLabel .
  FILTER (REGEX(?titleLabel, "Vol"))
}</t>
  </si>
  <si>
    <t>{
  "cq_text": "What are all the available movies and their directors?",
  "syntax_ok": true,
  "satisfiable": false,
  "deterministic": true,
  "latency": {
    "p50_ms": 7.47,
    "p95_ms": 15.06,
    "mean_ms": 9.9
  },
  "rows": 0,
  "vars": 2,
  "always_unbound_vars": [
    "title",
    "year"
  ],
  "lexical_query_overlap": 0.0,
  "semantic_similarity_to_CQ": 0.61,
  "semantic_soft_coverage_to_CQ": 0.69,
  "tuple_cohesion": null,
  "variables": [
    {
      "var": "title",
      "rows": 0,
      "distinct": 0,
      "null_rate": 1.0,
      "label_resolution_rate": 0.0,
      "diversity_entropy_norm": 0.0,
      "semantic_cohesion": 1.0,
      "dup_ratio": 0.0,
      "bound_rate": 0.0
    },
    {
      "var": "year",
      "rows": 0,
      "distinct": 0,
      "null_rate": 1.0,
      "label_resolution_rate": 0.0,
      "diversity_entropy_norm": 0.0,
      "semantic_cohesion": 1.0,
      "dup_ratio": 0.0,
      "bound_rate": 0.0
    }
  ]
}</t>
  </si>
  <si>
    <t>["title", "year"]</t>
  </si>
  <si>
    <t>[{"var": "title", "rows": 0, "distinct": 0, "null_rate": 1.0, "label_resolution_rate": 0.0, "diversity_entropy_norm": 0.0, "semantic_cohesion": 1.0, "dup_ratio": 0.0, "bound_rate": 0.0}, {"var": "year", "rows": 0, "distinct": 0, "null_rate": 1.0, "label_resolution_rate": 0.0, "diversity_entropy_norm": 0.0, "semantic_cohesion": 1.0, "dup_ratio": 0.0, "bound_rate": 0.0}]</t>
  </si>
  <si>
    <t xml:space="preserve">SELECT ?s
WHERE
{
?s ?label ?name
FILTER (lang(?name) = "en" &amp;&amp; regex(str(?name), "real name"))
}
</t>
  </si>
  <si>
    <t>model='mistral-small3.2:latest' created_at='2025-11-20T19:51:39.066867578Z' done=True done_reason='stop' total_duration=258562085711 load_duration=519944440 prompt_eval_count=99409 prompt_eval_duration=255595011432 eval_count=37 eval_duration=2030153843 message=Message(role='assistant', content='SELECT ?s\nWHERE\n{\n?s ?label ?name\nFILTER (lang(?name) = "en" &amp;&amp; regex(str(?name), "real name"))\n}\n',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</si>
  <si>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WHERE
{
?s ?label ?name
FILTER (lang(?name) = "en" &amp;&amp; regex(str(?name), "real name"))
}</t>
  </si>
  <si>
    <t>{
  "cq_text": "What are all the available characters and their primary alias/real name?",
  "syntax_ok": true,
  "satisfiable": true,
  "deterministic": true,
  "latency": {
    "p50_ms": 41459.14,
    "p95_ms": 43159.53,
    "mean_ms": 41726.59
  },
  "rows": 1,
  "vars": 2,
  "always_unbound_vars": [
    "label",
    "name"
  ],
  "lexical_query_overlap": 0.04,
  "semantic_similarity_to_CQ": 0.67,
  "semantic_soft_coverage_to_CQ": 0.72,
  "tuple_cohesion": 1.0,
  "variables": [
    {
      "var": "label",
      "rows": 1,
      "distinct": 0,
      "null_rate": 1.0,
      "label_resolution_rate": 0.0,
      "diversity_entropy_norm": 0.0,
      "semantic_cohesion": 1.0,
      "dup_ratio": 0.0,
      "bound_rate": 0.0
    },
    {
      "var": "name",
      "rows": 1,
      "distinct": 0,
      "null_rate": 1.0,
      "label_resolution_rate": 0.0,
      "diversity_entropy_norm": 0.0,
      "semantic_cohesion": 1.0,
      "dup_ratio": 0.0,
      "bound_rate": 0.0
    }
  ]
}</t>
  </si>
  <si>
    <t>["label", "name"]</t>
  </si>
  <si>
    <t>[{"var": "label", "rows": 1, "distinct": 0, "null_rate": 1.0, "label_resolution_rate": 0.0, "diversity_entropy_norm": 0.0, "semantic_cohesion": 1.0, "dup_ratio": 0.0, "bound_rate": 0.0}, {"var": "name", "rows": 1, "distinct": 0, "null_rate": 1.0, "label_resolution_rate": 0.0, "diversity_entropy_norm": 0.0, "semantic_cohesion": 1.0, "dup_ratio": 0.0, "bound_rate": 0.0}]</t>
  </si>
  <si>
    <t>```sparql
PREFIX ns1: &lt;http://dbkwik.webdatacommons.org/marvel.wikia.com/property/&gt;
PREFIX ns2: &lt;http://dbkwik.webdatacommons.org/marvel.wikia.com/ontology/&gt;
PREFIX skos: &lt;http://www.w3.org/2004/02/skos/core#&gt;
PREFIX rdfs: &lt;http://www.w3.org/2000/01/rdf-schema#&gt;
PREFIX rdf: &lt;http://www.w3.org/1999/02/22-rdf-syntax-ns#&gt;
PREFIX owl: &lt;http://www.w3.org/2002/07/owl#&gt;
SELECT ?c1, ?c2 WHERE {
  ?c1 ns2:wikiPageWikiLink ?c2 .
  ?c1 rdfs:label ?c1Label .
  ?c2 rdfs:label ?c2Label .
}
```</t>
  </si>
  <si>
    <t>model='mistral-small3.2:latest' created_at='2025-11-20T19:56:08.434950569Z' done=True done_reason='stop' total_duration=268880545014 load_duration=385830796 prompt_eval_count=99414 prompt_eval_duration=255760078608 eval_count=219 eval_duration=12219714429 message=Message(role='assistant', content='```sparql\nPREFIX ns1: &lt;http://dbkwik.webdatacommons.org/marvel.wikia.com/property/&gt;\nPREFIX ns2: &lt;http://dbkwik.webdatacommons.org/marvel.wikia.com/ontology/&gt;\nPREFIX skos: &lt;http://www.w3.org/2004/02/skos/core#&gt;\nPREFIX rdfs: &lt;http://www.w3.org/2000/01/rdf-schema#&gt;\nPREFIX rdf: &lt;http://www.w3.org/1999/02/22-rdf-syntax-ns#&gt;\nPREFIX owl: &lt;http://www.w3.org/2002/07/owl#&gt;\n\nSELECT ?c1, ?c2 WHERE {\n  ?c1 ns2:wikiPageWikiLink ?c2 .\n  ?c1 rdfs:label ?c1Label .\n  ?c2 rdfs:label ?c2Label .\n}\n```',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</si>
  <si>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xsd: &lt;http://www.w3.org/2001/XMLSchema#&gt;
PREFIX ns1: &lt;http://dbkwik.webdatacommons.org/marvel.wikia.com/property/&gt;
PREFIX ns2: &lt;http://dbkwik.webdatacommons.org/marvel.wikia.com/ontology/&gt;
PREFIX skos: &lt;http://www.w3.org/2004/02/skos/core#&gt;
PREFIX rdfs: &lt;http://www.w3.org/2000/01/rdf-schema#&gt;
PREFIX rdf: &lt;http://www.w3.org/1999/02/22-rdf-syntax-ns#&gt;
PREFIX owl: &lt;http://www.w3.org/2002/07/owl#&gt;
SELECT ?c1, ?c2 WHERE {
  ?c1 ns2:wikiPageWikiLink ?c2 .
  ?c1 rdfs:label ?c1Label .
  ?c2 rdfs:label ?c2Label .
}</t>
  </si>
  <si>
    <t>ERROR: QueryBadFormed: A bad request has been sent to the endpoint: probably the SPARQL query is badly formed. 
Response:
b'Parse error: Encountered " "," ", "" at line 14, column 11.\n'</t>
  </si>
  <si>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?Actor ?Character
WHERE {
  ?Actor ns2:wikiPageWikiLink ?Character.
  ?Character ns2:wikiPageWikiLinkText ?CharacterText.
  FILTER (CONTAINS(str(?CharacterText), "portray"))
}
LIMIT 100</t>
  </si>
  <si>
    <t>model='mistral-small3.2:latest' created_at='2025-11-20T20:00:59.803796071Z' done=True done_reason='stop' total_duration=290457751483 load_duration=402398067 prompt_eval_count=99412 prompt_eval_duration=255744542782 eval_count=601 eval_duration=33663563144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?Actor ?Character\nWHERE {\n  ?Actor ns2:wikiPageWikiLink ?Character.\n  ?Character ns2:wikiPageWikiLinkText ?CharacterText.\n  FILTER (CONTAINS(str(?CharacterText), "portray"))\n}\nLIMIT 100', thinking=None, images=None, tool_calls=None)</t>
  </si>
  <si>
    <t>{
  "cq_text": "What are all the actor\u2013character pairs (which actors portray which characters) available?",
  "syntax_ok": true,
  "satisfiable": false,
  "deterministic": true,
  "latency": {
    "p50_ms": 10.17,
    "p95_ms": 24.95,
    "mean_ms": 15.02
  },
  "rows": 0,
  "vars": 2,
  "always_unbound_vars": [
    "Actor",
    "Character"
  ],
  "lexical_query_overlap": 0.1,
  "semantic_similarity_to_CQ": 0.62,
  "semantic_soft_coverage_to_CQ": 0.8,
  "tuple_cohesion": null,
  "variables": [
    {
      "var": "Actor",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</si>
  <si>
    <t>["Actor", "Character"]</t>
  </si>
  <si>
    <t>[{"var": "Actor", "rows": 0, "distinct": 0, "null_rate": 1.0, "label_resolution_rate": 0.0, "diversity_entropy_norm": 0.0, "semantic_cohesion": 1.0, "dup_ratio": 0.0, "bound_rate": 0.0}, {"var": "Character", "rows": 0, "distinct": 0, "null_rate": 1.0, "label_resolution_rate": 0.0, "diversity_entropy_norm": 0.0, "semantic_cohesion": 1.0, "dup_ratio": 0.0, "bound_rate": 0.0}]</t>
  </si>
  <si>
    <t>```sql
PREFIX rdfs: &lt;http://www.w3.org/2000/01/rdf-schema#&gt;
PREFIX rdf: &lt;http://www.w3.org/1999/02/22-rdf-syntax-ns#&gt;
PREFIX ns1: &lt;http://dbkwik.webdatacommons.org/marvel.wikia.com/property/&gt;
PREFIX ns2: &lt;http://dbkwik.webdatacommons.org/marvel.wikia.com/ontology/&gt;
PREFIX foaf: &lt;http://xmlns.com/foaf/0.1/&gt;
PREFIX owl: &lt;http://www.w3.org/2002/07/owl#&gt;
PREFIX skos: &lt;http://www.w3.org/2004/02/skos/core#&gt;
SELECT DISTINCT ?character ?team ?movie
WHERE {
  ?character ns1:teames ?team .
  ?team ns1:movies ?movie .
  ?movie ns1:title ?title .
  ?title ns1:titleImage ?image .
}
```
No valid query can be generated based on the provided schema.</t>
  </si>
  <si>
    <t>model='mistral-small3.2:latest' created_at='2025-11-20T20:05:32.402697452Z' done=True done_reason='stop' total_duration=271472291204 load_duration=1376087653 prompt_eval_count=99422 prompt_eval_duration=255627859723 eval_count=250 eval_duration=13954801749 message=Message(role='assistant', content='```sql\nPREFIX rdfs: &lt;http://www.w3.org/2000/01/rdf-schema#&gt;\nPREFIX rdf: &lt;http://www.w3.org/1999/02/22-rdf-syntax-ns#&gt;\nPREFIX ns1: &lt;http://dbkwik.webdatacommons.org/marvel.wikia.com/property/&gt;\nPREFIX ns2: &lt;http://dbkwik.webdatacommons.org/marvel.wikia.com/ontology/&gt;\nPREFIX foaf: &lt;http://xmlns.com/foaf/0.1/&gt;\nPREFIX owl: &lt;http://www.w3.org/2002/07/owl#&gt;\nPREFIX skos: &lt;http://www.w3.org/2004/02/skos/core#&gt;\n\nSELECT DISTINCT ?character ?team ?movie\nWHERE {\n  ?character ns1:teames ?team .\n  ?team ns1:movies ?movie .\n  ?movie ns1:title ?title .\n  ?title ns1:titleImage ?image .\n\n}\n```\nNo valid query can be generated based on the provided schema.', thinking=None, images=None, tool_calls=None)</t>
  </si>
  <si>
    <t>PREFIX dc: &lt;http://purl.org/dc/elements/1.1/&gt;
PREFIX dcterms: &lt;http://purl.org/dc/terms/&gt;
PREFIX ns3: &lt;http://dbkwik.webdatacommons.org/marvel.wikia.com/property/%3&gt;
PREFIX ns7: &lt;http://dbkwik.webdatacommons.org/marvel.wikia.com/property/alternate232%60&gt;
PREFIX xsd: &lt;http://www.w3.org/2001/XMLSchema#&gt;
sql
PREFIX rdfs: &lt;http://www.w3.org/2000/01/rdf-schema#&gt;
PREFIX rdf: &lt;http://www.w3.org/1999/02/22-rdf-syntax-ns#&gt;
PREFIX ns1: &lt;http://dbkwik.webdatacommons.org/marvel.wikia.com/property/&gt;
PREFIX ns2: &lt;http://dbkwik.webdatacommons.org/marvel.wikia.com/ontology/&gt;
PREFIX foaf: &lt;http://xmlns.com/foaf/0.1/&gt;
PREFIX owl: &lt;http://www.w3.org/2002/07/owl#&gt;
PREFIX skos: &lt;http://www.w3.org/2004/02/skos/core#&gt;
SELECT DISTINCT ?character ?team ?movie
WHERE {
  ?character ns1:teames ?team .
  ?team ns1:movies ?movie .
  ?movie ns1:title ?title .
  ?title ns1:titleImage ?image .
}</t>
  </si>
  <si>
    <t>ERROR: QueryBadFormed: A bad request has been sent to the endpoint: probably the SPARQL query is badly formed. 
Response:
b'Parse error: Lexical error at line 6, column 4.  Encountered: \'10\' (10), after prefix "sql"\n'</t>
  </si>
  <si>
    <t>SELECT ?p ?m ?s ?t ?title ?power ?strength ?speed ?durability ?energy ?intelligence ?fighting ?fandurability ?fanstrength ?fanspeed ?fanintelligence ?fanexplanation ?fanreference
WHERE {
    # Select the characters, movies and the powers.
  # Select the characters with the specific power.
  # This is the core of the query to be constructed with the given competency question
    ?m rdf:type ns2:m ;
    ?m ns1:movies ?mov ;
    ?mov ns1:title ?title ;
    ?m ns1:powers ?p ;
    ?p ns1:strength ?strength ;
    ?p ns1:speed ?speed ;
    ?p ns1:durability ?durability ;
    ?p ns1:energy ?energy ;
    ?p ns1:intelligence ?intelligence ;
    ?p ns1:fighting ?fighting ;
    ?p ns1:fandurability ?fandurability ;
    ?p ns1:fanstrength ?fanstrength ;
    ?p ns1:fanspeed ?fanspeed ;
    ?p ns1:fanintelligence ?fanintelligence ;
    ?p ns1:fanexplanation ?fanexplanation ;
    ?p ns1:fanreference ?fanreference ;
    # The following statements are added to ensure that the query answers the competency question and does not fail.
    # Since no specific movies are mentioned in the competency question,
    # all movies in the schema are being included.
    ?mov rdf:type ns2:c ;
    ?mov dcterms:subject ns2:c .
}
ORDER BY ?title ?strength ?speed ?durability ?energy ?intelligence ?fighting ?fandurability ?fanstrength ?fanspeed ?fanintelligence ?fanexplanation ?fanreference</t>
  </si>
  <si>
    <t>model='mistral-small3.2:latest' created_at='2025-11-20T20:10:12.924132876Z' done=True done_reason='stop' total_duration=279866719290 load_duration=680788665 prompt_eval_count=99421 prompt_eval_duration=255727495893 eval_count=406 eval_duration=22882795591 message=Message(role='assistant', content='SELECT ?p ?m ?s ?t ?title ?power ?strength ?speed ?durability ?energy ?intelligence ?fighting ?fandurability ?fanstrength ?fanspeed ?fanintelligence ?fanexplanation ?fanreference\nWHERE {\n    # Select the characters, movies and the powers.\n  # Select the characters with the specific power.\n  # This is the core of the query to be constructed with the given competency question\n    ?m rdf:type ns2:m ;\n    ?m ns1:movies ?mov ;\n    ?mov ns1:title ?title ;\n    ?m ns1:powers ?p ;\n    ?p ns1:strength ?strength ;\n    ?p ns1:speed ?speed ;\n    ?p ns1:durability ?durability ;\n    ?p ns1:energy ?energy ;\n    ?p ns1:intelligence ?intelligence ;\n    ?p ns1:fighting ?fighting ;\n    ?p ns1:fandurability ?fandurability ;\n    ?p ns1:fanstrength ?fanstrength ;\n    ?p ns1:fanspeed ?fanspeed ;\n    ?p ns1:fanintelligence ?fanintelligence ;\n    ?p ns1:fanexplanation ?fanexplanation ;\n    ?p ns1:fanreference ?fanreference ;\n    # The following statements are added to ensure that the query answers the competency question and does not fail.\n    # Since no specific movies are mentioned in the competency question,\n    # all movies in the schema are being included.\n    ?mov rdf:type ns2:c ;\n    ?mov dcterms:subject ns2:c .\n\n}\nORDER BY ?title ?strength ?speed ?durability ?energy ?intelligence ?fighting ?fandurability ?fanstrength ?fanspeed ?fanintelligence ?fanexplanation ?fanreference',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</si>
  <si>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 ?m ?s ?t ?title ?power ?strength ?speed ?durability ?energy ?intelligence ?fighting ?fandurability ?fanstrength ?fanspeed ?fanintelligence ?fanexplanation ?fanreference
WHERE {
    # Select the characters, movies and the powers.
  # Select the characters with the specific power.
  # This is the core of the query to be constructed with the given competency question
    ?m rdf:type ns2:m ;
    ?m ns1:movies ?mov ;
    ?mov ns1:title ?title ;
    ?m ns1:powers ?p ;
    ?p ns1:strength ?strength ;
    ?p ns1:speed ?speed ;
    ?p ns1:durability ?durability ;
    ?p ns1:energy ?energy ;
    ?p ns1:intelligence ?intelligence ;
    ?p ns1:fighting ?fighting ;
    ?p ns1:fandurability ?fandurability ;
    ?p ns1:fanstrength ?fanstrength ;
    ?p ns1:fanspeed ?fanspeed ;
    ?p ns1:fanintelligence ?fanintelligence ;
    ?p ns1:fanexplanation ?fanexplanation ;
    ?p ns1:fanreference ?fanreference ;
    # The following statements are added to ensure that the query answers the competency question and does not fail.
    # Since no specific movies are mentioned in the competency question,
    # all movies in the schema are being included.
    ?mov rdf:type ns2:c ;
    ?mov dcterms:subject ns2:c .
}
ORDER BY ?title ?strength ?speed ?durability ?energy ?intelligence ?fighting ?fandurability ?fanstrength ?fanspeed ?fanintelligence ?fanexplanation ?fanreference</t>
  </si>
  <si>
    <t>ERROR: QueryBadFormed: A bad request has been sent to the endpoint: probably the SPARQL query is badly formed. 
Response:
b'Parse error: Encountered " &lt;VAR1&gt; "?mov "" at line 18, column 19.\n'</t>
  </si>
  <si>
    <t>```
SPARQL
PREFIX rdf: &lt;http://www.w3.org/1999/02/22-rdf-syntax-ns#&gt;
PREFIX rdfs: &lt;http://www.w3.org/2000/01/rdf-schema#&gt;
PREFIX skos: &lt;http://www.w3.org/2004/02/skos/core#&gt;
PREFIX ns1: &lt;http://dbkwik.webdatacommons.org/marvel.wikia.com/property/&gt;
PREFIX ns2: &lt;http://dbkwik.webdatacommons.org/marvel.wikia.com/ontology/&gt;
PREFIX xsd: &lt;http://www.w3.org/2001/XMLSchema#&gt;
SELECT ?character1 ?character2
WHERE {
    ?character1 ns1:appearing ?movie.
    ?character2 ns1:appearing ?movie.
    FILTER(?character1 != ?character2)
}
GROUP BY ?character1 ?character2
HAVING (COUNT(DISTINCT ?movie) &gt;= 2)
```
This SPARQL query retrieves pairs of characters that co-appear in at least two movies based on the provided schema. It uses the `appearing` property to link characters to movies and ensures distinct pairs of characters to avoid duplicates. The query groups the results by character pairs and counts the number of distinct movies they co-appear in. Only pairs with at least two co-appearances are returned.</t>
  </si>
  <si>
    <t>model='mistral-small3.2:latest' created_at='2025-11-20T20:14:47.401154497Z' done=True done_reason='stop' total_duration=274224963162 load_duration=413475055 prompt_eval_count=99417 prompt_eval_duration=255666841575 eval_count=313 eval_duration=17608677765 message=Message(role='assistant', content='```\nSPARQL\nPREFIX rdf: &lt;http://www.w3.org/1999/02/22-rdf-syntax-ns#&gt;\nPREFIX rdfs: &lt;http://www.w3.org/2000/01/rdf-schema#&gt;\nPREFIX skos: &lt;http://www.w3.org/2004/02/skos/core#&gt;\nPREFIX ns1: &lt;http://dbkwik.webdatacommons.org/marvel.wikia.com/property/&gt;\nPREFIX ns2: &lt;http://dbkwik.webdatacommons.org/marvel.wikia.com/ontology/&gt;\nPREFIX xsd: &lt;http://www.w3.org/2001/XMLSchema#&gt;\n\nSELECT ?character1 ?character2\nWHERE {\n    ?character1 ns1:appearing ?movie.\n    ?character2 ns1:appearing ?movie.\n    FILTER(?character1 != ?character2)\n}\nGROUP BY ?character1 ?character2\nHAVING (COUNT(DISTINCT ?movie) &gt;= 2)\n```\nThis SPARQL query retrieves pairs of characters that co-appear in at least two movies based on the provided schema. It uses the `appearing` property to link characters to movies and ensures distinct pairs of characters to avoid duplicates. The query groups the results by character pairs and counts the number of distinct movies they co-appear in. Only pairs with at least two co-appearances are returned.',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</si>
  <si>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SPARQL
PREFIX rdf: &lt;http://www.w3.org/1999/02/22-rdf-syntax-ns#&gt;
PREFIX rdfs: &lt;http://www.w3.org/2000/01/rdf-schema#&gt;
PREFIX skos: &lt;http://www.w3.org/2004/02/skos/core#&gt;
PREFIX ns1: &lt;http://dbkwik.webdatacommons.org/marvel.wikia.com/property/&gt;
PREFIX ns2: &lt;http://dbkwik.webdatacommons.org/marvel.wikia.com/ontology/&gt;
PREFIX xsd: &lt;http://www.w3.org/2001/XMLSchema#&gt;
SELECT ?character1 ?character2
WHERE {
    ?character1 ns1:appearing ?movie.
    ?character2 ns1:appearing ?movie.
    FILTER(?character1 != ?character2)
}
GROUP BY ?character1 ?character2
HAVING (COUNT(DISTINCT ?movie) &gt;= 2)</t>
  </si>
  <si>
    <t>ERROR: QueryBadFormed: A bad request has been sent to the endpoint: probably the SPARQL query is badly formed. 
Response:
b'Parse error: Lexical error at line 7, column 7.  Encountered: \'10\' (10), after prefix "SPARQL"\n'</t>
  </si>
  <si>
    <t>PREFIX dc: &lt;http://purl.org/dc/elements/1.1/&gt;
PREFIX dcterms: &lt;http://purl.org/dc/terms/&gt;
PREFIX foaf: &lt;http://xmlns.com/foaf/0.1/&gt;
PREFIX ns1: &lt;http://dbkwik.webdatacommons.org/marvel.wikia.com/property/&gt;
PREFIX ns2: &lt;http://dbkwik.webdatacommons.org/ontology/&gt;
PREFIX owl: &lt;http://www.w3.org/2002/07/owl#&gt;
PREFIX rdf: &lt;http://www.w3.org/1999/02/22-rdf-syntax-ns#&gt;
PREFIX rdfs: &lt;http://www.w3.org/2000/01/rdf-schema#&gt;
PREFIX skos: &lt;http://www.w3.org/2004/02/skos/core#&gt;
PREFIX xsd: &lt;http://www.w3.org/2001/XMLSchema#&gt;
SELECT DISTINCT ?team
WHERE
{
  ?team ns1:teams ?member .
  ?member ns1:mainCharacter ?team .
  FILTER(?member != ?team)
}
ORDER BY(?team)</t>
  </si>
  <si>
    <t>model='mistral-small3.2:latest' created_at='2025-11-20T20:19:20.073220938Z' done=True done_reason='stop' total_duration=272092426346 load_duration=506429462 prompt_eval_count=99410 prompt_eval_duration=255700583437 eval_count=274 eval_duration=15363768085 message=Message(role='assistant', content='PREFIX dc: &lt;http://purl.org/dc/elements/1.1/&gt;\nPREFIX dcterms: &lt;http://purl.org/dc/terms/&gt;\nPREFIX foaf: &lt;http://xmlns.com/foaf/0.1/&gt;\nPREFIX ns1: &lt;http://dbkwik.webdatacommons.org/marvel.wikia.com/property/&gt;\nPREFIX ns2: &lt;http://dbkwik.webdatacommons.org/ontology/&gt;\nPREFIX owl: &lt;http://www.w3.org/2002/07/owl#&gt;\nPREFIX rdf: &lt;http://www.w3.org/1999/02/22-rdf-syntax-ns#&gt;\nPREFIX rdfs: &lt;http://www.w3.org/2000/01/rdf-schema#&gt;\nPREFIX skos: &lt;http://www.w3.org/2004/02/skos/core#&gt;\nPREFIX xsd: &lt;http://www.w3.org/2001/XMLSchema#&gt;\n\nSELECT DISTINCT ?team\nWHERE\n{\n  ?team ns1:teams ?member .\n  ?member ns1:mainCharacter ?team .\n  FILTER(?member != ?team)\n}\nORDER BY(?team)', thinking=None, images=None, tool_calls=None)</t>
  </si>
  <si>
    <t>PREFIX ns3: &lt;http://dbkwik.webdatacommons.org/marvel.wikia.com/property/%3&gt;
PREFIX ns7: &lt;http://dbkwik.webdatacommons.org/marvel.wikia.com/property/alternate232%60&gt;
PREFIX dc: &lt;http://purl.org/dc/elements/1.1/&gt;
PREFIX dcterms: &lt;http://purl.org/dc/terms/&gt;
PREFIX foaf: &lt;http://xmlns.com/foaf/0.1/&gt;
PREFIX ns1: &lt;http://dbkwik.webdatacommons.org/marvel.wikia.com/property/&gt;
PREFIX ns2: &lt;http://dbkwik.webdatacommons.org/ontology/&gt;
PREFIX owl: &lt;http://www.w3.org/2002/07/owl#&gt;
PREFIX rdf: &lt;http://www.w3.org/1999/02/22-rdf-syntax-ns#&gt;
PREFIX rdfs: &lt;http://www.w3.org/2000/01/rdf-schema#&gt;
PREFIX skos: &lt;http://www.w3.org/2004/02/skos/core#&gt;
PREFIX xsd: &lt;http://www.w3.org/2001/XMLSchema#&gt;
SELECT DISTINCT ?team
WHERE
{
  ?team ns1:teams ?member .
  ?member ns1:mainCharacter ?team .
  FILTER(?member != ?team)
}
ORDER BY(?team)</t>
  </si>
  <si>
    <t>{
  "cq_text": "What are all the teams and the set of members for each team available?",
  "syntax_ok": true,
  "satisfiable": false,
  "deterministic": true,
  "latency": {
    "p50_ms": 11.61,
    "p95_ms": 12.56,
    "mean_ms": 10.88
  },
  "rows": 0,
  "vars": 1,
  "always_unbound_vars": [
    "team"
  ],
  "lexical_query_overlap": 0.04,
  "semantic_similarity_to_CQ": 0.78,
  "semantic_soft_coverage_to_CQ": 0.78,
  "tuple_cohesion": null,
  "variables": [
    {
      "var": "team",
      "rows": 0,
      "distinct": 0,
      "null_rate": 1.0,
      "label_resolution_rate": 0.0,
      "diversity_entropy_norm": 0.0,
      "semantic_cohesion": 1.0,
      "dup_ratio": 0.0,
      "bound_rate": 0.0
    }
  ]
}</t>
  </si>
  <si>
    <t>["team"]</t>
  </si>
  <si>
    <t>[{"var": "team", "rows": 0, "distinct": 0, "null_rate": 1.0, "label_resolution_rate": 0.0, "diversity_entropy_norm": 0.0, "semantic_cohesion": 1.0, "dup_ratio": 0.0, "bound_rate": 0.0}]</t>
  </si>
  <si>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?team WHERE {
  ?movie a ns2:Movie ;
    ns1:teames ?team .
  ?team ns1:teames ?member .
}
LIMIT 10</t>
  </si>
  <si>
    <t>model='mistral-small3.2:latest' created_at='2025-11-20T20:23:53.613300757Z' done=True done_reason='stop' total_duration=272941812033 load_duration=772094124 prompt_eval_count=99415 prompt_eval_duration=255646434010 eval_count=285 eval_duration=15999313108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?movie ?team WHERE {\n  ?movie a ns2:Movie ;\n    ns1:teames ?team .\n  ?team ns1:teames ?member .\n}\nLIMIT 10', thinking=None, images=None, tool_calls=None)</t>
  </si>
  <si>
    <t>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?team WHERE {
  ?movie a ns2:Movie ;
    ns1:teames ?team .
  ?team ns1:teames ?member .
}
LIMIT 10</t>
  </si>
  <si>
    <t>{
  "cq_text": "What are all the movies and the set of teams that have at least one member appearing in them?",
  "syntax_ok": true,
  "satisfiable": false,
  "deterministic": true,
  "latency": {
    "p50_ms": 22.45,
    "p95_ms": 24.82,
    "mean_ms": 18.08
  },
  "rows": 0,
  "vars": 2,
  "always_unbound_vars": [
    "movie",
    "team"
  ],
  "lexical_query_overlap": 0.04,
  "semantic_similarity_to_CQ": 0.75,
  "semantic_soft_coverage_to_CQ": 0.76,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t>
  </si>
  <si>
    <t>```
CONSTRUCT {
    ?x ns1:origin ?origin.
}
WHERE {
    ?origin a ?class.
    ?x ns1:origin ?origin.
}
```</t>
  </si>
  <si>
    <t>model='mistral-small3.2:latest' created_at='2025-11-20T20:28:13.385540195Z' done=True done_reason='stop' total_duration=259140968438 load_duration=928006043 prompt_eval_count=99417 prompt_eval_duration=255719536986 eval_count=38 eval_duration=2078285962 message=Message(role='assistant', content='```\nCONSTRUCT {\n    ?x ns1:origin ?origin.\n}\nWHERE {\n    ?origin a ?class.\n    ?x ns1:origin ?origin.\n}\n```',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</si>
  <si>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 {
    ?x ns1:origin ?origin.
}
WHERE {
    ?origin a ?class.
    ?x ns1:origin ?origin.
}</t>
  </si>
  <si>
    <t>ERROR: QueryBadFormed: A bad request has been sent to the endpoint: probably the SPARQL query is badly formed. 
Response:
b'Parse error: Encountered " "where" "WHERE "" at line 16, column 1.\n'</t>
  </si>
  <si>
    <t>PREFIX rdf: &lt;http://www.w3.org/1999/02/22-rdf-syntax-ns#&gt;
PREFIX owl: &lt;http://www.w3.org/2002/07/owl#&gt;
PREFIX rdfs: &lt;http://www.w3.org/2000/01/rdf-schema#&gt;
PREFIX ns2: &lt;http://dbkwik.webdatacommons.org/marvel.wikia.com/property/&gt;
PREFIX ns1: &lt;http://dbkwik.webdatacommons.org/marvel.wikia.com/property/%3&gt;
PREFIX skos: &lt;http://www.w3.org/2004/02/skos/core#&gt;
PREFIX foaf: &lt;http://xmlns.com/foaf/0.1/&gt;
PREFIX dc: &lt;http://purl.org/dc/elements/1.1/&gt;
PREFIX dcterms: &lt;http://purl.org/dc/terms/&gt;
SELECT ?s ?p ?o WHERE {
?s ?p ?o .
?s ns1:mainCharacter ?movie .
?s ns1:mainCharacter ?actor .
?actor ns1:imagesize ?size .
FILTER (str(?p) = 'http://dbkwik.webdatacommons.org/marvel.wikia.com/property/movies' ||
        str(?p) = 'http://dbkwik.webdatacommons.org/marvel.wikia.com/property/television' ||
        str(?p) = 'http://dbkwik.webdatacommons.org/marvel.wikia.com/property/videoGame' ||
        str(?p) = 'http://dbkwik.webdatacommons.org/marvel.wikia.com/property/realname')
FILTER (str(?o) = 'http://dbkwik.webdatacommons.org/marvel.wikia.com/resource/Spider-Man' ||
        str(?o) = 'http://dbkwik.webdatacommons.org/marvel.wikia.com/resource/Spider-Man_(Earth-616)' ||
        str(?o) = 'http://dbkwik.webdatacommons.org/marvel.wikia.com/resource/Spider-Man_(Earth-92131)')
FILTER (str(?o) != 'http://dbkwik.webdatacommons.org/marvel.wikia.com/resource/Marvel_Zombies_5_Vol_1' &amp;&amp;
        str(?o) != 'http://dbkwik.webdatacommons.org/marvel.wikia.com/resource/Spider-Man_2099_Annual_Vol_1_1' &amp;&amp;
        str(?o) != 'http://dbkwik.webdatacommons.org/marvel.wikia.com/resource/Spider-Man_2_(film)')
}
ORDER BY ?s ?p ?o</t>
  </si>
  <si>
    <t>model='mistral-small3.2:latest' created_at='2025-11-20T20:33:05.121707982Z' done=True done_reason='stop' total_duration=291461489437 load_duration=410566576 prompt_eval_count=99408 prompt_eval_duration=255711831358 eval_count=619 eval_duration=34672512961 message=Message(role='assistant', content="PREFIX rdf: &lt;http://www.w3.org/1999/02/22-rdf-syntax-ns#&gt;\nPREFIX owl: &lt;http://www.w3.org/2002/07/owl#&gt;\nPREFIX rdfs: &lt;http://www.w3.org/2000/01/rdf-schema#&gt;\nPREFIX ns2: &lt;http://dbkwik.webdatacommons.org/marvel.wikia.com/property/&gt;\nPREFIX ns1: &lt;http://dbkwik.webdatacommons.org/marvel.wikia.com/property/%3&gt;\nPREFIX skos: &lt;http://www.w3.org/2004/02/skos/core#&gt;\nPREFIX foaf: &lt;http://xmlns.com/foaf/0.1/&gt;\nPREFIX dc: &lt;http://purl.org/dc/elements/1.1/&gt;\nPREFIX dcterms: &lt;http://purl.org/dc/terms/&gt;\n\nSELECT ?s ?p ?o WHERE {\n?s ?p ?o .\n?s ns1:mainCharacter ?movie .\n?s ns1:mainCharacter ?actor .\n?actor ns1:imagesize ?size .\nFILTER (str(?p) = 'http://dbkwik.webdatacommons.org/marvel.wikia.com/property/movies' ||\n        str(?p) = 'http://dbkwik.webdatacommons.org/marvel.wikia.com/property/television' ||\n        str(?p) = 'http://dbkwik.webdatacommons.org/marvel.wikia.com/property/videoGame' ||\n        str(?p) = 'http://dbkwik.webdatacommons.org/marvel.wikia.com/property/realname')\nFILTER (str(?o) = 'http://dbkwik.webdatacommons.org/marvel.wikia.com/resource/Spider-Man' ||\n        str(?o) = 'http://dbkwik.webdatacommons.org/marvel.wikia.com/resource/Spider-Man_(Earth-616)' ||\n        str(?o) = 'http://dbkwik.webdatacommons.org/marvel.wikia.com/resource/Spider-Man_(Earth-92131)')\nFILTER (str(?o) != 'http://dbkwik.webdatacommons.org/marvel.wikia.com/resource/Marvel_Zombies_5_Vol_1' &amp;&amp;\n        str(?o) != 'http://dbkwik.webdatacommons.org/marvel.wikia.com/resource/Spider-Man_2099_Annual_Vol_1_1' &amp;&amp;\n        str(?o) != 'http://dbkwik.webdatacommons.org/marvel.wikia.com/resource/Spider-Man_2_(film)')\n}\n\nORDER BY ?s ?p ?o", thinking=None, images=None, tool_calls=None)</t>
  </si>
  <si>
    <t>PREFIX ns3: &lt;http://dbkwik.webdatacommons.org/marvel.wikia.com/property/%3&gt;
PREFIX ns7: &lt;http://dbkwik.webdatacommons.org/marvel.wikia.com/property/alternate232%60&gt;
PREFIX xsd: &lt;http://www.w3.org/2001/XMLSchema#&gt;
PREFIX rdf: &lt;http://www.w3.org/1999/02/22-rdf-syntax-ns#&gt;
PREFIX owl: &lt;http://www.w3.org/2002/07/owl#&gt;
PREFIX rdfs: &lt;http://www.w3.org/2000/01/rdf-schema#&gt;
PREFIX ns2: &lt;http://dbkwik.webdatacommons.org/marvel.wikia.com/property/&gt;
PREFIX ns1: &lt;http://dbkwik.webdatacommons.org/marvel.wikia.com/property/%3&gt;
PREFIX skos: &lt;http://www.w3.org/2004/02/skos/core#&gt;
PREFIX foaf: &lt;http://xmlns.com/foaf/0.1/&gt;
PREFIX dc: &lt;http://purl.org/dc/elements/1.1/&gt;
PREFIX dcterms: &lt;http://purl.org/dc/terms/&gt;
SELECT ?s ?p ?o WHERE {
?s ?p ?o .
?s ns1:mainCharacter ?movie .
?s ns1:mainCharacter ?actor .
?actor ns1:imagesize ?size .
FILTER (str(?p) = 'http://dbkwik.webdatacommons.org/marvel.wikia.com/property/movies' ||
        str(?p) = 'http://dbkwik.webdatacommons.org/marvel.wikia.com/property/television' ||
        str(?p) = 'http://dbkwik.webdatacommons.org/marvel.wikia.com/property/videoGame' ||
        str(?p) = 'http://dbkwik.webdatacommons.org/marvel.wikia.com/property/realname')
FILTER (str(?o) = 'http://dbkwik.webdatacommons.org/marvel.wikia.com/resource/Spider-Man' ||
        str(?o) = 'http://dbkwik.webdatacommons.org/marvel.wikia.com/resource/Spider-Man_(Earth-616)' ||
        str(?o) = 'http://dbkwik.webdatacommons.org/marvel.wikia.com/resource/Spider-Man_(Earth-92131)')
FILTER (str(?o) != 'http://dbkwik.webdatacommons.org/marvel.wikia.com/resource/Marvel_Zombies_5_Vol_1' &amp;&amp;
        str(?o) != 'http://dbkwik.webdatacommons.org/marvel.wikia.com/resource/Spider-Man_2099_Annual_Vol_1_1' &amp;&amp;
        str(?o) != 'http://dbkwik.webdatacommons.org/marvel.wikia.com/resource/Spider-Man_2_(film)')
}
ORDER BY ?s ?p ?o</t>
  </si>
  <si>
    <t>{
  "cq_text": "What are all the director\u2013actor pairs linked through movies available?",
  "syntax_ok": true,
  "satisfiable": false,
  "deterministic": true,
  "latency": {
    "p50_ms": 18176.07,
    "p95_ms": 25117.46,
    "mean_ms": 20388.35
  },
  "rows": 0,
  "vars": 3,
  "always_unbound_vars": [
    "actor",
    "movie",
    "size"
  ],
  "lexical_query_overlap": 0.02,
  "semantic_similarity_to_CQ": 0.62,
  "semantic_soft_coverage_to_CQ": 0.76,
  "tuple_cohesion": null,
  "variables": [
    {
      "var": "actor",
      "rows": 0,
      "distinct": 0,
      "null_rate": 1.0,
      "label_resolution_rate": 0.0,
      "diversity_entropy_norm": 0.0,
      "semantic_cohesion": 1.0,
      "dup_ratio": 0.0,
      "bound_rate": 0.0
    },
    {
      "var": "movie",
      "rows": 0,
      "distinct": 0,
      "null_rate": 1.0,
      "label_resolution_rate": 0.0,
      "diversity_entropy_norm": 0.0,
      "semantic_cohesion": 1.0,
      "dup_ratio": 0.0,
      "bound_rate": 0.0
    },
    {
      "var": "size",
      "rows": 0,
      "distinct": 0,
      "null_rate": 1.0,
      "label_resolution_rate": 0.0,
      "diversity_entropy_norm": 0.0,
      "semantic_cohesion": 1.0,
      "dup_ratio": 0.0,
      "bound_rate": 0.0
    }
  ]
}</t>
  </si>
  <si>
    <t>["actor", "movie", "size"]</t>
  </si>
  <si>
    <t>[{"var": "actor", "rows": 0, "distinct": 0, "null_rate": 1.0, "label_resolution_rate": 0.0, "diversity_entropy_norm": 0.0, "semantic_cohesion": 1.0, "dup_ratio": 0.0, "bound_rate": 0.0}, {"var": "movie", "rows": 0, "distinct": 0, "null_rate": 1.0, "label_resolution_rate": 0.0, "diversity_entropy_norm": 0.0, "semantic_cohesion": 1.0, "dup_ratio": 0.0, "bound_rate": 0.0}, {"var": "size", "rows": 0, "distinct": 0, "null_rate": 1.0, "label_resolution_rate": 0.0, "diversity_entropy_norm": 0.0, "semantic_cohesion": 1.0, "dup_ratio": 0.0, "bound_rate": 0.0}]</t>
  </si>
  <si>
    <t xml:space="preserve">
```
PREFIX ns1: &lt;http://dbkwik.webdatacommons.org/marvel.wikia.com/property/&gt;
PREFIX ns2: &lt;http://dbkwik.webdatacommons.org/marvel.wikia.com/ontology/&gt;
PREFIX skos: &lt;http://www.w3.org/2004/02/skos/core#&gt;
PREFIX rdf: &lt;http://www.w3.org/1999/02/22-rdf-syntax-ns#&gt;
PREFIX rdfs: &lt;http://www.w3.org/2000/01/rdf-schema#&gt;
PREFIX owl: &lt;http://www.w3.org/2002/07/owl#&gt;
SELECT ?char ?power WHERE {
  ?char a owl:Thing ;
    ns1:powers ?power ;
    ns1:mainCharacter ?mainchar .
  ?char ns1:other ?char .
  ?char ns1:teames ?teames .
  ?char ns1:team ?team .
  ?char ns1:teaves ?teaves .
  ?char ns1:videoGames ?videogame .
  ?char ns1:television ?tvshow .
  ?char ns1:movies ?movie .
  ?char ns1:videogames ?videoGame .
  ?char ns1:teame ?teame .
  ?char ns1:teams ?teams .
  ?char ns1:others ?other .
  FILTER ( CONTAINS (LCASE(?power), "power"))
}
LIMIT 100
```</t>
  </si>
  <si>
    <t>model='mistral-small3.2:latest' created_at='2025-11-20T20:37:42.626040414Z' done=True done_reason='stop' total_duration=276558718996 load_duration=1179188107 prompt_eval_count=99412 prompt_eval_duration=255539484325 eval_count=345 eval_duration=19288042193 message=Message(role='assistant', content='\n```\nPREFIX ns1: &lt;http://dbkwik.webdatacommons.org/marvel.wikia.com/property/&gt;\nPREFIX ns2: &lt;http://dbkwik.webdatacommons.org/marvel.wikia.com/ontology/&gt;\nPREFIX skos: &lt;http://www.w3.org/2004/02/skos/core#&gt;\nPREFIX rdf: &lt;http://www.w3.org/1999/02/22-rdf-syntax-ns#&gt;\nPREFIX rdfs: &lt;http://www.w3.org/2000/01/rdf-schema#&gt;\nPREFIX owl: &lt;http://www.w3.org/2002/07/owl#&gt;\n\nSELECT ?char ?power WHERE {\n  ?char a owl:Thing ;\n    ns1:powers ?power ;\n    ns1:mainCharacter ?mainchar .\n  ?char ns1:other ?char .\n  ?char ns1:teames ?teames .\n  ?char ns1:team ?team .\n  ?char ns1:teaves ?teaves .\n  ?char ns1:videoGames ?videogame .\n  ?char ns1:television ?tvshow .\n  ?char ns1:movies ?movie .\n  ?char ns1:videogames ?videoGame .\n  ?char ns1:teame ?teame .\n  ?char ns1:teams ?teams .\n  ?char ns1:others ?other .\n\n  FILTER ( CONTAINS (LCASE(?power), "power"))\n}\n\nLIMIT 100\n```', thinking=None, images=None, tool_calls=None)</t>
  </si>
  <si>
    <t>PREFIX dc: &lt;http://purl.org/dc/elements/1.1/&gt;
PREFIX dcterms: &lt;http://purl.org/dc/terms/&gt;
PREFIX foaf: &lt;http://xmlns.com/foaf/0.1/&gt;
PREFIX ns3: &lt;http://dbkwik.webdatacommons.org/marvel.wikia.com/property/%3&gt;
PREFIX ns7: &lt;http://dbkwik.webdatacommons.org/marvel.wikia.com/property/alternate232%60&gt;
PREFIX xsd: &lt;http://www.w3.org/2001/XMLSchema#&gt;
PREFIX ns1: &lt;http://dbkwik.webdatacommons.org/marvel.wikia.com/property/&gt;
PREFIX ns2: &lt;http://dbkwik.webdatacommons.org/marvel.wikia.com/ontology/&gt;
PREFIX skos: &lt;http://www.w3.org/2004/02/skos/core#&gt;
PREFIX rdf: &lt;http://www.w3.org/1999/02/22-rdf-syntax-ns#&gt;
PREFIX rdfs: &lt;http://www.w3.org/2000/01/rdf-schema#&gt;
PREFIX owl: &lt;http://www.w3.org/2002/07/owl#&gt;
SELECT ?char ?power WHERE {
  ?char a owl:Thing ;
    ns1:powers ?power ;
    ns1:mainCharacter ?mainchar .
  ?char ns1:other ?char .
  ?char ns1:teames ?teames .
  ?char ns1:team ?team .
  ?char ns1:teaves ?teaves .
  ?char ns1:videoGames ?videogame .
  ?char ns1:television ?tvshow .
  ?char ns1:movies ?movie .
  ?char ns1:videogames ?videoGame .
  ?char ns1:teame ?teame .
  ?char ns1:teams ?teams .
  ?char ns1:others ?other .
  FILTER ( CONTAINS (LCASE(?power), "power"))
}
LIMIT 100</t>
  </si>
  <si>
    <t>{
  "cq_text": "What are all the available distinct powers and the set of characters associated with each power?",
  "syntax_ok": true,
  "satisfiable": false,
  "deterministic": true,
  "latency": {
    "p50_ms": 318.99,
    "p95_ms": 343.89,
    "mean_ms": 326.43
  },
  "rows": 0,
  "vars": 2,
  "always_unbound_vars": [
    "char",
    "power"
  ],
  "lexical_query_overlap": 0.02,
  "semantic_similarity_to_CQ": 0.62,
  "semantic_soft_coverage_to_CQ": 0.77,
  "tuple_cohesion": null,
  "variables": [
    {
      "var": "char",
      "rows": 0,
      "distinct": 0,
      "null_rate": 1.0,
      "label_resolution_rate": 0.0,
      "diversity_entropy_norm": 0.0,
      "semantic_cohesion": 1.0,
      "dup_ratio": 0.0,
      "bound_rate": 0.0
    },
    {
      "var": "power",
      "rows": 0,
      "distinct": 0,
      "null_rate": 1.0,
      "label_resolution_rate": 0.0,
      "diversity_entropy_norm": 0.0,
      "semantic_cohesion": 1.0,
      "dup_ratio": 0.0,
      "bound_rate": 0.0
    }
  ]
}</t>
  </si>
  <si>
    <t>["char", "power"]</t>
  </si>
  <si>
    <t>[{"var": "char", "rows": 0, "distinct": 0, "null_rate": 1.0, "label_resolution_rate": 0.0, "diversity_entropy_norm": 0.0, "semantic_cohesion": 1.0, "dup_ratio": 0.0, "bound_rate": 0.0}, {"var": "power", "rows": 0, "distinct": 0, "null_rate": 1.0, "label_resolution_rate": 0.0, "diversity_entropy_norm": 0.0, "semantic_cohesion": 1.0, "dup_ratio": 0.0, "bound_rate": 0.0}]</t>
  </si>
  <si>
    <t>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?char1 ?char2 WHERE {
  ?char1 ns2:wikiPageWikiLink ?char2 .
  ?char2 ns2:wikiPageWikiLink ?char1 .
  ?char1 rdfs:label ?char1Name .
  ?char2 rdfs:label ?char2Name .
  FILTER (?char1 != ?char2) .
}
ORDER BY ?char1Name ?char2Name</t>
  </si>
  <si>
    <t>model='mistral-small3.2:latest' created_at='2025-11-20T20:42:18.081616191Z' done=True done_reason='stop' total_duration=275187883474 load_duration=368750200 prompt_eval_count=99413 prompt_eval_duration=255670016900 eval_count=332 eval_duration=18596779520 message=Message(role='assistant', content='PREFIX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?char1 ?char2 WHERE {\n  ?char1 ns2:wikiPageWikiLink ?char2 .\n  ?char2 ns2:wikiPageWikiLink ?char1 .\n  ?char1 rdfs:label ?char1Name .\n  ?char2 rdfs:label ?char2Name .\n  FILTER (?char1 != ?char2) .\n}\n\nORDER BY ?char1Name ?char2Name', thinking=None, images=None, tool_calls=None)</t>
  </si>
  <si>
    <t>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?char1 ?char2 WHERE {
  ?char1 ns2:wikiPageWikiLink ?char2 .
  ?char2 ns2:wikiPageWikiLink ?char1 .
  ?char1 rdfs:label ?char1Name .
  ?char2 rdfs:label ?char2Name .
  FILTER (?char1 != ?char2) .
}
ORDER BY ?char1Name ?char2Name</t>
  </si>
  <si>
    <t>{
  "cq_text": "What are all the pairs of characters available that have co-appeared in a movie?",
  "syntax_ok": true,
  "satisfiable": false,
  "deterministic": true,
  "latency": {
    "p50_ms": 8.45,
    "p95_ms": 12.04,
    "mean_ms": 9.62
  },
  "rows": 0,
  "vars": 2,
  "always_unbound_vars": [
    "char1",
    "char2"
  ],
  "lexical_query_overlap": 0.0,
  "semantic_similarity_to_CQ": 0.62,
  "semantic_soft_coverage_to_CQ": 0.71,
  "tuple_cohesion": null,
  "variables": [
    {
      "var": "char1",
      "rows": 0,
      "distinct": 0,
      "null_rate": 1.0,
      "label_resolution_rate": 0.0,
      "diversity_entropy_norm": 0.0,
      "semantic_cohesion": 1.0,
      "dup_ratio": 0.0,
      "bound_rate": 0.0
    },
    {
      "var": "char2",
      "rows": 0,
      "distinct": 0,
      "null_rate": 1.0,
      "label_resolution_rate": 0.0,
      "diversity_entropy_norm": 0.0,
      "semantic_cohesion": 1.0,
      "dup_ratio": 0.0,
      "bound_rate": 0.0
    }
  ]
}</t>
  </si>
  <si>
    <t>["char1", "char2"]</t>
  </si>
  <si>
    <t>[{"var": "char1", "rows": 0, "distinct": 0, "null_rate": 1.0, "label_resolution_rate": 0.0, "diversity_entropy_norm": 0.0, "semantic_cohesion": 1.0, "dup_ratio": 0.0, "bound_rate": 0.0}, {"var": "char2", "rows": 0, "distinct": 0, "null_rate": 1.0, "label_resolution_rate": 0.0, "diversity_entropy_norm": 0.0, "semantic_cohesion": 1.0, "dup_ratio": 0.0, "bound_rate": 0.0}]</t>
  </si>
  <si>
    <t>SELECT
    ?appearance WHERE {
    ?appearance &lt;http://dbkwik.webdatacommons.org/marvel.wikia.com/resource/Peter_Parker_(Earth-1610)&gt;
            &lt;http://dbkwik.webdatacommons.org/marvel.wikia.com/class/character&gt; .
}</t>
  </si>
  <si>
    <t>model='mistral-small3.2:latest' created_at='2025-11-20T20:46:39.572430377Z' done=True done_reason='stop' total_duration=260813229661 load_duration=944066134 prompt_eval_count=99408 prompt_eval_duration=255561488640 eval_count=70 eval_duration=3863578860 message=Message(role='assistant', content='SELECT\n    ?appearance WHERE {\n    ?appearance &lt;http://dbkwik.webdatacommons.org/marvel.wikia.com/resource/Peter_Parker_(Earth-1610)&gt;\n            &lt;http://dbkwik.webdatacommons.org/marvel.wikia.com/class/character&gt;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</si>
  <si>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?appearance WHERE {
    ?appearance &lt;http://dbkwik.webdatacommons.org/marvel.wikia.com/resource/Peter_Parker_(Earth-1610)&gt;
            &lt;http://dbkwik.webdatacommons.org/marvel.wikia.com/class/character&gt; .
}</t>
  </si>
  <si>
    <t>{
  "cq_text": "How many movies does each character appear in (character appearance count)?",
  "syntax_ok": true,
  "satisfiable": false,
  "deterministic": true,
  "latency": {
    "p50_ms": 7.25,
    "p95_ms": 8.55,
    "mean_ms": 7.17
  },
  "rows": 0,
  "vars": 1,
  "always_unbound_vars": [
    "appearance"
  ],
  "lexical_query_overlap": 0.05,
  "semantic_similarity_to_CQ": 0.64,
  "semantic_soft_coverage_to_CQ": 0.82,
  "tuple_cohesion": null,
  "variables": [
    {
      "var": "appearance",
      "rows": 0,
      "distinct": 0,
      "null_rate": 1.0,
      "label_resolution_rate": 0.0,
      "diversity_entropy_norm": 0.0,
      "semantic_cohesion": 1.0,
      "dup_ratio": 0.0,
      "bound_rate": 0.0
    }
  ]
}</t>
  </si>
  <si>
    <t>["appearance"]</t>
  </si>
  <si>
    <t>[{"var": "appearance", "rows": 0, "distinct": 0, "null_rate": 1.0, "label_resolution_rate": 0.0, "diversity_entropy_norm": 0.0, "semantic_cohesion": 1.0, "dup_ratio": 0.0, "bound_rate": 0.0}]</t>
  </si>
  <si>
    <t>```sparql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?count WHERE {
  ?movie a ns2:Comic ;
    ns1:appearing ?character .
  ?character a ns2:Character ;
    ns1:equipment ?movie .
  FILTER (?movie != ?character)
  BIND ( COUNT(?character) AS ?count )
}
GROUP BY ?movie ?count
```
This query retrieves the movies and the counts of characters that co-appear in each movie. The results will show the movie title and the number of characters that appear in that movie alongside other characters. The query uses the defined relationships in the schema, such as `ns1:appearing`, `ns2:Comic`, and `ns2:Character`, to identify the necessary information. The `FILTER` clause ensures that the same character is not counted multiple times within the same movie. The `BIND` and `GROUP BY` clauses aggregate the results to provide the counts for each movie. The results will be sorted by the movie title and the count of co-appearing characters.</t>
  </si>
  <si>
    <t>model='mistral-small3.2:latest' created_at='2025-11-20T20:51:22.472252842Z' done=True done_reason='stop' total_duration=282633096297 load_duration=392010410 prompt_eval_count=99416 prompt_eval_duration=255755899089 eval_count=462 eval_duration=25876645023 message=Message(role='assistant', content='```sparql\nPREFIX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?movie ?count WHERE {\n  ?movie a ns2:Comic ;\n    ns1:appearing ?character .\n  ?character a ns2:Character ;\n    ns1:equipment ?movie .\n  FILTER (?movie != ?character)\n  BIND ( COUNT(?character) AS ?count )\n}\nGROUP BY ?movie ?count\n```\nThis query retrieves the movies and the counts of characters that co-appear in each movie. The results will show the movie title and the number of characters that appear in that movie alongside other characters. The query uses the defined relationships in the schema, such as `ns1:appearing`, `ns2:Comic`, and `ns2:Character`, to identify the necessary information. The `FILTER` clause ensures that the same character is not counted multiple times within the same movie. The `BIND` and `GROUP BY` clauses aggregate the results to provide the counts for each movie. The results will be sorted by the movie title and the count of co-appearing characters.', thinking=None, images=None, tool_calls=None)</t>
  </si>
  <si>
    <t>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?count WHERE {
  ?movie a ns2:Comic ;
    ns1:appearing ?character .
  ?character a ns2:Character ;
    ns1:equipment ?movie .
  FILTER (?movie != ?character)
  BIND ( COUNT(?character) AS ?count )
}
GROUP BY ?movie ?count</t>
  </si>
  <si>
    <t>ERROR: QueryBadFormed: A bad request has been sent to the endpoint: probably the SPARQL query is badly formed. 
Response:
b'Parse error: Line 19, column 10: Aggregate expression not legal at this point\n'</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</si>
  <si>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?issue WHERE {
    ?issue ns1:teams &lt;http://dbkwik.webdatacommons.org/marvel.wikia.com/resource/Teams_(Team)&gt; .
    ?member ns1:teams ?issue .
    ?member rdfs:label ?memberName .
    FILTER(?memberName != ?issue)
}
ORDER BY ?memberName</t>
  </si>
  <si>
    <t>model='mistral-small3.2:latest' created_at='2025-11-20T20:56:00.47004693Z' done=True done_reason='stop' total_duration=277398063135 load_duration=627402844 prompt_eval_count=99420 prompt_eval_duration=255733229539 eval_count=366 eval_duration=20488782799 message=Message(role='assistant', content='PREFIX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?issue WHERE {\n    ?issue ns1:teams &lt;http://dbkwik.webdatacommons.org/marvel.wikia.com/resource/Teams_(Team)&gt; .\n    ?member ns1:teams ?issue .\n    ?member rdfs:label ?memberName .\n    FILTER(?memberName != ?issue)\n}\n\nORDER BY ?memberName', thinking=None, images=None, tool_calls=None)</t>
  </si>
  <si>
    <t>{
  "cq_text": "What are all the unions of movies for each of the teams in which any of their members appear (team-level filmography)?",
  "syntax_ok": true,
  "satisfiable": false,
  "deterministic": true,
  "latency": {
    "p50_ms": 8.55,
    "p95_ms": 8.72,
    "mean_ms": 8.57
  },
  "rows": 0,
  "vars": 1,
  "always_unbound_vars": [
    "issue"
  ],
  "lexical_query_overlap": 0.06,
  "semantic_similarity_to_CQ": 0.69,
  "semantic_soft_coverage_to_CQ": 0.76,
  "tuple_cohesion": null,
  "variables": [
    {
      "var": "issue",
      "rows": 0,
      "distinct": 0,
      "null_rate": 1.0,
      "label_resolution_rate": 0.0,
      "diversity_entropy_norm": 0.0,
      "semantic_cohesion": 1.0,
      "dup_ratio": 0.0,
      "bound_rate": 0.0
    }
  ]
}</t>
  </si>
  <si>
    <t>["issue"]</t>
  </si>
  <si>
    <t>[{"var": "issue", "rows": 0, "distinct": 0, "null_rate": 1.0, "label_resolution_rate": 0.0, "diversity_entropy_norm": 0.0, "semantic_cohesion": 1.0, "dup_ratio": 0.0, "bound_rate": 0.0}]</t>
  </si>
  <si>
    <t>```
SELECT DISTINCT ?power
WHERE {
  {
    SELECT DISTINCT ?character ?power
    WHERE {
      ?character rdfs:label ?charLabel .
      ?character ns1:powers ?power .
      FILTER (CONTAINS(?power, ?charLabel))
    }
  }
  UNION
  {
    SELECT DISTINCT ?character ?power
    WHERE {
      ?character rdfs:label ?charLabel .
      ?character ns1:powers ?power .
      FILTER (CONTAINS(?power, "Power"))
    }
  }
}
ORDER BY ?power
```</t>
  </si>
  <si>
    <t>model='mistral-small3.2:latest' created_at='2025-11-20T21:00:24.916762983Z' done=True done_reason='stop' total_duration=263787072946 load_duration=535327690 prompt_eval_count=99415 prompt_eval_duration=255782018751 eval_count=125 eval_duration=7000230420 message=Message(role='assistant', content='```\nSELECT DISTINCT ?power\nWHERE {\n  {\n    SELECT DISTINCT ?character ?power\n    WHERE {\n      ?character rdfs:label ?charLabel .\n      ?character ns1:powers ?power .\n      FILTER (CONTAINS(?power, ?charLabel))\n    }\n  }\n  UNION\n  {\n    SELECT DISTINCT ?character ?power\n    WHERE {\n      ?character rdfs:label ?charLabel .\n      ?character ns1:powers ?power .\n      FILTER (CONTAINS(?power, "Power"))\n    }\n  }\n}\nORDER BY ?power\n```',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</si>
  <si>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?power
WHERE {
  {
    SELECT DISTINCT ?character ?power
    WHERE {
      ?character rdfs:label ?charLabel .
      ?character ns1:powers ?power .
      FILTER (CONTAINS(?power, ?charLabel))
    }
  }
  UNION
  {
    SELECT DISTINCT ?character ?power
    WHERE {
      ?character rdfs:label ?charLabel .
      ?character ns1:powers ?power .
      FILTER (CONTAINS(?power, "Power"))
    }
  }
}
ORDER BY ?power</t>
  </si>
  <si>
    <t>{
  "cq_text": "Who are the distinct characters that possess a power, their counts, and rank-ordered by popularity?",
  "syntax_ok": true,
  "satisfiable": false,
  "deterministic": true,
  "latency": {
    "p50_ms": 3395.0,
    "p95_ms": 3484.65,
    "mean_ms": 3406.57
  },
  "rows": 0,
  "vars": 1,
  "always_unbound_vars": [
    "power"
  ],
  "lexical_query_overlap": 0.06,
  "semantic_similarity_to_CQ": 0.67,
  "semantic_soft_coverage_to_CQ": 0.73,
  "tuple_cohesion": null,
  "variables": [
    {
      "var": "power",
      "rows": 0,
      "distinct": 0,
      "null_rate": 1.0,
      "label_resolution_rate": 0.0,
      "diversity_entropy_norm": 0.0,
      "semantic_cohesion": 1.0,
      "dup_ratio": 0.0,
      "bound_rate": 0.0
    }
  ]
}</t>
  </si>
  <si>
    <t>[{"var": "power", "rows": 0, "distinct": 0, "null_rate": 1.0, "label_resolution_rate": 0.0, "diversity_entropy_norm": 0.0, "semantic_cohesion": 1.0, "dup_ratio": 0.0, "bound_rate": 0.0}]</t>
  </si>
  <si>
    <t xml:space="preserve">
SELECT ?s ?p ?o
WHERE {
    ?s a ns1:Property .
    ?p ns1:logo ?s .
    ?o ns1:title ?s .
}
LIMIT 1000</t>
  </si>
  <si>
    <t>model='mistral-small3.2:latest' created_at='2025-11-20T21:04:45.155020078Z' done=True done_reason='stop' total_duration=259620327383 load_duration=796554872 prompt_eval_count=99417 prompt_eval_duration=255694386692 eval_count=49 eval_duration=2705329110 message=Message(role='assistant', content='\nSELECT ?s ?p ?o\nWHERE {\n    ?s a ns1:Property .\n    ?p ns1:logo ?s .\n    ?o ns1:title ?s .\n}\nLIMIT 1000',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</si>
  <si>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a ns1:Property .
    ?p ns1:logo ?s .
    ?o ns1:title ?s .
}
LIMIT 1000</t>
  </si>
  <si>
    <t>{
  "cq_text": "Who are all the bridge characters that are members of more than one team, and what are those team combinations?",
  "syntax_ok": true,
  "satisfiable": false,
  "deterministic": true,
  "latency": {
    "p50_ms": 7.74,
    "p95_ms": 7.77,
    "mean_ms": 7.57
  },
  "rows": 0,
  "vars": 0,
  "always_unbound_vars": [],
  "lexical_query_overlap": 0.0,
  "semantic_similarity_to_CQ": 0.6,
  "semantic_soft_coverage_to_CQ": 0.7,
  "tuple_cohesion": null,
  "variables": []
}</t>
  </si>
  <si>
    <t>```sql
PREFIX ns3: &lt;http://dbkwik.webdatacommons.org/marvel.wikia.com/property/&gt;
PREFIX ns2: &lt;http://dbkwik.webdatacommons.org/marvel.wikia.com/ontology/&gt;
PREFIX ns1: &lt;http://dbkwik.webdatacommons.org/marvel.wikia.com/property/&gt;
PREFIX rdfs: &lt;http://www.w3.org/2000/01/rdf-schema#&gt;
PREFIX xsd: &lt;http://www.w3.org/2001/XMLSchema#&gt;
PREFIX foaf: &lt;http://xmlns.com/foaf/0.1/&gt;
PREFIX owl: &lt;http://www.w3.org/2002/07/owl#&gt;
PREFIX dc: &lt;http://purl.org/dc/elements/1.1/&gt;
PREFIX dcterms: &lt;http://purl.org/dc/terms/&gt;
PREFIX skos: &lt;http://www.w3.org/2004/02/skos/core#&gt;
SELECT ?actor ?character WHERE {
    ?actor a foaf:Person ;
        ns1:actors ?character .
}
```</t>
  </si>
  <si>
    <t>model='mistral-small3.2:latest' created_at='2025-11-20T21:09:17.129648416Z' done=True done_reason='stop' total_duration=271387760059 load_duration=462303021 prompt_eval_count=99415 prompt_eval_duration=255773667663 eval_count=260 eval_duration=14624270784 message=Message(role='assistant', content='```sql\nPREFIX ns3: &lt;http://dbkwik.webdatacommons.org/marvel.wikia.com/property/&gt;\nPREFIX ns2: &lt;http://dbkwik.webdatacommons.org/marvel.wikia.com/ontology/&gt;\nPREFIX ns1: &lt;http://dbkwik.webdatacommons.org/marvel.wikia.com/property/&gt;\nPREFIX rdfs: &lt;http://www.w3.org/2000/01/rdf-schema#&gt;\nPREFIX xsd: &lt;http://www.w3.org/2001/XMLSchema#&gt;\nPREFIX foaf: &lt;http://xmlns.com/foaf/0.1/&gt;\nPREFIX owl: &lt;http://www.w3.org/2002/07/owl#&gt;\nPREFIX dc: &lt;http://purl.org/dc/elements/1.1/&gt;\nPREFIX dcterms: &lt;http://purl.org/dc/terms/&gt;\nPREFIX skos: &lt;http://www.w3.org/2004/02/skos/core#&gt;\n\nSELECT ?actor ?character WHERE {\n    ?actor a foaf:Person ;\n        ns1:actors ?character .\n}\n```', thinking=None, images=None, tool_calls=None)</t>
  </si>
  <si>
    <t>PREFIX ns7: &lt;http://dbkwik.webdatacommons.org/marvel.wikia.com/property/alternate232%60&gt;
PREFIX rdf: &lt;http://www.w3.org/1999/02/22-rdf-syntax-ns#&gt;
sql
PREFIX ns3: &lt;http://dbkwik.webdatacommons.org/marvel.wikia.com/property/&gt;
PREFIX ns2: &lt;http://dbkwik.webdatacommons.org/marvel.wikia.com/ontology/&gt;
PREFIX ns1: &lt;http://dbkwik.webdatacommons.org/marvel.wikia.com/property/&gt;
PREFIX rdfs: &lt;http://www.w3.org/2000/01/rdf-schema#&gt;
PREFIX xsd: &lt;http://www.w3.org/2001/XMLSchema#&gt;
PREFIX foaf: &lt;http://xmlns.com/foaf/0.1/&gt;
PREFIX owl: &lt;http://www.w3.org/2002/07/owl#&gt;
PREFIX dc: &lt;http://purl.org/dc/elements/1.1/&gt;
PREFIX dcterms: &lt;http://purl.org/dc/terms/&gt;
PREFIX skos: &lt;http://www.w3.org/2004/02/skos/core#&gt;
SELECT ?actor ?character WHERE {
    ?actor a foaf:Person ;
        ns1:actors ?character .
}</t>
  </si>
  <si>
    <t>ERROR: QueryBadFormed: A bad request has been sent to the endpoint: probably the SPARQL query is badly formed. 
Response:
b'Parse error: Lexical error at line 3, column 4.  Encountered: \'10\' (10), after prefix "sql"\n'</t>
  </si>
  <si>
    <t>PREFIX ns7: &lt;http://dbkwik.webdatacommons.org/marvel.wikia.com/property/%3&gt;
PREFIX owl: &lt;http://www.w3.org/2002/07/owl#&gt;
PREFIX ns1: &lt;http://dbkwik.webdatacommons.org/marvel.wikia.com/property/&gt;
PREFIX ns2: &lt;http://dbkwik.webdatacommons.org/marvel.wikia.com/ontology/&gt;
PREFIX dcterms: &lt;http://purl.org/dc/terms/&gt;
PREFIX foaf: &lt;http://xmlns.com/foaf/0.1/&gt;
PREFIX rdfs: &lt;http://www.w3.org/2000/01/rdf-schema#&gt;
PREFIX ns3: &lt;http://dbkwik.webdatacommons.org/marvel.wikia.com/property/%3A&gt;
PREFIX rdf: &lt;http://www.w3.org/1999/02/22-rdf-syntax-ns#&gt;
PREFIX skos: &lt;http://www.w3.org/2004/02/skos/core#&gt;
PREFIX xsd: &lt;http://www.w3.org/2001/XMLSchema#&gt;
PREFIX dc: &lt;http://purl.org/dc/elements/1.1/&gt;
SELECT ?location ?associationCount
WHERE {
  ?location rdf:type owl:Thing ;
            ns2:thumbnail ?image ;
            ns2:wikiPageWikiLink ?association .
  # Count unique associations per location
  FILTER NOT EXISTS { ?location ns2:wikiPageWikiLink ?duplicate .
                        FILTER ( ?association = ?duplicate ) } .
  # Count distinct locations that have been associated with multiple movies and/or characters
  FILTER (
    EXISTS {
      ?location ns2:wikiPageWikiLink ?association1 .
      ?location ns2:wikiPageWikiLink ?association2 .
      FILTER ( ?association1 != ?association2 )
    }
  )
  # Aggregate results to get the association count per location
  BIND ( COUNT(DISTINCT ?association) AS ?associationCount )
}
GROUP BY ?location ?image
ORDER BY DESC(?associationCount)
```</t>
  </si>
  <si>
    <t>model='mistral-small3.2:latest' created_at='2025-11-20T21:14:01.946434198Z' done=True done_reason='stop' total_duration=284369376204 load_duration=499949418 prompt_eval_count=99419 prompt_eval_duration=255686117220 eval_count=489 eval_duration=27564756550 message=Message(role='assistant', content='PREFIX ns7: &lt;http://dbkwik.webdatacommons.org/marvel.wikia.com/property/%3&gt;\nPREFIX owl: &lt;http://www.w3.org/2002/07/owl#&gt;\nPREFIX ns1: &lt;http://dbkwik.webdatacommons.org/marvel.wikia.com/property/&gt;\nPREFIX ns2: &lt;http://dbkwik.webdatacommons.org/marvel.wikia.com/ontology/&gt;\nPREFIX dcterms: &lt;http://purl.org/dc/terms/&gt;\nPREFIX foaf: &lt;http://xmlns.com/foaf/0.1/&gt;\nPREFIX rdfs: &lt;http://www.w3.org/2000/01/rdf-schema#&gt;\nPREFIX ns3: &lt;http://dbkwik.webdatacommons.org/marvel.wikia.com/property/%3A&gt;\nPREFIX rdf: &lt;http://www.w3.org/1999/02/22-rdf-syntax-ns#&gt;\nPREFIX skos: &lt;http://www.w3.org/2004/02/skos/core#&gt;\nPREFIX xsd: &lt;http://www.w3.org/2001/XMLSchema#&gt;\nPREFIX dc: &lt;http://purl.org/dc/elements/1.1/&gt;\n\nSELECT ?location ?associationCount\nWHERE {\n  ?location rdf:type owl:Thing ;\n            ns2:thumbnail ?image ;\n            ns2:wikiPageWikiLink ?association .\n\n  # Count unique associations per location\n  FILTER NOT EXISTS { ?location ns2:wikiPageWikiLink ?duplicate .\n                        FILTER ( ?association = ?duplicate ) } .\n\n  # Count distinct locations that have been associated with multiple movies and/or characters\n  FILTER (\n    EXISTS {\n      ?location ns2:wikiPageWikiLink ?association1 .\n      ?location ns2:wikiPageWikiLink ?association2 .\n      FILTER ( ?association1 != ?association2 )\n    }\n  )\n\n  # Aggregate results to get the association count per location\n  BIND ( COUNT(DISTINCT ?association) AS ?associationCount )\n}\nGROUP BY ?location ?image\nORDER BY DESC(?associationCount)\n```', thinking=None, images=None, tool_calls=None)</t>
  </si>
  <si>
    <t>ERROR: QueryBadFormed: A bad request has been sent to the endpoint: probably the SPARQL query is badly formed. 
Response:
b'Parse error: Line 32, column 10: Aggregate expression not legal at this point\n'</t>
  </si>
  <si>
    <t>```sparql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WHERE {
    {
        ?teames a owl:Thing .
        ?teames ns2:wikiPageWikiLink ?teams .
        ?teams ns2:wikiPageWikiLink ?char .
        ?char ns1:id ?id .
        ?char ns1:movies ?movie .
        BIND(REPLACE(?char, "^http://dbkwik.webdatacommons.org/marvel.wikia.com/resource/", "Character:") AS ?charpage)
    }
    UNION
    {
        ?powers a owl:Thing .
        ?powers ns2:wikiPageWikiLink ?pwchar .
        ?pwchar ns1:id ?id .
        ?pwchar ns1:teames ?pwteams .
        BIND(REPLACE(?pwchar, "^http://dbkwik.webdatacommons.org/marvel.wikia.com/resource/", "Character:") AS ?charpage)
    }
}
ORDER BY ( ?id )
```</t>
  </si>
  <si>
    <t>model='mistral-small3.2:latest' created_at='2025-11-20T21:18:45.169648516Z' done=True done_reason='stop' total_duration=282501727886 load_duration=549149736 prompt_eval_count=99419 prompt_eval_duration=255730104957 eval_count=458 eval_duration=25626893879 message=Message(role='assistant', content='```sparql\nPREFIX ns1: &lt;http://dbkwik.webdatacommons.org/marvel.wikia.com/property/&gt;\nPREFIX ns2: &lt;http://dbkwik.webdatacommons.org/marvel.wikia.com/ontology/&gt;\nPREFIX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*\nWHERE {\n    {\n        ?teames a owl:Thing .\n        ?teames ns2:wikiPageWikiLink ?teams .\n        ?teams ns2:wikiPageWikiLink ?char .\n        ?char ns1:id ?id .\n        ?char ns1:movies ?movie .\n        BIND(REPLACE(?char, "^http://dbkwik.webdatacommons.org/marvel.wikia.com/resource/", "Character:") AS ?charpage)\n    }\n    UNION\n    {\n        ?powers a owl:Thing .\n        ?powers ns2:wikiPageWikiLink ?pwchar .\n        ?pwchar ns1:id ?id .\n        ?pwchar ns1:teames ?pwteams .\n        BIND(REPLACE(?pwchar, "^http://dbkwik.webdatacommons.org/marvel.wikia.com/resource/", "Character:") AS ?charpage)\n    }\n}\nORDER BY ( ?id )\n```', thinking=None, images=None, tool_calls=None)</t>
  </si>
  <si>
    <t>PREFIX dc: &lt;http://purl.org/dc/elements/1.1/&gt;
PREFIX dcterms: &lt;http://purl.org/dc/terms/&gt;
PREFIX foaf: &lt;http://xmlns.com/foaf/0.1/&gt;
PREFIX ns1: &lt;http://dbkwik.webdatacommons.org/marvel.wikia.com/property/&gt;
PREFIX ns2: &lt;http://dbkwik.webdatacommons.org/marvel.wikia.com/ontology/&gt;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
WHERE {
    {
        ?teames a owl:Thing .
        ?teames ns2:wikiPageWikiLink ?teams .
        ?teams ns2:wikiPageWikiLink ?char .
        ?char ns1:id ?id .
        ?char ns1:movies ?movie .
        BIND(REPLACE(?char, "^http://dbkwik.webdatacommons.org/marvel.wikia.com/resource/", "Character:") AS ?charpage)
    }
    UNION
    {
        ?powers a owl:Thing .
        ?powers ns2:wikiPageWikiLink ?pwchar .
        ?pwchar ns1:id ?id .
        ?pwchar ns1:teames ?pwteams .
        BIND(REPLACE(?pwchar, "^http://dbkwik.webdatacommons.org/marvel.wikia.com/resource/", "Character:") AS ?charpage)
    }
}
ORDER BY ( ?id )</t>
  </si>
  <si>
    <t>{
  "cq_text": "What is the number of unique teams, unique powers, and unique locations represented via their characters for each of the movies?",
  "syntax_ok": true,
  "satisfiable": false,
  "deterministic": true,
  "latency": {
    "p50_ms": 214.25,
    "p95_ms": 225.52,
    "mean_ms": 211.05
  },
  "rows": 0,
  "vars": 9,
  "always_unbound_vars": [
    "char",
    "charpage",
    "id",
    "movie",
    "powers",
    "pwchar",
    "pwteams",
    "teames",
    "teams"
  ],
  "lexical_query_overlap": 0.04,
  "semantic_similarity_to_CQ": 0.64,
  "semantic_soft_coverage_to_CQ": 0.77,
  "tuple_cohesion": null,
  "variables": [
    {
      "var": "char",
      "rows": 0,
      "distinct": 0,
      "null_rate": 1.0,
      "label_resolution_rate": 0.0,
      "diversity_entropy_norm": 0.0,
      "semantic_cohesion": 1.0,
      "dup_ratio": 0.0,
      "bound_rate": 0.0
    },
    {
      "var": "charpage",
      "rows": 0,
      "distinct": 0,
      "null_rate": 1.0,
      "label_resolution_rate": 0.0,
      "diversity_entropy_norm": 0.0,
      "semantic_cohesion": 1.0,
      "dup_ratio": 0.0,
      "bound_rate": 0.0
    },
    {
      "var": "id",
      "rows": 0,
      "distinct": 0,
      "null_rate": 1.0,
      "label_resolution_rate": 0.0,
      "diversity_entropy_norm": 0.0,
      "semantic_cohesion": 1.0,
      "dup_ratio": 0.0,
      "bound_rate": 0.0
    },
    {
      "var": "movie",
      "rows": 0,
      "distinct": 0,
      "null_rate": 1.0,
      "label_resolution_rate": 0.0,
      "diversity_entropy_norm": 0.0,
      "semantic_cohesion": 1.0,
      "dup_ratio": 0.0,
      "bound_rate": 0.0
    },
    {
      "var": "powers",
      "rows": 0,
      "distinct": 0,
      "null_rate": 1.0,
      "label_resolution_rate": 0.0,
      "diversity_entropy_norm": 0.0,
      "semantic_cohesion": 1.0,
      "dup_ratio": 0.0,
      "bound_rate": 0.0
    },
    {
      "var": "pwchar",
      "rows": 0,
      "distinct": 0,
      "null_rate": 1.0,
      "label_resolution_rate": 0.0,
      "diversity_entropy_norm": 0.0,
      "semantic_cohesion": 1.0,
      "dup_ratio": 0.0,
      "bound_rate": 0.0
    },
    {
      "var": "pwteams",
      "rows": 0,
      "distinct": 0,
      "null_rate": 1.0,
      "label_resolution_rate": 0.0,
      "diversity_entropy_norm": 0.0,
      "semantic_cohesion": 1.0,
      "dup_ratio": 0.0,
      "bound_rate": 0.0
    },
    {
      "var": "teames",
      "rows": 0,
      "distinct": 0,
      "null_rate": 1.0,
      "label_resolution_rate": 0.0,
      "diversity_entropy_norm": 0.0,
      "semantic_cohesion": 1.0,
      "dup_ratio": 0.0,
      "bound_rate": 0.0
    },
    {
      "var": "teams",
      "rows": 0,
      "distinct": 0,
      "null_rate": 1.0,
      "label_resolution_rate": 0.0,
      "diversity_entropy_norm": 0.0,
      "semantic_cohesion": 1.0,
      "dup_ratio": 0.0,
      "bound_rate": 0.0
    }
  ]
}</t>
  </si>
  <si>
    <t>["char", "charpage", "id", "movie", "powers", "pwchar", "pwteams", "teames", "teams"]</t>
  </si>
  <si>
    <t>[{"var": "char", "rows": 0, "distinct": 0, "null_rate": 1.0, "label_resolution_rate": 0.0, "diversity_entropy_norm": 0.0, "semantic_cohesion": 1.0, "dup_ratio": 0.0, "bound_rate": 0.0}, {"var": "charpage", "rows": 0, "distinct": 0, "null_rate": 1.0, "label_resolution_rate": 0.0, "diversity_entropy_norm": 0.0, "semantic_cohesion": 1.0, "dup_ratio": 0.0, "bound_rate": 0.0}, {"var": "id", "rows": 0, "distinct": 0, "null_rate": 1.0, "label_resolution_rate": 0.0, "diversity_entropy_norm": 0.0, "semantic_cohesion": 1.0, "dup_ratio": 0.0, "bound_rate": 0.0}, {"var": "movie", "rows": 0, "distinct": 0, "null_rate": 1.0, "label_resolution_rate": 0.0, "diversity_entropy_norm": 0.0, "semantic_cohesion": 1.0, "dup_ratio": 0.0, "bound_rate": 0.0}, {"var": "powers", "rows": 0, "distinct": 0, "null_rate": 1.0, "label_resolution_rate": 0.0, "diversity_entropy_norm": 0.0, "semantic_cohesion": 1.0, "dup_ratio": 0.0, "bound_rate": 0.0}, {"var": "pwchar", "rows": 0, "distinct": 0, "null_rate": 1.0, "label_resolution_rate": 0.0, "diversity_entropy_norm": 0.0, "semantic_cohesion": 1.0, "dup_ratio": 0.0, "bound_rate": 0.0}, {"var": "pwteams", "rows": 0, "distinct": 0, "null_rate": 1.0, "label_resolution_rate": 0.0, "diversity_entropy_norm": 0.0, "semantic_cohesion": 1.0, "dup_ratio": 0.0, "bound_rate": 0.0}, {"var": "teames", "rows": 0, "distinct": 0, "null_rate": 1.0, "label_resolution_rate": 0.0, "diversity_entropy_norm": 0.0, "semantic_cohesion": 1.0, "dup_ratio": 0.0, "bound_rate": 0.0}, {"var": "teams", "rows": 0, "distinct": 0, "null_rate": 1.0, "label_resolution_rate": 0.0, "diversity_entropy_norm": 0.0, "semantic_cohesion": 1.0, "dup_ratio": 0.0, "bound_rate": 0.0}]</t>
  </si>
  <si>
    <t>SELECT
    COUNT(DISTINCT ?comic3) AS ?numCharacters
WHERE
    {
        # Define the two sets of characters
        {
            # Characters from the first character's co-appearances
            ?comic1 ns2:wikiPageWikiLink ?character1 .
            ?comic1 ns2:wikiPageWikiLink ?comic2 .
            ?comic2 ns2:wikiPageWikiLink ?character2 .
            # Characters from the second character's co-appearances
            ?comic4 ns2:wikiPageWikiLink ?character2 .
            ?comic4 ns2:wikiPageWikiLink ?comic5 .
            ?comic5 ns2:wikiPageWikiLink ?character3 .
            # Ensure that the characters are different
            FILTER (?character1 != ?character2 &amp;&amp; ?character2 != ?character3)
        }
        # Find common co-appearing characters
        OPTIONAL {
            ?comic3 ns2:wikiPageWikiLink ?character1 .
            ?comic3 ns2:wikiPageWikiLink ?character3 .
            FILTER (?character1 != ?character3)
        }
    }
```
This query is designed to find characters that co-appear with each of the given characters, effectively creating a co-appearance network based on shared appearances in comics. The query uses the `wikiPageWikiLink` property to represent the relationships between comics and characters. The `FILTER` statements ensure that the characters being compared are distinct, preventing the same character from being counted in both sets. The query aggregates the results to count the number of common co-appearing characters.</t>
  </si>
  <si>
    <t>model='mistral-small3.2:latest' created_at='2025-11-20T21:23:21.939478756Z' done=True done_reason='stop' total_duration=276450181707 load_duration=460440105 prompt_eval_count=99419 prompt_eval_duration=255711001211 eval_count=352 eval_duration=19720088334 message=Message(role='assistant', content="SELECT\n    COUNT(DISTINCT ?comic3) AS ?numCharacters\nWHERE\n    {\n        # Define the two sets of characters\n        {\n            # Characters from the first character's co-appearances\n            ?comic1 ns2:wikiPageWikiLink ?character1 .\n            ?comic1 ns2:wikiPageWikiLink ?comic2 .\n            ?comic2 ns2:wikiPageWikiLink ?character2 .\n\n            # Characters from the second character's co-appearances\n            ?comic4 ns2:wikiPageWikiLink ?character2 .\n            ?comic4 ns2:wikiPageWikiLink ?comic5 .\n            ?comic5 ns2:wikiPageWikiLink ?character3 .\n\n            # Ensure that the characters are different\n            FILTER (?character1 != ?character2 &amp;&amp; ?character2 != ?character3)\n        }\n        # Find common co-appearing characters\n        OPTIONAL {\n            ?comic3 ns2:wikiPageWikiLink ?character1 .\n            ?comic3 ns2:wikiPageWikiLink ?character3 .\n            FILTER (?character1 != ?character3)\n        }\n    }\n```\n\nThis query is designed to find characters that co-appear with each of the given characters, effectively creating a co-appearance network based on shared appearances in comics. The query uses the `wikiPageWikiLink` property to represent the relationships between comics and characters. The `FILTER` statements ensure that the characters being compared are distinct, preventing the same character from being counted in both sets. The query aggregates the results to count the number of common co-appearing characters.",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</si>
  <si>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COUNT(DISTINCT ?comic3) AS ?numCharacters
WHERE
    {
        # Define the two sets of characters
        {
            # Characters from the first character's co-appearances
            ?comic1 ns2:wikiPageWikiLink ?character1 .
            ?comic1 ns2:wikiPageWikiLink ?comic2 .
            ?comic2 ns2:wikiPageWikiLink ?character2 .
            # Characters from the second character's co-appearances
            ?comic4 ns2:wikiPageWikiLink ?character2 .
            ?comic4 ns2:wikiPageWikiLink ?comic5 .
            ?comic5 ns2:wikiPageWikiLink ?character3 .
            # Ensure that the characters are different
            FILTER (?character1 != ?character2 &amp;&amp; ?character2 != ?character3)
        }
        # Find common co-appearing characters
        OPTIONAL {
            ?comic3 ns2:wikiPageWikiLink ?character1 .
            ?comic3 ns2:wikiPageWikiLink ?character3 .
            FILTER (?character1 != ?character3)
        }
    }
```
This query is designed to find characters that co-appear with each of the given characters, effectively creating a co-appearance network based on shared appearances in comics. The query uses the `wikiPageWikiLink` property to represent the relationships between comics and characters. The `FILTER` statements ensure that the characters being compared are distinct, preventing the same character from being counted in both sets. The query aggregates the results to count the number of common co-appearing characters.</t>
  </si>
  <si>
    <t>ERROR: QueryBadFormed: A bad request has been sent to the endpoint: probably the SPARQL query is badly formed. 
Response:
b'Parse error: Encountered " "as" "AS "" at line 14, column 29.\n'</t>
  </si>
  <si>
    <t>PREFIX rdf: &lt;http://www.w3.org/1999/02/22-rdf-syntax-ns#&gt;
PREFIX ns1: &lt;http://dbkwik.webdatacommons.org/marvel.wikia.com/property/&gt;
PREFIX rdfs: &lt;http://www.w3.org/2000/01/rdf-schema#&gt;
PREFIX ns2: &lt;http://dbkwik.webdatacommons.org/marvel.wikia.com/ontology/&gt;
PREFIX ns3: &lt;http://dbkwik.webdatacommons.org/marvel.wikia.com/property/%3&gt;
PREFIX ns7: &lt;http://dbkwik.webdatacommons.org/marvel.wikia.com/property/alternate232%60&gt;
PREFIX owl: &lt;http://www.w3.org/2002/07/owl#&gt;
PREFIX skos: &lt;http://www.w3.org/2004/02/skos/core#&gt;
SELECT ?teams ?powers ?members WHERE {
  ?teams ns1:title ?powers.
  ?members ns1:teames ?teams.
  ?members ns1:powers ?powers.
}
ORDER BY DESC(?teams)
LIMIT 100</t>
  </si>
  <si>
    <t>model='mistral-small3.2:latest' created_at='2025-11-20T21:27:55.707770626Z' done=True done_reason='stop' total_duration=272893271673 load_duration=1027074218 prompt_eval_count=99432 prompt_eval_duration=255666649084 eval_count=280 eval_duration=15663092168 message=Message(role='assistant', content='PREFIX rdf: &lt;http://www.w3.org/1999/02/22-rdf-syntax-ns#&gt;\nPREFIX ns1: &lt;http://dbkwik.webdatacommons.org/marvel.wikia.com/property/&gt;\nPREFIX rdfs: &lt;http://www.w3.org/2000/01/rdf-schema#&gt;\nPREFIX ns2: &lt;http://dbkwik.webdatacommons.org/marvel.wikia.com/ontology/&gt;\nPREFIX ns3: &lt;http://dbkwik.webdatacommons.org/marvel.wikia.com/property/%3&gt;\nPREFIX ns7: &lt;http://dbkwik.webdatacommons.org/marvel.wikia.com/property/alternate232%60&gt;\nPREFIX owl: &lt;http://www.w3.org/2002/07/owl#&gt;\nPREFIX skos: &lt;http://www.w3.org/2004/02/skos/core#&gt;\n\nSELECT ?teams ?powers ?members WHERE {\n  ?teams ns1:title ?powers.\n  ?members ns1:teames ?teams.\n  ?members ns1:powers ?powers.\n}\nORDER BY DESC(?teams)\nLIMIT 100', thinking=None, images=None, tool_calls=None)</t>
  </si>
  <si>
    <t>PREFIX dc: &lt;http://purl.org/dc/elements/1.1/&gt;
PREFIX dcterms: &lt;http://purl.org/dc/terms/&gt;
PREFIX foaf: &lt;http://xmlns.com/foaf/0.1/&gt;
PREFIX xsd: &lt;http://www.w3.org/2001/XMLSchema#&gt;
PREFIX rdf: &lt;http://www.w3.org/1999/02/22-rdf-syntax-ns#&gt;
PREFIX ns1: &lt;http://dbkwik.webdatacommons.org/marvel.wikia.com/property/&gt;
PREFIX rdfs: &lt;http://www.w3.org/2000/01/rdf-schema#&gt;
PREFIX ns2: &lt;http://dbkwik.webdatacommons.org/marvel.wikia.com/ontology/&gt;
PREFIX ns3: &lt;http://dbkwik.webdatacommons.org/marvel.wikia.com/property/%3&gt;
PREFIX ns7: &lt;http://dbkwik.webdatacommons.org/marvel.wikia.com/property/alternate232%60&gt;
PREFIX owl: &lt;http://www.w3.org/2002/07/owl#&gt;
PREFIX skos: &lt;http://www.w3.org/2004/02/skos/core#&gt;
SELECT ?teams ?powers ?members WHERE {
  ?teams ns1:title ?powers.
  ?members ns1:teames ?teams.
  ?members ns1:powers ?powers.
}
ORDER BY DESC(?teams)
LIMIT 100</t>
  </si>
  <si>
    <t>{
  "cq_text": "What are all the distributions of powers among each team's members, grouped by teams,  for comparing teams for computability (e.g., which powers are most characteristic of each team)?",
  "syntax_ok": true,
  "satisfiable": false,
  "deterministic": true,
  "latency": {
    "p50_ms": 83.76,
    "p95_ms": 89.0,
    "mean_ms": 83.98
  },
  "rows": 0,
  "vars": 3,
  "always_unbound_vars": [
    "teams",
    "powers",
    "members"
  ],
  "lexical_query_overlap": 0.12,
  "semantic_similarity_to_CQ": 0.68,
  "semantic_soft_coverage_to_CQ": 0.78,
  "tuple_cohesion": null,
  "variables": [
    {
      "var": "teams",
      "rows": 0,
      "distinct": 0,
      "null_rate": 1.0,
      "label_resolution_rate": 0.0,
      "diversity_entropy_norm": 0.0,
      "semantic_cohesion": 1.0,
      "dup_ratio": 0.0,
      "bound_rate": 0.0
    },
    {
      "var": "powers",
      "rows": 0,
      "distinct": 0,
      "null_rate": 1.0,
      "label_resolution_rate": 0.0,
      "diversity_entropy_norm": 0.0,
      "semantic_cohesion": 1.0,
      "dup_ratio": 0.0,
      "bound_rate": 0.0
    },
    {
      "var": "members",
      "rows": 0,
      "distinct": 0,
      "null_rate": 1.0,
      "label_resolution_rate": 0.0,
      "diversity_entropy_norm": 0.0,
      "semantic_cohesion": 1.0,
      "dup_ratio": 0.0,
      "bound_rate": 0.0
    }
  ]
}</t>
  </si>
  <si>
    <t>["teams", "powers", "members"]</t>
  </si>
  <si>
    <t>[{"var": "teams", "rows": 0, "distinct": 0, "null_rate": 1.0, "label_resolution_rate": 0.0, "diversity_entropy_norm": 0.0, "semantic_cohesion": 1.0, "dup_ratio": 0.0, "bound_rate": 0.0}, {"var": "powers", "rows": 0, "distinct": 0, "null_rate": 1.0, "label_resolution_rate": 0.0, "diversity_entropy_norm": 0.0, "semantic_cohesion": 1.0, "dup_ratio": 0.0, "bound_rate": 0.0}, {"var": "members", "rows": 0, "distinct": 0, "null_rate": 1.0, "label_resolution_rate": 0.0, "diversity_entropy_norm": 0.0, "semantic_cohesion": 1.0, "dup_ratio": 0.0, "bound_rate":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</si>
</sst>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106</v>
      </c>
      <c r="D2" t="s">
        <v>107</v>
      </c>
      <c r="E2" t="s">
        <v>108</v>
      </c>
      <c r="F2" t="s">
        <v>109</v>
      </c>
      <c r="G2" t="b">
        <v>1</v>
      </c>
      <c r="H2" t="b">
        <v>0</v>
      </c>
      <c r="I2" t="b">
        <v>1</v>
      </c>
      <c r="J2">
        <v>0</v>
      </c>
      <c r="K2">
        <v>1</v>
      </c>
      <c r="L2">
        <v>15.87</v>
      </c>
      <c r="M2">
        <v>17.22</v>
      </c>
      <c r="N2">
        <v>16.309999999999999</v>
      </c>
      <c r="O2">
        <v>0</v>
      </c>
      <c r="P2">
        <v>0.62</v>
      </c>
      <c r="Q2">
        <v>0.74</v>
      </c>
      <c r="S2" t="s">
        <v>110</v>
      </c>
      <c r="T2" t="s">
        <v>111</v>
      </c>
      <c r="U2" t="s">
        <v>28</v>
      </c>
      <c r="V2">
        <v>1</v>
      </c>
      <c r="W2">
        <v>0</v>
      </c>
      <c r="X2">
        <v>0.5</v>
      </c>
      <c r="Y2">
        <v>0.33333333333333331</v>
      </c>
    </row>
    <row r="3" spans="1:25" x14ac:dyDescent="0.2">
      <c r="A3" t="s">
        <v>29</v>
      </c>
      <c r="B3" t="s">
        <v>30</v>
      </c>
      <c r="C3" t="s">
        <v>112</v>
      </c>
      <c r="D3" t="s">
        <v>113</v>
      </c>
      <c r="E3" t="s">
        <v>114</v>
      </c>
      <c r="F3" t="s">
        <v>115</v>
      </c>
      <c r="G3" t="b">
        <v>0</v>
      </c>
      <c r="H3" t="b">
        <v>0</v>
      </c>
      <c r="I3" t="b">
        <v>0</v>
      </c>
      <c r="J3">
        <v>0</v>
      </c>
      <c r="K3">
        <v>0</v>
      </c>
      <c r="O3">
        <v>0</v>
      </c>
      <c r="P3">
        <v>0</v>
      </c>
      <c r="Q3">
        <v>0</v>
      </c>
      <c r="R3">
        <v>0</v>
      </c>
      <c r="S3" t="s">
        <v>27</v>
      </c>
      <c r="T3" t="s">
        <v>27</v>
      </c>
      <c r="U3" t="s">
        <v>28</v>
      </c>
      <c r="V3">
        <v>0</v>
      </c>
      <c r="W3">
        <v>0</v>
      </c>
      <c r="X3">
        <v>0</v>
      </c>
      <c r="Y3">
        <v>0</v>
      </c>
    </row>
    <row r="4" spans="1:25" x14ac:dyDescent="0.2">
      <c r="A4" t="s">
        <v>31</v>
      </c>
      <c r="B4" t="s">
        <v>32</v>
      </c>
      <c r="C4" t="s">
        <v>116</v>
      </c>
      <c r="D4" t="s">
        <v>117</v>
      </c>
      <c r="E4" t="s">
        <v>118</v>
      </c>
      <c r="F4" t="s">
        <v>119</v>
      </c>
      <c r="G4" t="b">
        <v>1</v>
      </c>
      <c r="H4" t="b">
        <v>1</v>
      </c>
      <c r="I4" t="b">
        <v>1</v>
      </c>
      <c r="J4">
        <v>2</v>
      </c>
      <c r="K4">
        <v>3</v>
      </c>
      <c r="L4">
        <v>12.39</v>
      </c>
      <c r="M4">
        <v>16.940000000000001</v>
      </c>
      <c r="N4">
        <v>13.09</v>
      </c>
      <c r="O4">
        <v>0.12</v>
      </c>
      <c r="P4">
        <v>0.78</v>
      </c>
      <c r="Q4">
        <v>0.81</v>
      </c>
      <c r="R4">
        <v>0.88</v>
      </c>
      <c r="S4" t="s">
        <v>27</v>
      </c>
      <c r="T4" t="s">
        <v>120</v>
      </c>
      <c r="U4" t="s">
        <v>28</v>
      </c>
      <c r="V4">
        <v>1</v>
      </c>
      <c r="W4">
        <v>1</v>
      </c>
      <c r="X4">
        <v>1</v>
      </c>
      <c r="Y4">
        <v>0</v>
      </c>
    </row>
    <row r="5" spans="1:25" x14ac:dyDescent="0.2">
      <c r="A5" t="s">
        <v>33</v>
      </c>
      <c r="B5" t="s">
        <v>34</v>
      </c>
      <c r="C5" t="s">
        <v>121</v>
      </c>
      <c r="D5" t="s">
        <v>122</v>
      </c>
      <c r="E5" t="s">
        <v>123</v>
      </c>
      <c r="F5" t="s">
        <v>124</v>
      </c>
      <c r="G5" t="b">
        <v>1</v>
      </c>
      <c r="H5" t="b">
        <v>0</v>
      </c>
      <c r="I5" t="b">
        <v>1</v>
      </c>
      <c r="J5">
        <v>0</v>
      </c>
      <c r="K5">
        <v>2</v>
      </c>
      <c r="L5">
        <v>8.83</v>
      </c>
      <c r="M5">
        <v>15.32</v>
      </c>
      <c r="N5">
        <v>10.28</v>
      </c>
      <c r="O5">
        <v>0.12</v>
      </c>
      <c r="P5">
        <v>0.73</v>
      </c>
      <c r="Q5">
        <v>0.77</v>
      </c>
      <c r="S5" t="s">
        <v>125</v>
      </c>
      <c r="T5" t="s">
        <v>126</v>
      </c>
      <c r="U5" t="s">
        <v>28</v>
      </c>
      <c r="V5">
        <v>1</v>
      </c>
      <c r="W5">
        <v>0</v>
      </c>
      <c r="X5">
        <v>0.5</v>
      </c>
      <c r="Y5">
        <v>0.33333333333333331</v>
      </c>
    </row>
    <row r="6" spans="1:25" x14ac:dyDescent="0.2">
      <c r="A6" t="s">
        <v>35</v>
      </c>
      <c r="B6" t="s">
        <v>36</v>
      </c>
      <c r="C6" t="s">
        <v>127</v>
      </c>
      <c r="D6" t="s">
        <v>128</v>
      </c>
      <c r="E6" t="s">
        <v>129</v>
      </c>
      <c r="F6" t="s">
        <v>130</v>
      </c>
      <c r="G6" t="b">
        <v>1</v>
      </c>
      <c r="H6" t="b">
        <v>1</v>
      </c>
      <c r="I6" t="b">
        <v>1</v>
      </c>
      <c r="J6">
        <v>1</v>
      </c>
      <c r="K6">
        <v>5</v>
      </c>
      <c r="L6">
        <v>8.1999999999999993</v>
      </c>
      <c r="M6">
        <v>14.54</v>
      </c>
      <c r="N6">
        <v>10.3</v>
      </c>
      <c r="O6">
        <v>0.05</v>
      </c>
      <c r="P6">
        <v>0.68</v>
      </c>
      <c r="Q6">
        <v>0.72</v>
      </c>
      <c r="R6">
        <v>1</v>
      </c>
      <c r="S6" t="s">
        <v>27</v>
      </c>
      <c r="T6" t="s">
        <v>131</v>
      </c>
      <c r="U6" t="s">
        <v>28</v>
      </c>
      <c r="V6">
        <v>1</v>
      </c>
      <c r="W6">
        <v>1</v>
      </c>
      <c r="X6">
        <v>1</v>
      </c>
      <c r="Y6">
        <v>0</v>
      </c>
    </row>
    <row r="7" spans="1:25" x14ac:dyDescent="0.2">
      <c r="A7" t="s">
        <v>37</v>
      </c>
      <c r="B7" t="s">
        <v>38</v>
      </c>
      <c r="C7" t="s">
        <v>132</v>
      </c>
      <c r="D7" t="s">
        <v>133</v>
      </c>
      <c r="E7" t="s">
        <v>134</v>
      </c>
      <c r="F7" t="s">
        <v>135</v>
      </c>
      <c r="G7" t="b">
        <v>0</v>
      </c>
      <c r="H7" t="b">
        <v>0</v>
      </c>
      <c r="I7" t="b">
        <v>0</v>
      </c>
      <c r="J7">
        <v>0</v>
      </c>
      <c r="K7">
        <v>0</v>
      </c>
      <c r="O7">
        <v>0</v>
      </c>
      <c r="P7">
        <v>0</v>
      </c>
      <c r="Q7">
        <v>0</v>
      </c>
      <c r="R7">
        <v>0</v>
      </c>
      <c r="S7" t="s">
        <v>27</v>
      </c>
      <c r="T7" t="s">
        <v>27</v>
      </c>
      <c r="U7" t="s">
        <v>28</v>
      </c>
      <c r="V7">
        <v>0</v>
      </c>
      <c r="W7">
        <v>0</v>
      </c>
      <c r="X7">
        <v>0</v>
      </c>
      <c r="Y7">
        <v>0</v>
      </c>
    </row>
    <row r="8" spans="1:25" x14ac:dyDescent="0.2">
      <c r="A8" t="s">
        <v>39</v>
      </c>
      <c r="B8" t="s">
        <v>40</v>
      </c>
      <c r="C8" t="s">
        <v>136</v>
      </c>
      <c r="D8" t="s">
        <v>137</v>
      </c>
      <c r="E8" t="s">
        <v>138</v>
      </c>
      <c r="F8" t="s">
        <v>139</v>
      </c>
      <c r="G8" t="b">
        <v>1</v>
      </c>
      <c r="H8" t="b">
        <v>1</v>
      </c>
      <c r="I8" t="b">
        <v>1</v>
      </c>
      <c r="J8">
        <v>25191</v>
      </c>
      <c r="K8">
        <v>2</v>
      </c>
      <c r="L8">
        <v>647.23</v>
      </c>
      <c r="M8">
        <v>670.94</v>
      </c>
      <c r="N8">
        <v>645.19000000000005</v>
      </c>
      <c r="O8">
        <v>0.08</v>
      </c>
      <c r="P8">
        <v>0.71</v>
      </c>
      <c r="Q8">
        <v>0.77</v>
      </c>
      <c r="R8">
        <v>0.94</v>
      </c>
      <c r="S8" t="s">
        <v>27</v>
      </c>
      <c r="T8" t="s">
        <v>140</v>
      </c>
      <c r="U8" t="s">
        <v>28</v>
      </c>
      <c r="V8">
        <v>1</v>
      </c>
      <c r="W8">
        <v>1</v>
      </c>
      <c r="X8">
        <v>1</v>
      </c>
      <c r="Y8">
        <v>0.42666666666666669</v>
      </c>
    </row>
    <row r="9" spans="1:25" x14ac:dyDescent="0.2">
      <c r="A9" t="s">
        <v>41</v>
      </c>
      <c r="B9" t="s">
        <v>42</v>
      </c>
      <c r="C9" t="s">
        <v>141</v>
      </c>
      <c r="D9" t="s">
        <v>142</v>
      </c>
      <c r="E9" t="s">
        <v>143</v>
      </c>
      <c r="F9" t="s">
        <v>144</v>
      </c>
      <c r="G9" t="b">
        <v>0</v>
      </c>
      <c r="H9" t="b">
        <v>0</v>
      </c>
      <c r="I9" t="b">
        <v>0</v>
      </c>
      <c r="J9">
        <v>0</v>
      </c>
      <c r="K9">
        <v>0</v>
      </c>
      <c r="O9">
        <v>0</v>
      </c>
      <c r="P9">
        <v>0</v>
      </c>
      <c r="Q9">
        <v>0</v>
      </c>
      <c r="R9">
        <v>0</v>
      </c>
      <c r="S9" t="s">
        <v>27</v>
      </c>
      <c r="T9" t="s">
        <v>27</v>
      </c>
      <c r="U9" t="s">
        <v>28</v>
      </c>
      <c r="V9">
        <v>0</v>
      </c>
      <c r="W9">
        <v>0</v>
      </c>
      <c r="X9">
        <v>0</v>
      </c>
      <c r="Y9">
        <v>0</v>
      </c>
    </row>
    <row r="10" spans="1:25" x14ac:dyDescent="0.2">
      <c r="A10" t="s">
        <v>43</v>
      </c>
      <c r="B10" t="s">
        <v>44</v>
      </c>
      <c r="C10" t="s">
        <v>145</v>
      </c>
      <c r="D10" t="s">
        <v>146</v>
      </c>
      <c r="E10" t="s">
        <v>147</v>
      </c>
      <c r="F10" t="s">
        <v>148</v>
      </c>
      <c r="G10" t="b">
        <v>0</v>
      </c>
      <c r="H10" t="b">
        <v>0</v>
      </c>
      <c r="I10" t="b">
        <v>0</v>
      </c>
      <c r="J10">
        <v>0</v>
      </c>
      <c r="K10">
        <v>0</v>
      </c>
      <c r="O10">
        <v>0</v>
      </c>
      <c r="P10">
        <v>0</v>
      </c>
      <c r="Q10">
        <v>0</v>
      </c>
      <c r="R10">
        <v>0</v>
      </c>
      <c r="S10" t="s">
        <v>27</v>
      </c>
      <c r="T10" t="s">
        <v>27</v>
      </c>
      <c r="U10" t="s">
        <v>28</v>
      </c>
      <c r="V10">
        <v>0</v>
      </c>
      <c r="W10">
        <v>0</v>
      </c>
      <c r="X10">
        <v>0</v>
      </c>
      <c r="Y10">
        <v>0</v>
      </c>
    </row>
    <row r="11" spans="1:25" x14ac:dyDescent="0.2">
      <c r="A11" t="s">
        <v>45</v>
      </c>
      <c r="B11" t="s">
        <v>46</v>
      </c>
      <c r="C11" t="s">
        <v>149</v>
      </c>
      <c r="D11" t="s">
        <v>150</v>
      </c>
      <c r="E11" t="s">
        <v>151</v>
      </c>
      <c r="F11" t="s">
        <v>152</v>
      </c>
      <c r="G11" t="b">
        <v>0</v>
      </c>
      <c r="H11" t="b">
        <v>0</v>
      </c>
      <c r="I11" t="b">
        <v>0</v>
      </c>
      <c r="J11">
        <v>0</v>
      </c>
      <c r="K11">
        <v>0</v>
      </c>
      <c r="O11">
        <v>0</v>
      </c>
      <c r="P11">
        <v>0</v>
      </c>
      <c r="Q11">
        <v>0</v>
      </c>
      <c r="R11">
        <v>0</v>
      </c>
      <c r="S11" t="s">
        <v>27</v>
      </c>
      <c r="T11" t="s">
        <v>27</v>
      </c>
      <c r="U11" t="s">
        <v>28</v>
      </c>
      <c r="V11">
        <v>0</v>
      </c>
      <c r="W11">
        <v>0</v>
      </c>
      <c r="X11">
        <v>0</v>
      </c>
      <c r="Y11">
        <v>0</v>
      </c>
    </row>
    <row r="12" spans="1:25" x14ac:dyDescent="0.2">
      <c r="A12" t="s">
        <v>47</v>
      </c>
      <c r="B12" t="s">
        <v>48</v>
      </c>
      <c r="C12" t="s">
        <v>153</v>
      </c>
      <c r="D12" t="s">
        <v>154</v>
      </c>
      <c r="E12" t="s">
        <v>155</v>
      </c>
      <c r="F12" t="s">
        <v>156</v>
      </c>
      <c r="G12" t="b">
        <v>1</v>
      </c>
      <c r="H12" t="b">
        <v>0</v>
      </c>
      <c r="I12" t="b">
        <v>1</v>
      </c>
      <c r="J12">
        <v>0</v>
      </c>
      <c r="K12">
        <v>2</v>
      </c>
      <c r="L12">
        <v>7.47</v>
      </c>
      <c r="M12">
        <v>15.06</v>
      </c>
      <c r="N12">
        <v>9.9</v>
      </c>
      <c r="O12">
        <v>0</v>
      </c>
      <c r="P12">
        <v>0.61</v>
      </c>
      <c r="Q12">
        <v>0.69</v>
      </c>
      <c r="S12" t="s">
        <v>157</v>
      </c>
      <c r="T12" t="s">
        <v>158</v>
      </c>
      <c r="U12" t="s">
        <v>28</v>
      </c>
      <c r="V12">
        <v>1</v>
      </c>
      <c r="W12">
        <v>0</v>
      </c>
      <c r="X12">
        <v>0.5</v>
      </c>
      <c r="Y12">
        <v>0.33333333333333331</v>
      </c>
    </row>
    <row r="13" spans="1:25" x14ac:dyDescent="0.2">
      <c r="A13" t="s">
        <v>49</v>
      </c>
      <c r="B13" t="s">
        <v>50</v>
      </c>
      <c r="C13" t="s">
        <v>159</v>
      </c>
      <c r="D13" t="s">
        <v>160</v>
      </c>
      <c r="E13" t="s">
        <v>161</v>
      </c>
      <c r="F13" t="s">
        <v>162</v>
      </c>
      <c r="G13" t="b">
        <v>1</v>
      </c>
      <c r="H13" t="b">
        <v>1</v>
      </c>
      <c r="I13" t="b">
        <v>1</v>
      </c>
      <c r="J13">
        <v>1</v>
      </c>
      <c r="K13">
        <v>2</v>
      </c>
      <c r="L13">
        <v>41459.14</v>
      </c>
      <c r="M13">
        <v>43159.53</v>
      </c>
      <c r="N13">
        <v>41726.589999999997</v>
      </c>
      <c r="O13">
        <v>0.04</v>
      </c>
      <c r="P13">
        <v>0.67</v>
      </c>
      <c r="Q13">
        <v>0.72</v>
      </c>
      <c r="R13">
        <v>1</v>
      </c>
      <c r="S13" t="s">
        <v>163</v>
      </c>
      <c r="T13" t="s">
        <v>164</v>
      </c>
      <c r="U13" t="s">
        <v>28</v>
      </c>
      <c r="V13">
        <v>1</v>
      </c>
      <c r="W13">
        <v>0</v>
      </c>
      <c r="X13">
        <v>0.5</v>
      </c>
      <c r="Y13">
        <v>0.33333333333333331</v>
      </c>
    </row>
    <row r="14" spans="1:25" x14ac:dyDescent="0.2">
      <c r="A14" t="s">
        <v>51</v>
      </c>
      <c r="B14" t="s">
        <v>52</v>
      </c>
      <c r="C14" t="s">
        <v>165</v>
      </c>
      <c r="D14" t="s">
        <v>166</v>
      </c>
      <c r="E14" t="s">
        <v>167</v>
      </c>
      <c r="F14" t="s">
        <v>168</v>
      </c>
      <c r="G14" t="b">
        <v>0</v>
      </c>
      <c r="H14" t="b">
        <v>0</v>
      </c>
      <c r="I14" t="b">
        <v>0</v>
      </c>
      <c r="J14">
        <v>0</v>
      </c>
      <c r="K14">
        <v>0</v>
      </c>
      <c r="O14">
        <v>0</v>
      </c>
      <c r="P14">
        <v>0</v>
      </c>
      <c r="Q14">
        <v>0</v>
      </c>
      <c r="R14">
        <v>0</v>
      </c>
      <c r="S14" t="s">
        <v>27</v>
      </c>
      <c r="T14" t="s">
        <v>27</v>
      </c>
      <c r="U14" t="s">
        <v>55</v>
      </c>
      <c r="V14">
        <v>0</v>
      </c>
      <c r="W14">
        <v>0</v>
      </c>
      <c r="X14">
        <v>0</v>
      </c>
      <c r="Y14">
        <v>0</v>
      </c>
    </row>
    <row r="15" spans="1:25" x14ac:dyDescent="0.2">
      <c r="A15" t="s">
        <v>53</v>
      </c>
      <c r="B15" t="s">
        <v>54</v>
      </c>
      <c r="C15" t="s">
        <v>169</v>
      </c>
      <c r="D15" t="s">
        <v>170</v>
      </c>
      <c r="E15" t="s">
        <v>169</v>
      </c>
      <c r="F15" t="s">
        <v>171</v>
      </c>
      <c r="G15" t="b">
        <v>1</v>
      </c>
      <c r="H15" t="b">
        <v>0</v>
      </c>
      <c r="I15" t="b">
        <v>1</v>
      </c>
      <c r="J15">
        <v>0</v>
      </c>
      <c r="K15">
        <v>2</v>
      </c>
      <c r="L15">
        <v>10.17</v>
      </c>
      <c r="M15">
        <v>24.95</v>
      </c>
      <c r="N15">
        <v>15.02</v>
      </c>
      <c r="O15">
        <v>0.1</v>
      </c>
      <c r="P15">
        <v>0.62</v>
      </c>
      <c r="Q15">
        <v>0.8</v>
      </c>
      <c r="S15" t="s">
        <v>172</v>
      </c>
      <c r="T15" t="s">
        <v>173</v>
      </c>
      <c r="U15" t="s">
        <v>55</v>
      </c>
      <c r="V15">
        <v>1</v>
      </c>
      <c r="W15">
        <v>0</v>
      </c>
      <c r="X15">
        <v>0.5</v>
      </c>
      <c r="Y15">
        <v>0.33333333333333331</v>
      </c>
    </row>
    <row r="16" spans="1:25" x14ac:dyDescent="0.2">
      <c r="A16" t="s">
        <v>56</v>
      </c>
      <c r="B16" t="s">
        <v>57</v>
      </c>
      <c r="C16" t="s">
        <v>174</v>
      </c>
      <c r="D16" t="s">
        <v>175</v>
      </c>
      <c r="E16" t="s">
        <v>176</v>
      </c>
      <c r="F16" t="s">
        <v>177</v>
      </c>
      <c r="G16" t="b">
        <v>0</v>
      </c>
      <c r="H16" t="b">
        <v>0</v>
      </c>
      <c r="I16" t="b">
        <v>0</v>
      </c>
      <c r="J16">
        <v>0</v>
      </c>
      <c r="K16">
        <v>0</v>
      </c>
      <c r="O16">
        <v>0</v>
      </c>
      <c r="P16">
        <v>0</v>
      </c>
      <c r="Q16">
        <v>0</v>
      </c>
      <c r="R16">
        <v>0</v>
      </c>
      <c r="S16" t="s">
        <v>27</v>
      </c>
      <c r="T16" t="s">
        <v>27</v>
      </c>
      <c r="U16" t="s">
        <v>55</v>
      </c>
      <c r="V16">
        <v>0</v>
      </c>
      <c r="W16">
        <v>0</v>
      </c>
      <c r="X16">
        <v>0</v>
      </c>
      <c r="Y16">
        <v>0</v>
      </c>
    </row>
    <row r="17" spans="1:25" x14ac:dyDescent="0.2">
      <c r="A17" t="s">
        <v>58</v>
      </c>
      <c r="B17" t="s">
        <v>59</v>
      </c>
      <c r="C17" t="s">
        <v>178</v>
      </c>
      <c r="D17" t="s">
        <v>179</v>
      </c>
      <c r="E17" t="s">
        <v>180</v>
      </c>
      <c r="F17" t="s">
        <v>181</v>
      </c>
      <c r="G17" t="b">
        <v>0</v>
      </c>
      <c r="H17" t="b">
        <v>0</v>
      </c>
      <c r="I17" t="b">
        <v>0</v>
      </c>
      <c r="J17">
        <v>0</v>
      </c>
      <c r="K17">
        <v>0</v>
      </c>
      <c r="O17">
        <v>0</v>
      </c>
      <c r="P17">
        <v>0</v>
      </c>
      <c r="Q17">
        <v>0</v>
      </c>
      <c r="R17">
        <v>0</v>
      </c>
      <c r="S17" t="s">
        <v>27</v>
      </c>
      <c r="T17" t="s">
        <v>27</v>
      </c>
      <c r="U17" t="s">
        <v>55</v>
      </c>
      <c r="V17">
        <v>0</v>
      </c>
      <c r="W17">
        <v>0</v>
      </c>
      <c r="X17">
        <v>0</v>
      </c>
      <c r="Y17">
        <v>0</v>
      </c>
    </row>
    <row r="18" spans="1:25" x14ac:dyDescent="0.2">
      <c r="A18" t="s">
        <v>60</v>
      </c>
      <c r="B18" t="s">
        <v>61</v>
      </c>
      <c r="C18" t="s">
        <v>182</v>
      </c>
      <c r="D18" t="s">
        <v>183</v>
      </c>
      <c r="E18" t="s">
        <v>184</v>
      </c>
      <c r="F18" t="s">
        <v>185</v>
      </c>
      <c r="G18" t="b">
        <v>0</v>
      </c>
      <c r="H18" t="b">
        <v>0</v>
      </c>
      <c r="I18" t="b">
        <v>0</v>
      </c>
      <c r="J18">
        <v>0</v>
      </c>
      <c r="K18">
        <v>0</v>
      </c>
      <c r="O18">
        <v>0</v>
      </c>
      <c r="P18">
        <v>0</v>
      </c>
      <c r="Q18">
        <v>0</v>
      </c>
      <c r="R18">
        <v>0</v>
      </c>
      <c r="S18" t="s">
        <v>27</v>
      </c>
      <c r="T18" t="s">
        <v>27</v>
      </c>
      <c r="U18" t="s">
        <v>55</v>
      </c>
      <c r="V18">
        <v>0</v>
      </c>
      <c r="W18">
        <v>0</v>
      </c>
      <c r="X18">
        <v>0</v>
      </c>
      <c r="Y18">
        <v>0</v>
      </c>
    </row>
    <row r="19" spans="1:25" x14ac:dyDescent="0.2">
      <c r="A19" t="s">
        <v>62</v>
      </c>
      <c r="B19" t="s">
        <v>63</v>
      </c>
      <c r="C19" t="s">
        <v>186</v>
      </c>
      <c r="D19" t="s">
        <v>187</v>
      </c>
      <c r="E19" t="s">
        <v>188</v>
      </c>
      <c r="F19" t="s">
        <v>189</v>
      </c>
      <c r="G19" t="b">
        <v>1</v>
      </c>
      <c r="H19" t="b">
        <v>0</v>
      </c>
      <c r="I19" t="b">
        <v>1</v>
      </c>
      <c r="J19">
        <v>0</v>
      </c>
      <c r="K19">
        <v>1</v>
      </c>
      <c r="L19">
        <v>11.61</v>
      </c>
      <c r="M19">
        <v>12.56</v>
      </c>
      <c r="N19">
        <v>10.88</v>
      </c>
      <c r="O19">
        <v>0.04</v>
      </c>
      <c r="P19">
        <v>0.78</v>
      </c>
      <c r="Q19">
        <v>0.78</v>
      </c>
      <c r="S19" t="s">
        <v>190</v>
      </c>
      <c r="T19" t="s">
        <v>191</v>
      </c>
      <c r="U19" t="s">
        <v>55</v>
      </c>
      <c r="V19">
        <v>1</v>
      </c>
      <c r="W19">
        <v>0</v>
      </c>
      <c r="X19">
        <v>0.5</v>
      </c>
      <c r="Y19">
        <v>0.33333333333333331</v>
      </c>
    </row>
    <row r="20" spans="1:25" x14ac:dyDescent="0.2">
      <c r="A20" t="s">
        <v>64</v>
      </c>
      <c r="B20" t="s">
        <v>65</v>
      </c>
      <c r="C20" t="s">
        <v>192</v>
      </c>
      <c r="D20" t="s">
        <v>193</v>
      </c>
      <c r="E20" t="s">
        <v>194</v>
      </c>
      <c r="F20" t="s">
        <v>195</v>
      </c>
      <c r="G20" t="b">
        <v>1</v>
      </c>
      <c r="H20" t="b">
        <v>0</v>
      </c>
      <c r="I20" t="b">
        <v>1</v>
      </c>
      <c r="J20">
        <v>0</v>
      </c>
      <c r="K20">
        <v>2</v>
      </c>
      <c r="L20">
        <v>22.45</v>
      </c>
      <c r="M20">
        <v>24.82</v>
      </c>
      <c r="N20">
        <v>18.079999999999998</v>
      </c>
      <c r="O20">
        <v>0.04</v>
      </c>
      <c r="P20">
        <v>0.75</v>
      </c>
      <c r="Q20">
        <v>0.76</v>
      </c>
      <c r="S20" t="s">
        <v>66</v>
      </c>
      <c r="T20" t="s">
        <v>67</v>
      </c>
      <c r="U20" t="s">
        <v>55</v>
      </c>
      <c r="V20">
        <v>1</v>
      </c>
      <c r="W20">
        <v>0</v>
      </c>
      <c r="X20">
        <v>0.5</v>
      </c>
      <c r="Y20">
        <v>0.33333333333333331</v>
      </c>
    </row>
    <row r="21" spans="1:25" x14ac:dyDescent="0.2">
      <c r="A21" t="s">
        <v>68</v>
      </c>
      <c r="B21" t="s">
        <v>69</v>
      </c>
      <c r="C21" t="s">
        <v>196</v>
      </c>
      <c r="D21" t="s">
        <v>197</v>
      </c>
      <c r="E21" t="s">
        <v>198</v>
      </c>
      <c r="F21" t="s">
        <v>199</v>
      </c>
      <c r="G21" t="b">
        <v>0</v>
      </c>
      <c r="H21" t="b">
        <v>0</v>
      </c>
      <c r="I21" t="b">
        <v>0</v>
      </c>
      <c r="J21">
        <v>0</v>
      </c>
      <c r="K21">
        <v>0</v>
      </c>
      <c r="O21">
        <v>0</v>
      </c>
      <c r="P21">
        <v>0</v>
      </c>
      <c r="Q21">
        <v>0</v>
      </c>
      <c r="R21">
        <v>0</v>
      </c>
      <c r="S21" t="s">
        <v>27</v>
      </c>
      <c r="T21" t="s">
        <v>27</v>
      </c>
      <c r="U21" t="s">
        <v>55</v>
      </c>
      <c r="V21">
        <v>0</v>
      </c>
      <c r="W21">
        <v>0</v>
      </c>
      <c r="X21">
        <v>0</v>
      </c>
      <c r="Y21">
        <v>0</v>
      </c>
    </row>
    <row r="22" spans="1:25" x14ac:dyDescent="0.2">
      <c r="A22" t="s">
        <v>70</v>
      </c>
      <c r="B22" t="s">
        <v>71</v>
      </c>
      <c r="C22" t="s">
        <v>200</v>
      </c>
      <c r="D22" t="s">
        <v>201</v>
      </c>
      <c r="E22" t="s">
        <v>202</v>
      </c>
      <c r="F22" t="s">
        <v>203</v>
      </c>
      <c r="G22" t="b">
        <v>1</v>
      </c>
      <c r="H22" t="b">
        <v>0</v>
      </c>
      <c r="I22" t="b">
        <v>1</v>
      </c>
      <c r="J22">
        <v>0</v>
      </c>
      <c r="K22">
        <v>3</v>
      </c>
      <c r="L22">
        <v>18176.07</v>
      </c>
      <c r="M22">
        <v>25117.46</v>
      </c>
      <c r="N22">
        <v>20388.349999999999</v>
      </c>
      <c r="O22">
        <v>0.02</v>
      </c>
      <c r="P22">
        <v>0.62</v>
      </c>
      <c r="Q22">
        <v>0.76</v>
      </c>
      <c r="S22" t="s">
        <v>204</v>
      </c>
      <c r="T22" t="s">
        <v>205</v>
      </c>
      <c r="U22" t="s">
        <v>55</v>
      </c>
      <c r="V22">
        <v>1</v>
      </c>
      <c r="W22">
        <v>0</v>
      </c>
      <c r="X22">
        <v>0.5</v>
      </c>
      <c r="Y22">
        <v>0.33333333333333331</v>
      </c>
    </row>
    <row r="23" spans="1:25" x14ac:dyDescent="0.2">
      <c r="A23" t="s">
        <v>72</v>
      </c>
      <c r="B23" t="s">
        <v>73</v>
      </c>
      <c r="C23" t="s">
        <v>206</v>
      </c>
      <c r="D23" t="s">
        <v>207</v>
      </c>
      <c r="E23" t="s">
        <v>208</v>
      </c>
      <c r="F23" t="s">
        <v>209</v>
      </c>
      <c r="G23" t="b">
        <v>1</v>
      </c>
      <c r="H23" t="b">
        <v>0</v>
      </c>
      <c r="I23" t="b">
        <v>1</v>
      </c>
      <c r="J23">
        <v>0</v>
      </c>
      <c r="K23">
        <v>2</v>
      </c>
      <c r="L23">
        <v>318.99</v>
      </c>
      <c r="M23">
        <v>343.89</v>
      </c>
      <c r="N23">
        <v>326.43</v>
      </c>
      <c r="O23">
        <v>0.02</v>
      </c>
      <c r="P23">
        <v>0.62</v>
      </c>
      <c r="Q23">
        <v>0.77</v>
      </c>
      <c r="S23" t="s">
        <v>210</v>
      </c>
      <c r="T23" t="s">
        <v>211</v>
      </c>
      <c r="U23" t="s">
        <v>55</v>
      </c>
      <c r="V23">
        <v>1</v>
      </c>
      <c r="W23">
        <v>0</v>
      </c>
      <c r="X23">
        <v>0.5</v>
      </c>
      <c r="Y23">
        <v>0.33333333333333331</v>
      </c>
    </row>
    <row r="24" spans="1:25" x14ac:dyDescent="0.2">
      <c r="A24" t="s">
        <v>74</v>
      </c>
      <c r="B24" t="s">
        <v>75</v>
      </c>
      <c r="C24" t="s">
        <v>212</v>
      </c>
      <c r="D24" t="s">
        <v>213</v>
      </c>
      <c r="E24" t="s">
        <v>214</v>
      </c>
      <c r="F24" t="s">
        <v>215</v>
      </c>
      <c r="G24" t="b">
        <v>1</v>
      </c>
      <c r="H24" t="b">
        <v>0</v>
      </c>
      <c r="I24" t="b">
        <v>1</v>
      </c>
      <c r="J24">
        <v>0</v>
      </c>
      <c r="K24">
        <v>2</v>
      </c>
      <c r="L24">
        <v>8.4499999999999993</v>
      </c>
      <c r="M24">
        <v>12.04</v>
      </c>
      <c r="N24">
        <v>9.6199999999999992</v>
      </c>
      <c r="O24">
        <v>0</v>
      </c>
      <c r="P24">
        <v>0.62</v>
      </c>
      <c r="Q24">
        <v>0.71</v>
      </c>
      <c r="S24" t="s">
        <v>216</v>
      </c>
      <c r="T24" t="s">
        <v>217</v>
      </c>
      <c r="U24" t="s">
        <v>55</v>
      </c>
      <c r="V24">
        <v>1</v>
      </c>
      <c r="W24">
        <v>0</v>
      </c>
      <c r="X24">
        <v>0.5</v>
      </c>
      <c r="Y24">
        <v>0.33333333333333331</v>
      </c>
    </row>
    <row r="25" spans="1:25" x14ac:dyDescent="0.2">
      <c r="A25" t="s">
        <v>76</v>
      </c>
      <c r="B25" t="s">
        <v>77</v>
      </c>
      <c r="C25" t="s">
        <v>218</v>
      </c>
      <c r="D25" t="s">
        <v>219</v>
      </c>
      <c r="E25" t="s">
        <v>220</v>
      </c>
      <c r="F25" t="s">
        <v>221</v>
      </c>
      <c r="G25" t="b">
        <v>1</v>
      </c>
      <c r="H25" t="b">
        <v>0</v>
      </c>
      <c r="I25" t="b">
        <v>1</v>
      </c>
      <c r="J25">
        <v>0</v>
      </c>
      <c r="K25">
        <v>1</v>
      </c>
      <c r="L25">
        <v>7.25</v>
      </c>
      <c r="M25">
        <v>8.5500000000000007</v>
      </c>
      <c r="N25">
        <v>7.17</v>
      </c>
      <c r="O25">
        <v>0.05</v>
      </c>
      <c r="P25">
        <v>0.64</v>
      </c>
      <c r="Q25">
        <v>0.82</v>
      </c>
      <c r="S25" t="s">
        <v>222</v>
      </c>
      <c r="T25" t="s">
        <v>223</v>
      </c>
      <c r="U25" t="s">
        <v>82</v>
      </c>
      <c r="V25">
        <v>1</v>
      </c>
      <c r="W25">
        <v>0</v>
      </c>
      <c r="X25">
        <v>0.5</v>
      </c>
      <c r="Y25">
        <v>0.33333333333333331</v>
      </c>
    </row>
    <row r="26" spans="1:25" x14ac:dyDescent="0.2">
      <c r="A26" t="s">
        <v>78</v>
      </c>
      <c r="B26" t="s">
        <v>79</v>
      </c>
      <c r="C26" t="s">
        <v>224</v>
      </c>
      <c r="D26" t="s">
        <v>225</v>
      </c>
      <c r="E26" t="s">
        <v>226</v>
      </c>
      <c r="F26" t="s">
        <v>227</v>
      </c>
      <c r="G26" t="b">
        <v>0</v>
      </c>
      <c r="H26" t="b">
        <v>0</v>
      </c>
      <c r="I26" t="b">
        <v>0</v>
      </c>
      <c r="J26">
        <v>0</v>
      </c>
      <c r="K26">
        <v>0</v>
      </c>
      <c r="O26">
        <v>0</v>
      </c>
      <c r="P26">
        <v>0</v>
      </c>
      <c r="Q26">
        <v>0</v>
      </c>
      <c r="R26">
        <v>0</v>
      </c>
      <c r="S26" t="s">
        <v>27</v>
      </c>
      <c r="T26" t="s">
        <v>27</v>
      </c>
      <c r="U26" t="s">
        <v>82</v>
      </c>
      <c r="V26">
        <v>0</v>
      </c>
      <c r="W26">
        <v>0</v>
      </c>
      <c r="X26">
        <v>0</v>
      </c>
      <c r="Y26">
        <v>0</v>
      </c>
    </row>
    <row r="27" spans="1:25" x14ac:dyDescent="0.2">
      <c r="A27" t="s">
        <v>80</v>
      </c>
      <c r="B27" t="s">
        <v>81</v>
      </c>
      <c r="C27" t="s">
        <v>228</v>
      </c>
      <c r="D27" t="s">
        <v>229</v>
      </c>
      <c r="E27" t="s">
        <v>228</v>
      </c>
      <c r="F27" t="s">
        <v>230</v>
      </c>
      <c r="G27" t="b">
        <v>1</v>
      </c>
      <c r="H27" t="b">
        <v>0</v>
      </c>
      <c r="I27" t="b">
        <v>1</v>
      </c>
      <c r="J27">
        <v>0</v>
      </c>
      <c r="K27">
        <v>1</v>
      </c>
      <c r="L27">
        <v>8.5500000000000007</v>
      </c>
      <c r="M27">
        <v>8.7200000000000006</v>
      </c>
      <c r="N27">
        <v>8.57</v>
      </c>
      <c r="O27">
        <v>0.06</v>
      </c>
      <c r="P27">
        <v>0.69</v>
      </c>
      <c r="Q27">
        <v>0.76</v>
      </c>
      <c r="S27" t="s">
        <v>231</v>
      </c>
      <c r="T27" t="s">
        <v>232</v>
      </c>
      <c r="U27" t="s">
        <v>82</v>
      </c>
      <c r="V27">
        <v>1</v>
      </c>
      <c r="W27">
        <v>0</v>
      </c>
      <c r="X27">
        <v>0.5</v>
      </c>
      <c r="Y27">
        <v>0.33333333333333331</v>
      </c>
    </row>
    <row r="28" spans="1:25" x14ac:dyDescent="0.2">
      <c r="A28" t="s">
        <v>83</v>
      </c>
      <c r="B28" t="s">
        <v>84</v>
      </c>
      <c r="C28" t="s">
        <v>233</v>
      </c>
      <c r="D28" t="s">
        <v>234</v>
      </c>
      <c r="E28" t="s">
        <v>235</v>
      </c>
      <c r="F28" t="s">
        <v>236</v>
      </c>
      <c r="G28" t="b">
        <v>1</v>
      </c>
      <c r="H28" t="b">
        <v>0</v>
      </c>
      <c r="I28" t="b">
        <v>1</v>
      </c>
      <c r="J28">
        <v>0</v>
      </c>
      <c r="K28">
        <v>1</v>
      </c>
      <c r="L28">
        <v>3395</v>
      </c>
      <c r="M28">
        <v>3484.65</v>
      </c>
      <c r="N28">
        <v>3406.57</v>
      </c>
      <c r="O28">
        <v>0.06</v>
      </c>
      <c r="P28">
        <v>0.67</v>
      </c>
      <c r="Q28">
        <v>0.73</v>
      </c>
      <c r="S28" t="s">
        <v>85</v>
      </c>
      <c r="T28" t="s">
        <v>237</v>
      </c>
      <c r="U28" t="s">
        <v>82</v>
      </c>
      <c r="V28">
        <v>1</v>
      </c>
      <c r="W28">
        <v>0</v>
      </c>
      <c r="X28">
        <v>0.5</v>
      </c>
      <c r="Y28">
        <v>0.33333333333333331</v>
      </c>
    </row>
    <row r="29" spans="1:25" x14ac:dyDescent="0.2">
      <c r="A29" t="s">
        <v>86</v>
      </c>
      <c r="B29" t="s">
        <v>87</v>
      </c>
      <c r="C29" t="s">
        <v>238</v>
      </c>
      <c r="D29" t="s">
        <v>239</v>
      </c>
      <c r="E29" t="s">
        <v>240</v>
      </c>
      <c r="F29" t="s">
        <v>241</v>
      </c>
      <c r="G29" t="b">
        <v>1</v>
      </c>
      <c r="H29" t="b">
        <v>0</v>
      </c>
      <c r="I29" t="b">
        <v>1</v>
      </c>
      <c r="J29">
        <v>0</v>
      </c>
      <c r="K29">
        <v>0</v>
      </c>
      <c r="L29">
        <v>7.74</v>
      </c>
      <c r="M29">
        <v>7.77</v>
      </c>
      <c r="N29">
        <v>7.57</v>
      </c>
      <c r="O29">
        <v>0</v>
      </c>
      <c r="P29">
        <v>0.6</v>
      </c>
      <c r="Q29">
        <v>0.7</v>
      </c>
      <c r="S29" t="s">
        <v>27</v>
      </c>
      <c r="T29" t="s">
        <v>27</v>
      </c>
      <c r="U29" t="s">
        <v>82</v>
      </c>
      <c r="V29">
        <v>1</v>
      </c>
      <c r="W29">
        <v>0</v>
      </c>
      <c r="X29">
        <v>0.5</v>
      </c>
      <c r="Y29">
        <v>0.5</v>
      </c>
    </row>
    <row r="30" spans="1:25" x14ac:dyDescent="0.2">
      <c r="A30" t="s">
        <v>88</v>
      </c>
      <c r="B30" t="s">
        <v>89</v>
      </c>
      <c r="C30" t="s">
        <v>242</v>
      </c>
      <c r="D30" t="s">
        <v>243</v>
      </c>
      <c r="E30" t="s">
        <v>244</v>
      </c>
      <c r="F30" t="s">
        <v>245</v>
      </c>
      <c r="G30" t="b">
        <v>0</v>
      </c>
      <c r="H30" t="b">
        <v>0</v>
      </c>
      <c r="I30" t="b">
        <v>0</v>
      </c>
      <c r="J30">
        <v>0</v>
      </c>
      <c r="K30">
        <v>0</v>
      </c>
      <c r="O30">
        <v>0</v>
      </c>
      <c r="P30">
        <v>0</v>
      </c>
      <c r="Q30">
        <v>0</v>
      </c>
      <c r="R30">
        <v>0</v>
      </c>
      <c r="S30" t="s">
        <v>27</v>
      </c>
      <c r="T30" t="s">
        <v>27</v>
      </c>
      <c r="U30" t="s">
        <v>82</v>
      </c>
      <c r="V30">
        <v>0</v>
      </c>
      <c r="W30">
        <v>0</v>
      </c>
      <c r="X30">
        <v>0</v>
      </c>
      <c r="Y30">
        <v>0</v>
      </c>
    </row>
    <row r="31" spans="1:25" x14ac:dyDescent="0.2">
      <c r="A31" t="s">
        <v>90</v>
      </c>
      <c r="B31" t="s">
        <v>91</v>
      </c>
      <c r="C31" t="s">
        <v>246</v>
      </c>
      <c r="D31" t="s">
        <v>247</v>
      </c>
      <c r="E31" t="s">
        <v>246</v>
      </c>
      <c r="F31" t="s">
        <v>248</v>
      </c>
      <c r="G31" t="b">
        <v>0</v>
      </c>
      <c r="H31" t="b">
        <v>0</v>
      </c>
      <c r="I31" t="b">
        <v>0</v>
      </c>
      <c r="J31">
        <v>0</v>
      </c>
      <c r="K31">
        <v>0</v>
      </c>
      <c r="O31">
        <v>0</v>
      </c>
      <c r="P31">
        <v>0</v>
      </c>
      <c r="Q31">
        <v>0</v>
      </c>
      <c r="R31">
        <v>0</v>
      </c>
      <c r="S31" t="s">
        <v>27</v>
      </c>
      <c r="T31" t="s">
        <v>27</v>
      </c>
      <c r="U31" t="s">
        <v>82</v>
      </c>
      <c r="V31">
        <v>0</v>
      </c>
      <c r="W31">
        <v>0</v>
      </c>
      <c r="X31">
        <v>0</v>
      </c>
      <c r="Y31">
        <v>0</v>
      </c>
    </row>
    <row r="32" spans="1:25" x14ac:dyDescent="0.2">
      <c r="A32" t="s">
        <v>92</v>
      </c>
      <c r="B32" t="s">
        <v>93</v>
      </c>
      <c r="C32" t="s">
        <v>249</v>
      </c>
      <c r="D32" t="s">
        <v>250</v>
      </c>
      <c r="E32" t="s">
        <v>251</v>
      </c>
      <c r="F32" t="s">
        <v>252</v>
      </c>
      <c r="G32" t="b">
        <v>1</v>
      </c>
      <c r="H32" t="b">
        <v>0</v>
      </c>
      <c r="I32" t="b">
        <v>1</v>
      </c>
      <c r="J32">
        <v>0</v>
      </c>
      <c r="K32">
        <v>9</v>
      </c>
      <c r="L32">
        <v>214.25</v>
      </c>
      <c r="M32">
        <v>225.52</v>
      </c>
      <c r="N32">
        <v>211.05</v>
      </c>
      <c r="O32">
        <v>0.04</v>
      </c>
      <c r="P32">
        <v>0.64</v>
      </c>
      <c r="Q32">
        <v>0.77</v>
      </c>
      <c r="S32" t="s">
        <v>253</v>
      </c>
      <c r="T32" t="s">
        <v>254</v>
      </c>
      <c r="U32" t="s">
        <v>82</v>
      </c>
      <c r="V32">
        <v>1</v>
      </c>
      <c r="W32">
        <v>0</v>
      </c>
      <c r="X32">
        <v>0.5</v>
      </c>
      <c r="Y32">
        <v>0.33333333333333331</v>
      </c>
    </row>
    <row r="33" spans="1:25" x14ac:dyDescent="0.2">
      <c r="A33" t="s">
        <v>94</v>
      </c>
      <c r="B33" t="s">
        <v>95</v>
      </c>
      <c r="C33" t="s">
        <v>255</v>
      </c>
      <c r="D33" t="s">
        <v>256</v>
      </c>
      <c r="E33" t="s">
        <v>257</v>
      </c>
      <c r="F33" t="s">
        <v>258</v>
      </c>
      <c r="G33" t="b">
        <v>0</v>
      </c>
      <c r="H33" t="b">
        <v>0</v>
      </c>
      <c r="I33" t="b">
        <v>0</v>
      </c>
      <c r="J33">
        <v>0</v>
      </c>
      <c r="K33">
        <v>0</v>
      </c>
      <c r="O33">
        <v>0</v>
      </c>
      <c r="P33">
        <v>0</v>
      </c>
      <c r="Q33">
        <v>0</v>
      </c>
      <c r="R33">
        <v>0</v>
      </c>
      <c r="S33" t="s">
        <v>27</v>
      </c>
      <c r="T33" t="s">
        <v>27</v>
      </c>
      <c r="U33" t="s">
        <v>82</v>
      </c>
      <c r="V33">
        <v>0</v>
      </c>
      <c r="W33">
        <v>0</v>
      </c>
      <c r="X33">
        <v>0</v>
      </c>
      <c r="Y33">
        <v>0</v>
      </c>
    </row>
    <row r="34" spans="1:25" x14ac:dyDescent="0.2">
      <c r="A34" t="s">
        <v>96</v>
      </c>
      <c r="B34" t="s">
        <v>97</v>
      </c>
      <c r="C34" t="s">
        <v>259</v>
      </c>
      <c r="D34" t="s">
        <v>260</v>
      </c>
      <c r="E34" t="s">
        <v>261</v>
      </c>
      <c r="F34" t="s">
        <v>262</v>
      </c>
      <c r="G34" t="b">
        <v>1</v>
      </c>
      <c r="H34" t="b">
        <v>0</v>
      </c>
      <c r="I34" t="b">
        <v>1</v>
      </c>
      <c r="J34">
        <v>0</v>
      </c>
      <c r="K34">
        <v>3</v>
      </c>
      <c r="L34">
        <v>83.76</v>
      </c>
      <c r="M34">
        <v>89</v>
      </c>
      <c r="N34">
        <v>83.98</v>
      </c>
      <c r="O34">
        <v>0.12</v>
      </c>
      <c r="P34">
        <v>0.68</v>
      </c>
      <c r="Q34">
        <v>0.78</v>
      </c>
      <c r="S34" t="s">
        <v>263</v>
      </c>
      <c r="T34" t="s">
        <v>264</v>
      </c>
      <c r="U34" t="s">
        <v>82</v>
      </c>
      <c r="V34">
        <v>1</v>
      </c>
      <c r="W34">
        <v>0</v>
      </c>
      <c r="X34">
        <v>0.5</v>
      </c>
      <c r="Y34">
        <v>0.33333333333333331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102</v>
      </c>
      <c r="B1" s="2" t="s">
        <v>103</v>
      </c>
      <c r="C1" s="2" t="s">
        <v>104</v>
      </c>
      <c r="D1" s="2" t="s">
        <v>105</v>
      </c>
    </row>
    <row r="2" spans="1:4" x14ac:dyDescent="0.2">
      <c r="A2" t="str" cm="1">
        <f t="array" ref="A2:A4">_xlfn.UNIQUE(All!U2:U34)</f>
        <v>simple</v>
      </c>
      <c r="B2">
        <f>COUNTIF(All!U2:U34,Filter!A2)</f>
        <v>12</v>
      </c>
      <c r="C2">
        <f>COUNTIFS(All!$G:$G, TRUE, All!$U:$U, A2)</f>
        <v>7</v>
      </c>
      <c r="D2">
        <f>COUNTIFS(All!$G:$G, TRUE,
          All!$H:$H, TRUE,
          All!$I:$I, TRUE,
          All!$U:$U, A2)</f>
        <v>4</v>
      </c>
    </row>
    <row r="3" spans="1:4" x14ac:dyDescent="0.2">
      <c r="A3" t="str">
        <v>moderate</v>
      </c>
      <c r="B3">
        <f>COUNTIF(All!U3:U35,Filter!A3)</f>
        <v>11</v>
      </c>
      <c r="C3">
        <f>COUNTIFS(All!$G:$G, TRUE, All!$U:$U, A3)</f>
        <v>6</v>
      </c>
      <c r="D3">
        <f>COUNTIFS(All!$G:$G, TRUE,
          All!$H:$H, TRUE,
          All!$I:$I, TRUE,
          All!$U:$U, A3)</f>
        <v>0</v>
      </c>
    </row>
    <row r="4" spans="1:4" x14ac:dyDescent="0.2">
      <c r="A4" t="str">
        <v>complex</v>
      </c>
      <c r="B4">
        <f>COUNTIF(All!U4:U36,Filter!A4)</f>
        <v>10</v>
      </c>
      <c r="C4">
        <f>COUNTIFS(All!$G:$G, TRUE, All!$U:$U, A4)</f>
        <v>6</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98</v>
      </c>
      <c r="P1" s="1" t="s">
        <v>99</v>
      </c>
      <c r="Q1" s="1" t="s">
        <v>100</v>
      </c>
    </row>
    <row r="2" spans="1:17" x14ac:dyDescent="0.2">
      <c r="A2" t="s">
        <v>28</v>
      </c>
      <c r="B2" s="3">
        <f>AVERAGEIFS(All!$J:$J,
            All!$G:$G, TRUE,
            All!$H:$H, TRUE,
            All!$I:$I, TRUE,
            All!$U:$U, A2)</f>
        <v>6298.75</v>
      </c>
      <c r="C2" s="3">
        <f>AVERAGEIFS(All!K:K,
            All!$G:$G, TRUE,
            All!$H:$H, TRUE,
            All!$I:$I, TRUE,
            All!$U:$U, $A2)</f>
        <v>3</v>
      </c>
      <c r="D2" s="3">
        <f>AVERAGEIFS(All!L:L,
            All!$G:$G, TRUE,
            All!$H:$H, TRUE,
            All!$I:$I, TRUE,
            All!$U:$U, $A2)</f>
        <v>10531.74</v>
      </c>
      <c r="E2" s="3">
        <f>AVERAGEIFS(All!M:M,
            All!$G:$G, TRUE,
            All!$H:$H, TRUE,
            All!$I:$I, TRUE,
            All!$U:$U, $A2)</f>
        <v>10965.487499999999</v>
      </c>
      <c r="F2" s="3">
        <f>AVERAGEIFS(All!N:N,
            All!$G:$G, TRUE,
            All!$H:$H, TRUE,
            All!$I:$I, TRUE,
            All!$U:$U, $A2)</f>
        <v>10598.7925</v>
      </c>
      <c r="G2" s="3">
        <f>AVERAGEIFS(All!O:O,
            All!$G:$G, TRUE,
            All!$H:$H, TRUE,
            All!$I:$I, TRUE,
            All!$U:$U, $A2)</f>
        <v>7.2499999999999995E-2</v>
      </c>
      <c r="H2" s="3">
        <f>AVERAGEIFS(All!P:P,
            All!$G:$G, TRUE,
            All!$H:$H, TRUE,
            All!$I:$I, TRUE,
            All!$U:$U, $A2)</f>
        <v>0.71</v>
      </c>
      <c r="I2" s="3">
        <f>AVERAGEIFS(All!Q:Q,
            All!$G:$G, TRUE,
            All!$H:$H, TRUE,
            All!$I:$I, TRUE,
            All!$U:$U, $A2)</f>
        <v>0.75499999999999989</v>
      </c>
      <c r="J2" s="3">
        <f>AVERAGEIFS(All!R:R,
            All!$G:$G, TRUE,
            All!$H:$H, TRUE,
            All!$I:$I, TRUE,
            All!$U:$U, $A2)</f>
        <v>0.95499999999999996</v>
      </c>
      <c r="K2" s="3">
        <f>AVERAGEIFS(All!V:V,
            All!$G:$G, TRUE,
            All!$H:$H, TRUE,
            All!$I:$I, TRUE,
            All!$U:$U, $A2)</f>
        <v>1</v>
      </c>
      <c r="L2" s="3">
        <f>AVERAGEIFS(All!W:W,
            All!$G:$G, TRUE,
            All!$H:$H, TRUE,
            All!$I:$I, TRUE,
            All!$U:$U, $A2)</f>
        <v>0.75</v>
      </c>
      <c r="M2" s="3">
        <f>AVERAGEIFS(All!X:X,
            All!$G:$G, TRUE,
            All!$H:$H, TRUE,
            All!$I:$I, TRUE,
            All!$U:$U, $A2)</f>
        <v>0.875</v>
      </c>
      <c r="N2" s="3">
        <f>AVERAGEIFS(All!Y:Y,
            All!$G:$G, TRUE,
            All!$H:$H, TRUE,
            All!$I:$I, TRUE,
            All!$U:$U, $A2)</f>
        <v>0.19</v>
      </c>
      <c r="O2" s="3">
        <f>COUNTIFS(All!G:G,TRUE,All!$U:$U,$A2)/COUNTIF(All!$U2:$U34,Filter!$A2)</f>
        <v>0.58333333333333337</v>
      </c>
      <c r="P2" s="3">
        <f>COUNTIFS(All!H:H,TRUE,All!$U:$U,$A2)/COUNTIF(All!$U2:$U34,Filter!$A2)</f>
        <v>0.33333333333333331</v>
      </c>
      <c r="Q2" s="3">
        <f>COUNTIFS(All!I:I,TRUE,All!$U:$U,$A2)/COUNTIF(All!$U2:$U34,Filter!$A2)</f>
        <v>0.58333333333333337</v>
      </c>
    </row>
    <row r="3" spans="1:17" x14ac:dyDescent="0.2">
      <c r="A3" t="s">
        <v>55</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0.54545454545454541</v>
      </c>
      <c r="P3" s="3">
        <f>COUNTIFS(All!H:H,TRUE,All!$U:$U,$A3)/COUNTIF(All!$U3:$U35,Filter!$A3)</f>
        <v>0</v>
      </c>
      <c r="Q3" s="3">
        <f>COUNTIFS(All!I:I,TRUE,All!$U:$U,$A3)/COUNTIF(All!$U3:$U35,Filter!$A3)</f>
        <v>0.54545454545454541</v>
      </c>
    </row>
    <row r="4" spans="1:17" x14ac:dyDescent="0.2">
      <c r="A4" t="s">
        <v>82</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0.6</v>
      </c>
      <c r="P4" s="3">
        <f>COUNTIFS(All!H:H,TRUE,All!$U:$U,$A4)/COUNTIF(All!$U4:$U36,Filter!$A4)</f>
        <v>0</v>
      </c>
      <c r="Q4" s="3">
        <f>COUNTIFS(All!I:I,TRUE,All!$U:$U,$A4)/COUNTIF(All!$U4:$U36,Filter!$A4)</f>
        <v>0.6</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98</v>
      </c>
      <c r="P1" s="4" t="s">
        <v>99</v>
      </c>
      <c r="Q1" s="4" t="s">
        <v>100</v>
      </c>
    </row>
    <row r="2" spans="1:17" x14ac:dyDescent="0.2">
      <c r="A2" s="3" t="s">
        <v>101</v>
      </c>
      <c r="B2" s="3">
        <f>AVERAGEIFS(All!J:J,All!$G:$G, TRUE,All!$H:$H, TRUE,All!$I:$I, TRUE)</f>
        <v>6298.75</v>
      </c>
      <c r="C2" s="3">
        <f>AVERAGEIFS(All!K:K,All!$G:$G, TRUE,All!$H:$H, TRUE,All!$I:$I, TRUE)</f>
        <v>3</v>
      </c>
      <c r="D2" s="3">
        <f>AVERAGEIFS(All!L:L,All!$G:$G, TRUE,All!$H:$H, TRUE,All!$I:$I, TRUE)</f>
        <v>10531.74</v>
      </c>
      <c r="E2" s="3">
        <f>AVERAGEIFS(All!M:M,All!$G:$G, TRUE,All!$H:$H, TRUE,All!$I:$I, TRUE)</f>
        <v>10965.487499999999</v>
      </c>
      <c r="F2" s="3">
        <f>AVERAGEIFS(All!N:N,All!$G:$G, TRUE,All!$H:$H, TRUE,All!$I:$I, TRUE)</f>
        <v>10598.7925</v>
      </c>
      <c r="G2" s="3">
        <f>AVERAGEIFS(All!O:O,All!$G:$G, TRUE,All!$H:$H, TRUE,All!$I:$I, TRUE)</f>
        <v>7.2499999999999995E-2</v>
      </c>
      <c r="H2" s="3">
        <f>AVERAGEIFS(All!P:P,All!$G:$G, TRUE,All!$H:$H, TRUE,All!$I:$I, TRUE)</f>
        <v>0.71</v>
      </c>
      <c r="I2" s="3">
        <f>AVERAGEIFS(All!Q:Q,All!$G:$G, TRUE,All!$H:$H, TRUE,All!$I:$I, TRUE)</f>
        <v>0.75499999999999989</v>
      </c>
      <c r="J2" s="3">
        <f>AVERAGEIFS(All!R:R,All!$G:$G, TRUE,All!$H:$H, TRUE,All!$I:$I, TRUE)</f>
        <v>0.95499999999999996</v>
      </c>
      <c r="K2" s="3">
        <f>AVERAGEIFS(All!V:V,All!$G:$G, TRUE,All!$H:$H, TRUE,All!$I:$I, TRUE)</f>
        <v>1</v>
      </c>
      <c r="L2" s="3">
        <f>AVERAGEIFS(All!W:W,All!$G:$G, TRUE,All!$H:$H, TRUE,All!$I:$I, TRUE)</f>
        <v>0.75</v>
      </c>
      <c r="M2" s="3">
        <f>AVERAGEIFS(All!X:X,All!$G:$G, TRUE,All!$H:$H, TRUE,All!$I:$I, TRUE)</f>
        <v>0.875</v>
      </c>
      <c r="N2" s="3">
        <f>AVERAGEIFS(All!Y:Y,All!$G:$G, TRUE,All!$H:$H, TRUE,All!$I:$I, TRUE)</f>
        <v>0.19</v>
      </c>
      <c r="O2" s="3">
        <f>COUNTIFS(All!G:G,TRUE)/COUNTA(All!$U2:$U34)</f>
        <v>0.5757575757575758</v>
      </c>
      <c r="P2" s="3">
        <f>COUNTIFS(All!H:H,TRUE)/COUNTA(All!$U2:$U34)</f>
        <v>0.12121212121212122</v>
      </c>
      <c r="Q2" s="3">
        <f>COUNTIFS(All!I:I,TRUE)/COUNTA(All!$U2:$U34)</f>
        <v>0.5757575757575758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2025-11-27T18:59:08Z</dcterms:modified>
</cp:coreProperties>
</file>