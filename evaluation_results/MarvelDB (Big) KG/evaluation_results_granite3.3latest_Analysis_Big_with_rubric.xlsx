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chrisdavisj/Downloads/results_filtered/"/>
    </mc:Choice>
  </mc:AlternateContent>
  <xr:revisionPtr revIDLastSave="0" documentId="8_{ACCAE2D9-16F6-7E4E-B420-481CCDF7841F}" xr6:coauthVersionLast="47" xr6:coauthVersionMax="47" xr10:uidLastSave="{00000000-0000-0000-0000-000000000000}"/>
  <bookViews>
    <workbookView xWindow="0" yWindow="680" windowWidth="29400" windowHeight="17160" xr2:uid="{00000000-000D-0000-FFFF-FFFF00000000}"/>
  </bookViews>
  <sheets>
    <sheet name="All" sheetId="1" r:id="rId1"/>
    <sheet name="Filter" sheetId="4" r:id="rId2"/>
    <sheet name="By-CQ-Level" sheetId="2" r:id="rId3"/>
    <sheet name="Overall" sheetId="3"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3" l="1"/>
  <c r="Q2" i="3"/>
  <c r="O2" i="3"/>
  <c r="L2" i="3"/>
  <c r="M2" i="3"/>
  <c r="N2" i="3"/>
  <c r="K2" i="3"/>
  <c r="C2" i="3"/>
  <c r="D2" i="3"/>
  <c r="E2" i="3"/>
  <c r="F2" i="3"/>
  <c r="G2" i="3"/>
  <c r="H2" i="3"/>
  <c r="I2" i="3"/>
  <c r="J2" i="3"/>
  <c r="B2" i="3"/>
  <c r="P2" i="2"/>
  <c r="Q2" i="2"/>
  <c r="P3" i="2"/>
  <c r="Q3" i="2"/>
  <c r="P4" i="2"/>
  <c r="Q4" i="2"/>
  <c r="O3" i="2"/>
  <c r="O4" i="2"/>
  <c r="O2" i="2"/>
  <c r="L2" i="2"/>
  <c r="M2" i="2"/>
  <c r="N2" i="2"/>
  <c r="L3" i="2"/>
  <c r="M3" i="2"/>
  <c r="N3" i="2"/>
  <c r="L4" i="2"/>
  <c r="M4" i="2"/>
  <c r="N4" i="2"/>
  <c r="K3" i="2"/>
  <c r="K4" i="2"/>
  <c r="K2" i="2"/>
  <c r="D2" i="2"/>
  <c r="E2" i="2"/>
  <c r="F2" i="2"/>
  <c r="G2" i="2"/>
  <c r="H2" i="2"/>
  <c r="I2" i="2"/>
  <c r="J2" i="2"/>
  <c r="D3" i="2"/>
  <c r="E3" i="2"/>
  <c r="F3" i="2"/>
  <c r="G3" i="2"/>
  <c r="H3" i="2"/>
  <c r="I3" i="2"/>
  <c r="J3" i="2"/>
  <c r="D4" i="2"/>
  <c r="E4" i="2"/>
  <c r="F4" i="2"/>
  <c r="G4" i="2"/>
  <c r="H4" i="2"/>
  <c r="I4" i="2"/>
  <c r="J4" i="2"/>
  <c r="C3" i="2"/>
  <c r="C4" i="2"/>
  <c r="C2" i="2"/>
  <c r="B3" i="2"/>
  <c r="B4" i="2"/>
  <c r="B2" i="2"/>
  <c r="B3" i="4"/>
  <c r="B4" i="4"/>
  <c r="B2" i="4"/>
  <c r="D3" i="4"/>
  <c r="D4" i="4"/>
  <c r="D2" i="4"/>
  <c r="C3" i="4"/>
  <c r="C4" i="4"/>
  <c r="C2" i="4"/>
  <c r="A2" i="4" a="1"/>
  <c r="A2"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<sst xmlns="http://schemas.openxmlformats.org/spreadsheetml/2006/main" count="364" uniqueCount="262">
  <si>
    <t>CQ</t>
  </si>
  <si>
    <t>Prompt</t>
  </si>
  <si>
    <t>Claude_Result</t>
  </si>
  <si>
    <t>Claude_Raw</t>
  </si>
  <si>
    <t>sparql_query</t>
  </si>
  <si>
    <t>eval_json</t>
  </si>
  <si>
    <t>syntax_ok</t>
  </si>
  <si>
    <t>satisfiable</t>
  </si>
  <si>
    <t>deterministic</t>
  </si>
  <si>
    <t>rows</t>
  </si>
  <si>
    <t>vars</t>
  </si>
  <si>
    <t>latency_p50_ms</t>
  </si>
  <si>
    <t>latency_p95_ms</t>
  </si>
  <si>
    <t>latency_mean_ms</t>
  </si>
  <si>
    <t>lexical_query_overlap</t>
  </si>
  <si>
    <t>semantic_similarity_to_CQ</t>
  </si>
  <si>
    <t>semantic_soft_coverage_to_CQ</t>
  </si>
  <si>
    <t>tuple_cohesion</t>
  </si>
  <si>
    <t>always_unbound_vars</t>
  </si>
  <si>
    <t>variables</t>
  </si>
  <si>
    <t>difficulty</t>
  </si>
  <si>
    <t>determinism_score</t>
  </si>
  <si>
    <t>satisfiability_binding_score</t>
  </si>
  <si>
    <t>h1_overall</t>
  </si>
  <si>
    <t>semantic_diversity_score</t>
  </si>
  <si>
    <t>Who are all the characters available?</t>
  </si>
  <si>
    <t xml:space="preserve">
Task: Write a SPARQL query that answers the following competency question:
Who are all the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ns1:mainCharacter &lt;http:/</t>
  </si>
  <si>
    <t>[]</t>
  </si>
  <si>
    <t>simple</t>
  </si>
  <si>
    <t>What are all the movies (and/or TV shows) available?</t>
  </si>
  <si>
    <t xml:space="preserve">
Task: Write a SPARQL query that answers the following competency question:
What are all the movies (and/or TV shows)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t>
  </si>
  <si>
    <t>What are the real names and/or primary aliases for each of the characters?</t>
  </si>
  <si>
    <t xml:space="preserve">
Task: Write a SPARQL query that answers the following competency question:
What are the real names and/or primary aliases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t>
  </si>
  <si>
    <t>What are all the associated species or types (e.g., human, Asgardian, AI) for each of the characters?</t>
  </si>
  <si>
    <t xml:space="preserve">
Task: Write a SPARQL query that answers the following competency question:
What are all the associated species or types (e.g., human, Asgardian, AI)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</si>
  <si>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origin locations (e.g., homeworld, birthplace, base) for each of the characters?</t>
  </si>
  <si>
    <t xml:space="preserve">
Task: Write a SPARQL query that answers the following competency question:
What are all the origin locations (e.g., homeworld, birthplace, base)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t>
  </si>
  <si>
    <t>What are all the release dates (or years), if available, for each of the movies?</t>
  </si>
  <si>
    <t xml:space="preserve">
Task: Write a SPARQL query that answers the following competency question:
What are all the release dates (or years), if available,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</si>
  <si>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Who are all the director(s) for each of the movies?</t>
  </si>
  <si>
    <t xml:space="preserve">
Task: Write a SPARQL query that answers the following competency question:
Who are all the director(s)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t>
  </si>
  <si>
    <t>What are all the listed powers or abilities for each of the characters?</t>
  </si>
  <si>
    <t xml:space="preserve">
Task: Write a SPARQL query that answers the following competency question:
What are all the listed powers or abilities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t>
  </si>
  <si>
    <t>What are all the team or organization affiliations for each of the characters?</t>
  </si>
  <si>
    <t xml:space="preserve">
Task: Write a SPARQL query that answers the following competency question:
What are all the team or organization affiliations for each of the characters?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t>
  </si>
  <si>
    <t>What are all the locations (places) available?</t>
  </si>
  <si>
    <t xml:space="preserve">
Task: Write a SPARQL query that answers the following competency question:
What are all the locations (places)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ns1:mainCharacte</t>
  </si>
  <si>
    <t>What are all the available movies and their directors?</t>
  </si>
  <si>
    <t xml:space="preserve">
Task: Write a SPARQL query that answers the following competency question:
What are all the available movies and their directors?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3 ;
    ns1:main</t>
  </si>
  <si>
    <t>What are all the available characters and their primary alias/real name?</t>
  </si>
  <si>
    <t xml:space="preserve">
Task: Write a SPARQL query that answers the following competency question:
What are all the available characters and their primary alias/real name?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t>
  </si>
  <si>
    <t>What are all the character–movie appearance pairs (which characters appear in which movies) available?</t>
  </si>
  <si>
    <t xml:space="preserve">
Task: Write a SPARQL query that answers the following competency question:
What are all the character–movie appearance pairs (which characters appear in which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t>
  </si>
  <si>
    <t>What are all the actor–character pairs (which actors portray which characters) available?</t>
  </si>
  <si>
    <t xml:space="preserve">
Task: Write a SPARQL query that answers the following competency question:
What are all the actor–character pairs (which actors portray which characters)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t>
  </si>
  <si>
    <t>moderate</t>
  </si>
  <si>
    <t>What are all the character–team–movie triples available where a character is a member of a team and appears in a movie?</t>
  </si>
  <si>
    <t xml:space="preserve">
Task: Write a SPARQL query that answers the following competency question:
What are all the character–team–movie triples available where a character is a member of a team and appears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t>
  </si>
  <si>
    <t>What are all the character–power–movie triples available with respect to characters with specific powers and the movies they appear in?</t>
  </si>
  <si>
    <t xml:space="preserve">
Task: Write a SPARQL query that answers the following competency question:
What are all the character–power–movie triples available with respect to characters with specific powers and the movies they appear in?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t>
  </si>
  <si>
    <t>What are all the pairs of characters that are linked through movies and co-appear in at least two movies?</t>
  </si>
  <si>
    <t xml:space="preserve">
Task: Write a SPARQL query that answers the following competency question:
What are all the pairs of characters that are linked through movies and co-appear in at least two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t>
  </si>
  <si>
    <t>["movie"]</t>
  </si>
  <si>
    <t>What are all the teams and the set of members for each team available?</t>
  </si>
  <si>
    <t xml:space="preserve">
Task: Write a SPARQL query that answers the following competency question:
What are all the teams and the set of members for each team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</si>
  <si>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movies and the set of teams that have at least one member appearing in them?</t>
  </si>
  <si>
    <t xml:space="preserve">
Task: Write a SPARQL query that answers the following competency question:
What are all the movies and the set of teams that have at least one member appearing in them?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t>
  </si>
  <si>
    <t>["movie", "team"]</t>
  </si>
  <si>
    <t>[{"var": "movie", "rows": 0, "distinct": 0, "null_rate": 1.0, "label_resolution_rate": 0.0, "diversity_entropy_norm": 0.0, "semantic_cohesion": 1.0, "dup_ratio": 0.0, "bound_rate": 0.0}, {"var": "team", "rows": 0, "distinct": 0, "null_rate": 1.0, "label_resolution_rate": 0.0, "diversity_entropy_norm": 0.0, "semantic_cohesion": 1.0, "dup_ratio": 0.0, "bound_rate": 0.0}]</t>
  </si>
  <si>
    <t>What are all locations that are associated with at least one character appearance (e.g., origin or major setting)?</t>
  </si>
  <si>
    <t xml:space="preserve">
Task: Write a SPARQL query that answers the following competency question:
What are all locations that are associated with at least one character appearance (e.g., origin or major setting)?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t>
  </si>
  <si>
    <t>What are all the director–actor pairs linked through movies available?</t>
  </si>
  <si>
    <t xml:space="preserve">
Task: Write a SPARQL query that answers the following competency question:
What are all the director–actor pairs linked through movies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ns1:logo </t>
  </si>
  <si>
    <t>What are all the available distinct powers and the set of characters associated with each power?</t>
  </si>
  <si>
    <t xml:space="preserve">
Task: Write a SPARQL query that answers the following competency question:
What are all the available distinct powers and the set of characters associated with each power?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t>
  </si>
  <si>
    <t>What are all the pairs of characters available that have co-appeared in a movie?</t>
  </si>
  <si>
    <t xml:space="preserve">
Task: Write a SPARQL query that answers the following competency question:
What are all the pairs of characters available that have co-appeared in a movie?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t>
  </si>
  <si>
    <t>How many movies does each character appear in (character appearance count)?</t>
  </si>
  <si>
    <t xml:space="preserve">
Task: Write a SPARQL query that answers the following competency question:
How many movies does each character appear in (character appearance count)?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&lt;http://dbkwik.webdatacommons.org/marvel.wikia.com/resource/Skrulls&gt; ;
    ns1:</t>
  </si>
  <si>
    <t>What are all the movies and their counts for each pair of characters that co-appear in multiple movies?</t>
  </si>
  <si>
    <t xml:space="preserve">
Task: Write a SPARQL query that answers the following competency question:
What are all the movies and their counts for each pair of characters that co-appear in multiple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t>
  </si>
  <si>
    <t>What are all the unions of movies for each of the teams in which any of their members appear (team-level filmography)?</t>
  </si>
  <si>
    <t xml:space="preserve">
Task: Write a SPARQL query that answers the following competency question:
What are all the unions of movies for each of the teams in which any of their members appear (team-level filmography)?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t>
  </si>
  <si>
    <t>complex</t>
  </si>
  <si>
    <t>Who are the distinct characters that possess a power, their counts, and rank-ordered by popularity?</t>
  </si>
  <si>
    <t xml:space="preserve">
Task: Write a SPARQL query that answers the following competency question:
Who are the distinct characters that possess a power, their counts, and rank-ordered by popularity?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&lt;http://dbkwik.webdatacommons.org/marvel.wikia.com/reso</t>
  </si>
  <si>
    <t>Who are all the bridge characters that are members of more than one team, and what are those team combinations?</t>
  </si>
  <si>
    <t xml:space="preserve">
Task: Write a SPARQL query that answers the following competency question:
Who are all the bridge characters that are members of more than one team, and what are those team combinations?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t>
  </si>
  <si>
    <t>What are all the sets of characters that have been portrayed across all movies by each of the actors?</t>
  </si>
  <si>
    <t xml:space="preserve">
Task: Write a SPARQL query that answers the following competency question:
What are all the sets of characters that have been portrayed across all movies by each of the actors?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&lt;http://dbkwik.webdatacommons.org/marvel.wikia.com/re</t>
  </si>
  <si>
    <t>What are all the locations used as settings or associated contexts for multiple movies and/or characters and the counts of those associations?</t>
  </si>
  <si>
    <t xml:space="preserve">
Task: Write a SPARQL query that answers the following competency question:
What are all the locations used as settings or associated contexts for multiple movies and/or characters and the counts of those associations?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t>
  </si>
  <si>
    <t>What is the number of unique teams, unique powers, and unique locations represented via their characters for each of the movies?</t>
  </si>
  <si>
    <t xml:space="preserve">
Task: Write a SPARQL query that answers the following competency question:
What is the number of unique teams, unique powers, and unique locations represented via their characters for each of the movies?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&lt;http://dbkwik.webdatacomm</t>
  </si>
  <si>
    <t>Who are all the other characters connected via shared movie appearances for each of the characters (character co-appearance network)?</t>
  </si>
  <si>
    <t xml:space="preserve">
Task: Write a SPARQL query that answers the following competency question:
Who are all the other characters connected via shared movie appearances for each of the characters (character co-appearance network)?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Man"^^rdf:langString ;
    ns1:description &lt;http://dbkwik.webdat</t>
  </si>
  <si>
    <t>What are all the distributions of powers among each team's members, grouped by teams,  for comparing teams for computability (e.g., which powers are most characteristic of each team)?</t>
  </si>
  <si>
    <t xml:space="preserve">
Task: Write a SPARQL query that answers the following competency question:
What are all the distributions of powers among each team's members, grouped by teams,  for comparing teams for computability (e.g., which powers are most characteristic of each team)?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TTL schema of the knowledge graph:
@prefix dc: &lt;http://purl.org/dc/elements/1.1/&gt; .
@prefix dcterms: &lt;http://purl.org/dc/terms/&gt; .
@prefix foaf: &lt;http://xmlns.com/foaf/0.1/&gt; .
@prefix ns1: &lt;http://dbkwik.webdatacommons.org/marvel.wikia.com/property/&gt; .
@prefix ns2: &lt;http://dbkwik.webdatacommons.org/ontology/&gt; .
@prefix ns3: &lt;http://dbkwik.webdatacommons.org/marvel.wikia.com/property/%3&gt; .
@prefix ns7: &lt;http://dbkwik.webdatacommons.org/marvel.wikia.com/property/alternate232%60&gt; .
@prefix owl: &lt;http://www.w3.org/2002/07/owl#&gt; .
@prefix rdf: &lt;http://www.w3.org/1999/02/22-rdf-syntax-ns#&gt; .
@prefix rdfs: &lt;http://www.w3.org/2000/01/rdf-schema#&gt; .
@prefix skos: &lt;http://www.w3.org/2004/02/skos/core#&gt; .
@prefix xsd: &lt;http://www.w3.org/2001/XMLSchema#&gt; .
&lt;http://dbkwik.webdatacommons.org/marvel.wikia.com/&gt; a owl:Ontology .
ns3:CdivAlign a rdf:Property ;
    rdfs:label "&lt;div align"@en .
ns1:a1ternate a rdf:Property ;
    rdfs:label "A1ternate"@en .
ns1:after a rdf:Property ;
    rdfs:label "after"@en .
ns1:align a rdf:Property ;
    rdfs:label "align"@en .
ns1:alternate a rdf:Property ;
    rdfs:label "Alternate"@en .
ns7: a rdf:Property ;
    rdfs:label "Alternate232`"@en .
ns1:appearing a rdf:Property ;
    rdfs:label "Appearing"@en .
ns1:background a rdf:Property ;
    rdfs:label "background"@en .
ns1:baseofoperations a rdf:Property ;
    rdfs:label "BaseOfOperations"@en .
ns1:before a rdf:Property ;
    rdfs:label "before"@en .
ns1:body a rdf:Property ;
    rdfs:label "body"@en .
ns1:border a rdf:Property ;
    rdfs:label "border"@en .
ns1:box a rdf:Property ;
    rdfs:label "Box"@en .
ns1:box1Image a rdf:Property ;
    rdfs:label "Box1 Image"@en .
ns1:box1Text a rdf:Property ;
    rdfs:label "Box1 Text"@en .
ns1:box2Image a rdf:Property ;
    rdfs:label "Box2 Image"@en .
ns1:box2Text a rdf:Property ;
    rdfs:label "Box2 Text"@en .
ns1:box3Image a rdf:Property ;
    rdfs:label "Box3 Image"@en .
ns1:box3Text a rdf:Property ;
    rdfs:label "Box3 Text"@en .
ns1:box4Image a rdf:Property ;
    rdfs:label "Box4 Image"@en .
ns1:box4Text a rdf:Property ;
    rdfs:label "Box4 Text"@en .
ns1:box5Image a rdf:Property ;
    rdfs:label "Box5 Image"@en .
ns1:box5Text a rdf:Property ;
    rdfs:label "Box5 Text"@en .
ns1:box6Image a rdf:Property ;
    rdfs:label "Box6 Image"@en .
ns1:box6Text a rdf:Property ;
    rdfs:label "Box6 Text"@en .
ns1:box7Image a rdf:Property ;
    rdfs:label "Box7 Image"@en .
ns1:box7Text a rdf:Property ;
    rdfs:label "Box7 Text"@en .
ns1:box8Image a rdf:Property ;
    rdfs:label "Box8 Image"@en .
ns1:box8Text a rdf:Property ;
    rdfs:label "Box8 Text"@en .
ns1:charref a rdf:Property ;
    rdfs:label "CharRef"@en .
ns1:citizenship a rdf:Property ;
    rdfs:label "Citizenship"@en .
ns1:colourist a rdf:Property ;
    rdfs:label "Colourist8 "@en .
ns1:creators a rdf:Property ;
    rdfs:label "Creators"@en .
ns1:crossovers a rdf:Property ;
    rdfs:label "Crossovers"@en .
ns1:death a rdf:Property ;
    rdfs:label "Death"@en .
ns1:description a rdf:Property ;
    rdfs:label "Description"@en .
ns1:durability a rdf:Property ;
    rdfs:label "Durability"@en .
ns1:editor a rdf:Property ;
    rdfs:label "Editor8 "@en .
ns1:endmonth a rdf:Property ;
    rdfs:label "EndMonth"@en .
ns1:endyear a rdf:Property ;
    rdfs:label "EndYear"@en .
ns1:energyProjection a rdf:Property ;
    rdfs:label "Energy Projection"@en .
ns1:equipment a rdf:Property ;
    rdfs:label "Equipment"@en .
ns1:explanation a rdf:Property ;
    rdfs:label "Explanation"@en .
ns1:externallinks a rdf:Property ;
    rdfs:label "externallinks"@en .
ns1:eyes a rdf:Property ;
    rdfs:label "Eyes"@en .
ns1:fandurability a rdf:Property ;
    rdfs:label "FanDurability"@en .
ns1:fanenergyProjection a rdf:Property ;
    rdfs:label "FanEnergy Projection"@en .
ns1:fanexplanation a rdf:Property ;
    rdfs:label "FanExplanation"@en .
ns1:fanfightingSkills a rdf:Property ;
    rdfs:label "FanFighting Skills"@en .
ns1:fanintelligence a rdf:Property ;
    rdfs:label "FanIntelligence"@en .
ns1:fanreference a rdf:Property ;
    rdfs:label "FanReference"@en .
ns1:fanspeed a rdf:Property ;
    rdfs:label "FanSpeed"@en .
ns1:fanstrength a rdf:Property ;
    rdfs:label "FanStrength"@en .
ns1:featured a rdf:Property ;
    rdfs:label "Featured"@en .
ns1:fightingSkills a rdf:Property ;
    rdfs:label "Fighting Skills"@en .
ns1:file a rdf:Property ;
    rdfs:label "File"@en .
ns1:first a rdf:Property ;
    rdfs:label "First"@en .
ns1:firstissue a rdf:Property ;
    rdfs:label "FirstIssue"@en .
ns1:formattedtitle a rdf:Property ;
    rdfs:label "formattedtitle"@en .
ns1:gender a rdf:Property ;
    rdfs:label "Gender"@en .
ns1:group a rdf:Property ;
    rdfs:label "Group"@en .
ns1:hair a rdf:Property ;
    rdfs:label "Hair"@en .
ns1:historytext a rdf:Property ;
    rdfs:label "HistoryText"@en .
ns1:id a rdf:Property ;
    rdfs:label "id"@en .
ns1:identity a rdf:Property ;
    rdfs:label "Identity"@en .
ns1:imageSize a rdf:Property ;
    rdfs:label "Image Size"@en .
ns1:imagesize a rdf:Property ;
    rdfs:label "ImageSize"@en .
ns1:inker a rdf:Property ;
    rdfs:label "Inker8 "@en .
ns1:intelligence a rdf:Property ;
    rdfs:label "Intelligence"@en .
ns1:issueimage a rdf:Property ;
    rdfs:label "IssueImage"@en .
ns1:issuelist a rdf:Property ;
    rdfs:label "IssueList"@en .
ns1:lastissue a rdf:Property ;
    rdfs:label "LastIssue"@en .
ns1:letterer a rdf:Property ;
    rdfs:label "Letterer8 "@en .
ns1:link a rdf:Property ;
    rdfs:label "link"@en .
ns1:links a rdf:Property ;
    rdfs:label "Links"@en .
ns1:linktext a rdf:Property ;
    rdfs:label "linktext"@en .
ns1:logo a rdf:Property ;
    rdfs:label "Logo"@en .
ns1:mainCharacter a rdf:Property ;
    rdfs:label "Main Character"@en .
ns1:mainImageSize a rdf:Property ;
    rdfs:label "Main Image Size"@en .
ns1:mainPicSize a rdf:Property ;
    rdfs:label "Main Pic Size"@en .
ns1:mainimagesize a rdf:Property ;
    rdfs:label "MainImageSize"@en .
ns1:message a rdf:Property ;
    rdfs:label "Message"@en .
ns1:month a rdf:Property ;
    rdfs:label "Month"@en .
ns1:movies a rdf:Property ;
    rdfs:label "Movies"@en .
ns1:name a rdf:Property ;
    rdfs:label "name"@en .
ns1:newHeader a rdf:Property ;
    rdfs:label "New Header1 "@en .
ns1:newHeader1X a rdf:Property ;
    rdfs:label "New Header1 x"@en .
ns1:next a rdf:Property ;
    rdfs:label "next"@en .
ns1:nextissue a rdf:Property ;
    rdfs:label "NextIssue"@en .
ns1:nextvol a rdf:Property ;
    rdfs:label "NextVol"@en .
ns1:note a rdf:Property ;
    rdfs:label "note"@en .
ns1:notes a rdf:Property ;
    rdfs:label "Notes"@en .
ns1:origin a rdf:Property ;
    rdfs:label "Origin"@en .
ns1:other a rdf:Property ;
    rdfs:label "Other"@en .
ns1:others a rdf:Property ;
    rdfs:label "Others"@en .
ns1:penciler a rdf:Property ;
    rdfs:label "Penciler8 "@en .
ns1:placeofbirth a rdf:Property ;
    rdfs:label "PlaceOfBirth"@en .
ns1:powers a rdf:Property ;
    rdfs:label "Powers"@en .
ns1:previous a rdf:Property ;
    rdfs:label "previous"@en .
ns1:previousissue a rdf:Property ;
    rdfs:label "PreviousIssue"@en .
ns1:previousvol a rdf:Property ;
    rdfs:label "PreviousVol"@en .
ns1:pthers a rdf:Property ;
    rdfs:label "Pthers"@en .
ns1:publisher a rdf:Property ;
    rdfs:label "Publisher"@en .
ns1:realname a rdf:Property ;
    rdfs:label "RealName"@en .
ns1:realted a rdf:Property ;
    rdfs:label "Realted"@en .
ns1:reference a rdf:Property ;
    rdfs:label "Reference"@en .
ns1:references a rdf:Property ;
    rdfs:label "references"@en .
ns1:related a rdf:Property ;
    rdfs:label "Related"@en .
ns1:relatives a rdf:Property ;
    rdfs:label "Relatives"@en .
ns1:releasedate a rdf:Property ;
    rdfs:label "ReleaseDate"@en .
ns1:seeAlso a rdf:Property ;
    rdfs:label "See Also"@en .
ns1:seealso a rdf:Property ;
    rdfs:label "SeeAlso"@en .
ns1:solicit a rdf:Property ;
    rdfs:label "Solicit"@en .
ns1:speed a rdf:Property ;
    rdfs:label "Speed"@en .
ns1:startmonth a rdf:Property ;
    rdfs:label "StartMonth"@en .
ns1:startyear a rdf:Property ;
    rdfs:label "StartYear"@en .
ns1:story a rdf:Property ;
    rdfs:label "Story"@en .
ns1:story1link a rdf:Property ;
    rdfs:label "Story1Link"@en .
ns1:story3link a rdf:Property ;
    rdfs:label "Story3Link"@en .
ns1:storyarcs a rdf:Property ;
    rdfs:label "StoryArcs"@en .
ns1:storytitle a rdf:Property ;
    rdfs:label "StoryTitle"@en .
ns1:strength a rdf:Property ;
    rdfs:label "Strength"@en .
ns1:teames a rdf:Property ;
    rdfs:label "Teames"@en .
ns1:teams a rdf:Property ;
    rdfs:label "Teams"@en .
ns1:television a rdf:Property ;
    rdfs:label "Television"@en .
ns1:title a rdf:Property ;
    rdfs:label "title"@en .
ns1:titleImage a rdf:Property ;
    rdfs:label "Title Image"@en .
ns1:totalissues a rdf:Property ;
    rdfs:label "TotalIssues"@en .
ns1:trivia a rdf:Property ;
    rdfs:label "Trivia"@en .
ns1:type a rdf:Property ;
    rdfs:label "Type"@en .
ns1:universe a rdf:Property ;
    rdfs:label "Universe"@en .
ns1:videoGame a rdf:Property ;
    rdfs:label "Video Game"@en .
ns1:videoGames a rdf:Property ;
    rdfs:label "Video Games"@en .
ns1:videogames a rdf:Property ;
    rdfs:label "VideoGames"@en .
ns1:volumelogo a rdf:Property ;
    rdfs:label "VolumeLogo"@en .
ns1:width a rdf:Property ;
    rdfs:label "width"@en .
ns1:writer a rdf:Property ;
    rdfs:label "Writer8 "@en .
ns1:year a rdf:Property ;
    rdfs:label "Year"@en .
ns1:years a rdf:Property ;
    rdfs:label "years"@en .
&lt;http://dbkwik.webdatacommons.org/marvel.wikia.com/resource/$$_Maje$tic&gt; a &lt;http://dbkwik.webdatacommons.org/marvel.wikia.com/class/r&gt; ;
    rdfs:label "$$ Maje$tic"^^rdf:langString ;
    ns2:thumbnail &lt;http://marvel.wikia.com/wiki/Special:FilePath/$$_Maje$tic_from_Agents_of_Atlas_Vol_1_4_001.png?width=300&gt; ;
    ns2:wikiPageWikiLink &lt;http://dbkwik.webdatacommons.org/marvel.wikia.com/resource/Atlas_Foundation_(Earth-616)&gt;,
        &lt;http://dbkwik.webdatacommons.org/marvel.wikia.com/resource/Category:Boats_and_Subs&gt; ;
    ns2:wikiPageWikiLinkText "''$$ Maje$tic''"^^rdf:langString ;
    dcterms:subject &lt;http://dbkwik.webdatacommons.org/marvel.wikia.com/resource/Category:Boats_and_Subs&gt; ;
    skos:altLabel "$$ Maje$tic"^^rdf:langString ;
    foaf:depiction &lt;http://marvel.wikia.com/wiki/Special:FilePath/$$_Maje$tic_from_Agents_of_Atlas_Vol_1_4_001.png&gt; .
&lt;http://dbkwik.webdatacommons.org/marvel.wikia.com/resource/$$_Maje$tic/Gallery&gt; a owl:Thing ;
    rdfs:label "$$ Maje$tic/Gallery"^^rdf:langString ;
    ns2:thumbnail &lt;http://marvel.wikia.com/wiki/Special:FilePath/$$_Maje$tic_from_Agents_of_Atlas_Vol_1_4_001.png?width=300&gt; ;
    skos:altLabel "$$ Maje$tic/Gallery"^^rdf:langString ;
    foaf:depiction &lt;http://marvel.wikia.com/wiki/Special:FilePath/$$_Maje$tic_from_Agents_of_Atlas_Vol_1_4_001.png&gt; .
&lt;http://dbkwik.webdatacommons.org/marvel.wikia.com/resource/$_Cult_(Earth-616)/Gallery&gt; a owl:Thing ;
    rdfs:label "$ Cult (Earth-616)/Gallery"^^rdf:langString ;
    ns2:thumbnail &lt;http://marvel.wikia.com/wiki/Special:FilePath/$_Cult_(Earth-616)_from_Daredevil_Vol_1_242_0001.jpg?width=300&gt; ;
    skos:altLabel "$ Cult (Earth-616)/Gallery"^^rdf:langString ;
    foaf:depiction &lt;http://marvel.wikia.com/wiki/Special:FilePath/$_Cult_(Earth-616)_from_Daredevil_Vol_1_242_0001.jpg&gt; .
&lt;http://dbkwik.webdatacommons.org/marvel.wikia.com/resource/%22Astral%22_Realm_of_Morgan_le_Fay&gt; ns2:wikiPageWikiLinkText "\"Astral\" Realm of Morgan le Fay"^^rdf:langString .
&lt;http://dbkwik.webdatacommons.org/marvel.wikia.com/resource/%22Blondie%22_(Earth-9047)&gt; ns2:wikiPageWikiLinkText "\"Blondie\""^^rdf:langString .
&lt;http://dbkwik.webdatacommons.org/marvel.wikia.com/resource/%22Spider-Girl%22_(Mutant/Spider_Clone)_(Earth-616)&gt; a &lt;http://dbkwik.webdatacommons.org/marvel.wikia.com/class/m&gt; ;
    rdfs:label "\"Spider-Girl\" (Mutant/Spider Clone) (Earth-616)"^^rdf:langString ;
    ns2:thumbnail &lt;http://marvel.wikia.com/wiki/Special:FilePath/Spider-Girl_(Mutant_Spider_Clone)_(Earth-616)_from_Avenging_Spider-Man_Vol_1_16_0001.png?width=300&gt; ;
    ns2:wikiPageWikiLink &lt;http://dbkwik.webdatacommons.org/marvel.wikia.com/resource/Anti-Spider_Squad_(Earth-616)&gt; ;
    dcterms:subject &lt;http://dbkwik.webdatacommons.org/marvel.wikia.com/resource/Category:Adhesive&gt;,
        &lt;http://dbkwik.webdatacommons.org/marvel.wikia.com/resource/Category:Arachnine_Form&gt; .
&lt;http://dbkwik.webdatacommons.org/marvel.wikia.com/resource/%22Spider-Girl%22_(Mutant/Spider_Clone)_(Earth-616)/Gallery&gt; a owl:Thing ;
    rdfs:label "\"Spider-Girl\" (Mutant/Spider Clone) (Earth-616)/Gallery"^^rdf:langString .
&lt;http://dbkwik.webdatacommons.org/marvel.wikia.com/resource/%27Bu_Tones&gt; a owl:Thing ;
    rdfs:label "'Bu Tones"^^rdf:langString .
&lt;http://dbkwik.webdatacommons.org/marvel.wikia.com/resource/%27Lectron_(Earth-12772)&gt; a &lt;http://dbkwik.webdatacommons.org/marvel.wikia.com/class/m&gt; ;
    rdfs:label "'Lectron (Earth-12772)"^^rdf:langString ;
    dcterms:subject &lt;http://dbkwik.webdatacommons.org/marvel.wikia.com/resource/Category:Electrokinesis&gt;,
        &lt;http://dbkwik.webdatacommons.org/marvel.wikia.com/resource/Category:Flight&gt; .
&lt;http://dbkwik.webdatacommons.org/marvel.wikia.com/resource/%27Lectron_(Earth-12772)/Gallery&gt; a owl:Thing ;
    rdfs:label "'Lectron (Earth-12772)/Gallery"^^rdf:langString .
&lt;http://dbkwik.webdatacommons.org/marvel.wikia.com/resource/%27Maxwell_Stockbridge%27&gt; a &lt;http://dbkwik.webdatacommons.org/marvel.wikia.com/class/merge_to&gt; ;
    rdfs:label "'Maxwell Stockbridge'"^^rdf:langString .
&lt;http://dbkwik.webdatacommons.org/marvel.wikia.com/resource/%27Nam_Magazine_Vol_1&gt; a &lt;http://dbkwik.webdatacommons.org/marvel.wikia.com/class/cisnodpl&gt; ;
    rdfs:label "'Nam Magazine Vol 1"^^rdf:langString ;
    ns1:formattedtitle "'Nam Magazine #1"^^rdf:langString,
        "'Nam Magazine #10"^^rdf:langString,
        "'Nam Magazine #2"^^rdf:langString,
        "'Nam Magazine #3"^^rdf:langString,
        "'Nam Magazine #4"^^rdf:langString ;
    ns1:month "April"^^rdf:langString,
        "August"^^rdf:langString,
        "December"^^rdf:langString,
        "February"^^rdf:langString,
        "January"^^rdf:langString ;
    ns1:year 1988,
        1989 .
&lt;http://dbkwik.webdatacommons.org/marvel.wikia.com/resource/%27Nam_Magazine_Vol_1_1&gt; a &lt;http://dbkwik.webdatacommons.org/marvel.wikia.com/class/a&gt; ;
    rdfs:label "'Nam Magazine Vol 1 1"^^rdf:langString .
&lt;http://dbkwik.webdatacommons.org/marvel.wikia.com/resource/%27Nam_Magazine_Vol_1_10&gt; a owl:Thing ;
    rdfs:label "'Nam Magazine Vol 1 10"^^rdf:langString .
&lt;http://dbkwik.webdatacommons.org/marvel.wikia.com/resource/%27Nam_Magazine_Vol_1_2&gt; a owl:Thing ;
    rdfs:label "'Nam Magazine Vol 1 2"^^rdf:langString .
&lt;http://dbkwik.webdatacommons.org/marvel.wikia.com/resource/%27Nam_Magazine_Vol_1_3&gt; a owl:Thing ;
    rdfs:label "'Nam Magazine Vol 1 3"^^rdf:langString .
&lt;http://dbkwik.webdatacommons.org/marvel.wikia.com/resource/%27Nam_Magazine_Vol_1_4&gt; a owl:Thing ;
    rdfs:label "'Nam Magazine Vol 1 4"^^rdf:langString .
&lt;http://dbkwik.webdatacommons.org/marvel.wikia.com/resource/%27Nuff_Said&gt; a &lt;http://dbkwik.webdatacommons.org/marvel.wikia.com/class/c&gt; ;
    rdfs:label "'Nuff Said"^^rdf:langString .
&lt;http://dbkwik.webdatacommons.org/marvel.wikia.com/resource/%27Selka_(Earth-928)&gt; a &lt;http://dbkwik.webdatacommons.org/marvel.wikia.com/class/r&gt; ;
    rdfs:label "'Selka (Earth-928)"^^rdf:langString .
&lt;http://dbkwik.webdatacommons.org/marvel.wikia.com/resource/%27Spinner_(Earth-616)&gt; a &lt;http://dbkwik.webdatacommons.org/marvel.wikia.com/class/m&gt; ;
    rdfs:label "'Spinner (Earth-616)"^^rdf:langString .
&lt;http://dbkwik.webdatacommons.org/marvel.wikia.com/resource/%27Vores_(Earth-616)&gt; a &lt;http://dbkwik.webdatacommons.org/marvel.wikia.com/class/r&gt; ;
    rdfs:label "'Vores (Earth-616)"^^rdf:langString ;
    ns2:wikiPageExternalLink &lt;http://www.marvunapp.com/Appendix/voresrjf.htm&gt; .
&lt;http://dbkwik.webdatacommons.org/marvel.wikia.com/resource/...In_Chains!&gt; a &lt;http://dbkwik.webdatacommons.org/marvel.wikia.com/class/c&gt; ;
    rdfs:label "...In Chains!"^^rdf:langString .
&lt;http://dbkwik.webdatacommons.org/marvel.wikia.com/resource/.675_side-slung_deflected_chamber_Van_Damme-Seagal_repeating_rifle&gt; a &lt;http://dbkwik.webdatacommons.org/marvel.wikia.com/class/r&gt; ;
    rdfs:label ".675 side-slung deflected chamber Van Damme-Seagal repeating rifle"^^rdf:langString .
&lt;http://dbkwik.webdatacommons.org/marvel.wikia.com/resource/0-8-4_(Hydra_Weapon)&gt; a &lt;http://dbkwik.webdatacommons.org/marvel.wikia.com/class/r&gt; ;
    rdfs:label "0-8-4 (Hydra Weapon)"^^rdf:langString .
&lt;http://dbkwik.webdatacommons.org/marvel.wikia.com/resource/100_Greatest_Marvels_of_All_Time_Vol_1&gt; a &lt;http://dbkwik.webdatacommons.org/marvel.wikia.com/class/cidnodpl&gt; ;
    rdfs:label "100 Greatest Marvels of All Time Vol 1"^^rdf:langString ;
    ns1:storytitle "And Now... the Wolverine!"^^rdf:langString,
        "Days of Future Past"^^rdf:langString,
        "Powerless"^^rdf:langString,
        "Rubicon"^^rdf:langString ;
    ns1:year 2001 .
&lt;http://dbkwik.webdatacommons.org/marvel.wikia.com/resource/100_Greatest_Marvels_of_All_Time_Vol_1_1&gt; a &lt;http://dbkwik.webdatacommons.org/marvel.wikia.com/class/storygrab&gt; ;
    rdfs:label "100 Greatest Marvels of All Time Vol 1 1"^^rdf:langString .
&lt;http://dbkwik.webdatacommons.org/marvel.wikia.com/resource/100_Greatest_Marvels_of_All_Time_Vol_1_10&gt; a &lt;http://dbkwik.webdatacommons.org/marvel.wikia.com/class/apn&gt; ;
    rdfs:label "100 Greatest Marvels of All Time Vol 1 10"^^rdf:langString .
&lt;http://dbkwik.webdatacommons.org/marvel.wikia.com/resource/100_Greatest_Marvels_of_All_Time_Vol_1_2&gt; a &lt;http://dbkwik.webdatacommons.org/marvel.wikia.com/class/a&gt; ;
    rdfs:label "100 Greatest Marvels of All Time Vol 1 2"^^rdf:langString .
&lt;http://dbkwik.webdatacommons.org/marvel.wikia.com/resource/100_Greatest_Marvels_of_All_Time_Vol_1_3&gt; a &lt;http://dbkwik.webdatacommons.org/marvel.wikia.com/class/a&gt; ;
    rdfs:label "100 Greatest Marvels of All Time Vol 1 3"^^rdf:langString .
&lt;http://dbkwik.webdatacommons.org/marvel.wikia.com/resource/100_Greatest_Marvels_of_All_Time_Vol_1_4&gt; a &lt;http://dbkwik.webdatacommons.org/marvel.wikia.com/class/a&gt; ;
    rdfs:label "100 Greatest Marvels of All Time Vol 1 4"^^rdf:langString .
&lt;http://dbkwik.webdatacommons.org/marvel.wikia.com/resource/100_Greatest_Marvels_of_All_Time_Vol_1_5&gt; a &lt;http://dbkwik.webdatacommons.org/marvel.wikia.com/class/a&gt; ;
    rdfs:label "100 Greatest Marvels of All Time Vol 1 5"^^rdf:langString .
&lt;http://dbkwik.webdatacommons.org/marvel.wikia.com/resource/100th_Anniversary_Special_-_Avengers_Vol_1&gt; a &lt;http://dbkwik.webdatacommons.org/marvel.wikia.com/class/cis&gt; ;
    rdfs:label "100th Anniversary Special - Avengers Vol 1"^^rdf:langString .
&lt;http://dbkwik.webdatacommons.org/marvel.wikia.com/resource/100th_Anniversary_Special_-_Fantastic_Four_Vol_1&gt; a &lt;http://dbkwik.webdatacommons.org/marvel.wikia.com/class/cis&gt; ;
    rdfs:label "100th Anniversary Special - Fantastic Four Vol 1"^^rdf:langString .
&lt;http://dbkwik.webdatacommons.org/marvel.wikia.com/resource/100th_Anniversary_Special_-_Fantastic_Four_Vol_1_1&gt; a &lt;http://dbkwik.webdatacommons.org/marvel.wikia.com/class/flash&gt; ;
    rdfs:label "100th Anniversary Special - Fantastic Four Vol 1 1"^^rdf:langString .
&lt;http://dbkwik.webdatacommons.org/marvel.wikia.com/resource/100th_Anniversary_Special_-_Guardians_of_the_Galaxy_Vol_1&gt; a &lt;http://dbkwik.webdatacommons.org/marvel.wikia.com/class/cis&gt; ;
    rdfs:label "100th Anniversary Special - Guardians of the Galaxy Vol 1"^^rdf:langString .
&lt;http://dbkwik.webdatacommons.org/marvel.wikia.com/resource/100th_Anniversary_Special_-_Spider-Man_Vol_1&gt; a &lt;http://dbkwik.webdatacommons.org/marvel.wikia.com/class/cis&gt; ;
    rdfs:label "100th Anniversary Special - Spider-Man Vol 1"^^rdf:langString .
&lt;http://dbkwik.webdatacommons.org/marvel.wikia.com/resource/100th_Anniversary_Special_-_X-Men_Vol_1&gt; a &lt;http://dbkwik.webdatacommons.org/marvel.wikia.com/class/cis&gt; ;
    rdfs:label "100th Anniversary Special - X-Men Vol 1"^^rdf:langString .
&lt;http://dbkwik.webdatacommons.org/marvel.wikia.com/resource/100th_Anniversary_Special_-_X-Men_Vol_1_1&gt; a &lt;http://dbkwik.webdatacommons.org/marvel.wikia.com/class/cameo&gt; ;
    rdfs:label "100th Anniversary Special - X-Men Vol 1 1"^^rdf:langString .
&lt;http://dbkwik.webdatacommons.org/marvel.wikia.com/resource/107_(Earth-616)&gt; a &lt;http://dbkwik.webdatacommons.org/marvel.wikia.com/class/m&gt; ;
    rdfs:label "107 (Earth-616)"^^rdf:langString ;
    ns2:wikiPageExternalLink &lt;http://www.marvunapp.com/Appendix3/psignsofthetimesjusticeastro.htm%23107&gt; .
&lt;http://dbkwik.webdatacommons.org/marvel.wikia.com/resource/10th_century&gt; rdfs:label "10th century"^^rdf:langString ;
    ns2:abstract """The following timeline describes the major events of Earth-616 in the 10th century of the Marvel Universe Timeline. 
"""@en ;
    rdfs:comment """The following timeline describes the major events of Earth-616 in the 10th century of the Marvel Universe Timeline. 
"""@en .
&lt;http://dbkwik.webdatacommons.org/marvel.wikia.com/resource/11-Ball_(Earth-616)&gt; a &lt;http://dbkwik.webdatacommons.org/marvel.wikia.com/class/m&gt; ;
    rdfs:label "11-Ball (Earth-616)"^^rdf:langString ;
    ns2:wikiPageExternalLink &lt;http://www.marvunapp.com/Appendix2/8ballsw.htm%23gang&gt; .
&lt;http://dbkwik.webdatacommons.org/marvel.wikia.com/resource/11th_century&gt; rdfs:label "11th century"^^rdf:langString ;
    ns2:abstract """The following timeline describes the major events of Earth-616 in the 11th century of the Marvel Universe Timeline. 
"""@en ;
    rdfs:comment """The following timeline describes the major events of Earth-616 in the 11th century of the Marvel Universe Timeline. 
"""@en .
&lt;http://dbkwik.webdatacommons.org/marvel.wikia.com/resource/12th_century&gt; rdfs:label "12th century"^^rdf:langString ;
    ns2:abstract """The following timeline describes the major events of Earth-616 in the 12th century of the Marvel Universe Timeline. 
"""@en ;
    rdfs:comment """The following timeline describes the major events of Earth-616 in the 12th century of the Marvel Universe Timeline. 
"""@en .
&lt;http://dbkwik.webdatacommons.org/marvel.wikia.com/resource/13th_century&gt; rdfs:label "13th century"^^rdf:langString ;
    ns2:abstract """The following timeline describes the major events of Earth-616 in the 13th century of the Marvel Universe Timeline. 
"""@en ;
    rdfs:comment """The following timeline describes the major events of Earth-616 in the 13th century of the Marvel Universe Timeline. 
"""@en .
&lt;http://dbkwik.webdatacommons.org/marvel.wikia.com/resource/14_(Earth-616)&gt; rdfs:label "14 (Earth-616)"^^rdf:langString ;
    ns2:wikiPageExternalLink &lt;http://www.marvunapp.com/Appendix3/psignsofthetimesjusticeastro.htm&gt; .
&lt;http://dbkwik.webdatacommons.org/marvel.wikia.com/resource/14th_century&gt; rdfs:label "14th century"^^rdf:langString ;
    ns2:abstract """The following timeline describes the major events of Earth-616 in the 14th century of the Marvel Universe Timeline. 
"""@en ;
    rdfs:comment """The following timeline describes the major events of Earth-616 in the 14th century of the Marvel Universe Timeline. 
"""@en .
&lt;http://dbkwik.webdatacommons.org/marvel.wikia.com/resource/15-Love_TPB_Vol_1&gt; a &lt;http://dbkwik.webdatacommons.org/marvel.wikia.com/class/cid&gt; ;
    rdfs:label "15-Love TPB Vol 1"^^rdf:langString .
&lt;http://dbkwik.webdatacommons.org/marvel.wikia.com/resource/15-Love_TPB_Vol_1_1&gt; a &lt;http://dbkwik.webdatacommons.org/marvel.wikia.com/class/cid&gt; ;
    rdfs:label "15-Love TPB Vol 1 1"^^rdf:langString .
&lt;http://dbkwik.webdatacommons.org/marvel.wikia.com/resource/15-Love_Vol_1&gt; a &lt;http://dbkwik.webdatacommons.org/marvel.wikia.com/class/cidnodpl&gt; ;
    rdfs:label "15-Love Vol 1"^^rdf:langString ;
    ns1:releasedate "2011-03-08"^^xsd:date,
        "2011-08-06"^^xsd:date,
        7 ;
    ns1:year 2011 .
&lt;http://dbkwik.webdatacommons.org/marvel.wikia.com/resource/15-Love_Vol_1_1&gt; a &lt;http://dbkwik.webdatacommons.org/marvel.wikia.com/class/only&gt; ;
    rdfs:label "15-Love Vol 1 1"^^rdf:langString .
&lt;http://dbkwik.webdatacommons.org/marvel.wikia.com/resource/1602_Witch_Hunter_Angela_Vol_1_1&gt; a &lt;http://dbkwik.webdatacommons.org/marvel.wikia.com/class/1st&gt; ;
    rdfs:label "1602 Witch Hunter Angela Vol 1 1"^^rdf:langString .
&lt;http://dbkwik.webdatacommons.org/marvel.wikia.com/resource/1602_Witch_Hunter_Angela_Vol_1_2&gt; a &lt;http://dbkwik.webdatacommons.org/marvel.wikia.com/class/flashonly&gt; ;
    rdfs:label "1602 Witch Hunter Angela Vol 1 2"^^rdf:langString .
&lt;http://dbkwik.webdatacommons.org/marvel.wikia.com/resource/1602_Witch_Hunter_Angela_Vol_1_3&gt; a &lt;http://dbkwik.webdatacommons.org/marvel.wikia.com/class/mentioned&gt; ;
    rdfs:label "1602 Witch Hunter Angela Vol 1 3"^^rdf:langString .
&lt;http://dbkwik.webdatacommons.org/marvel.wikia.com/resource/1602_Witch_Hunter_Angela_Vol_1_4&gt; a &lt;http://dbkwik.webdatacommons.org/marvel.wikia.com/class/1stas&gt; ;
    rdfs:label "1602 Witch Hunter Angela Vol 1 4"^^rdf:langString .
&lt;http://dbkwik.webdatacommons.org/marvel.wikia.com/resource/1872_Vol_1_1&gt; a &lt;http://dbkwik.webdatacommons.org/marvel.wikia.com/class/minor&gt; ;
    rdfs:label "1872 Vol 1 1"^^rdf:langString .
&lt;http://dbkwik.webdatacommons.org/marvel.wikia.com/resource/1872_Vol_1_2&gt; a &lt;http://dbkwik.webdatacommons.org/marvel.wikia.com/class/minor&gt; ;
    rdfs:label "1872 Vol 1 2"^^rdf:langString .
&lt;http://dbkwik.webdatacommons.org/marvel.wikia.com/resource/1872_Vol_1_3&gt; a &lt;http://dbkwik.webdatacommons.org/marvel.wikia.com/class/minor&gt; ;
    rdfs:label "1872 Vol 1 3"^^rdf:langString ;
    rdfs:comment "pt-br:1872 Vol 1 3"@en .
&lt;http://dbkwik.webdatacommons.org/marvel.wikia.com/resource/1872_Vol_1_4&gt; a &lt;http://dbkwik.webdatacommons.org/marvel.wikia.com/class/apn&gt; ;
    rdfs:label "1872 Vol 1 4"^^rdf:langString .
&lt;http://dbkwik.webdatacommons.org/marvel.wikia.com/resource/18th_Kree_Diplomatic_Gestalt&gt; a &lt;http://dbkwik.webdatacommons.org/marvel.wikia.com/class/disambiguation&gt; ;
    rdfs:label "18th Kree Diplomatic Gestalt"^^rdf:langString ;
    ns1:alternate &lt;http://dbkwik.webdatacommons.org/marvel.wikia.com/resource/18th_Kree_Diplomatic_Gestalt_(Earth-TRN285)&gt; ;
    ns2:wikiPageDisambiguates &lt;http://dbkwik.webdatacommons.org/marvel.wikia.com/resource/18th_Kree_Diplomatic_Gestalt_(Earth-200080)&gt;,
        &lt;http://dbkwik.webdatacommons.org/marvel.wikia.com/resource/18th_Kree_Diplomatic_Gestalt_(Earth-TRN285)&gt; .
&lt;http://dbkwik.webdatacommons.org/marvel.wikia.com/resource/1939_Daily_Bugle_Vol_1&gt; a &lt;http://dbkwik.webdatacommons.org/marvel.wikia.com/class/comic_list&gt; ;
    rdfs:label "1939 Daily Bugle Vol 1"^^rdf:langString ;
    rdfs:comment "WtRedirect"@en .
&lt;http://dbkwik.webdatacommons.org/marvel.wikia.com/resource/198_(Earth-616)&gt; a &lt;http://dbkwik.webdatacommons.org/marvel.wikia.com/class/messagebox&gt; ;
    rdfs:label "198 (Earth-616)"^^rdf:langString .
&lt;http://dbkwik.webdatacommons.org/marvel.wikia.com/resource/1st_Special_Forces_Operational_Detachment-Delta&gt; a &lt;http://dbkwik.webdatacommons.org/marvel.wikia.com/class/disambiguation&gt; ;
    rdfs:label "1st Special Forces Operational Detachment-Delta"^^rdf:langString ;
    ns1:movies &lt;http://dbkwik.webdatacommons.org/marvel.wikia.com/resource/1st_Special_Forces_Operational_Detachment-Delta_(Earth-TRN554)&gt; ;
    ns2:wikiPageDisambiguates &lt;http://dbkwik.webdatacommons.org/marvel.wikia.com/resource/1st_Special_Forces_Operational_Detachment-Delta_(Earth-616)&gt;,
        &lt;http://dbkwik.webdatacommons.org/marvel.wikia.com/resource/1st_Special_Forces_Operational_Detachment-Delta_(Earth-TRN554)&gt; .
&lt;http://dbkwik.webdatacommons.org/marvel.wikia.com/resource/2-Gun_Western_Vol_1&gt; a &lt;http://dbkwik.webdatacommons.org/marvel.wikia.com/class/cidnodpl&gt; ;
    rdfs:label "2-Gun Western Vol 1"^^rdf:langString ;
    ns1:year 1956 .
&lt;http://dbkwik.webdatacommons.org/marvel.wikia.com/resource/2001:_A_Space_Odyssey_Vol_1&gt; a &lt;http://dbkwik.webdatacommons.org/marvel.wikia.com/class/cidnodpl&gt; ;
    rdfs:label "2001: A Space Odyssey Vol 1"^^rdf:langString .
&lt;http://dbkwik.webdatacommons.org/marvel.wikia.com/resource/2001:_A_Space_Odyssey_Vol_1_1&gt; a &lt;http://dbkwik.webdatacommons.org/marvel.wikia.com/class/only&gt; ;
    rdfs:label "2001: A Space Odyssey Vol 1 1"^^rdf:langString .
&lt;http://dbkwik.webdatacommons.org/marvel.wikia.com/resource/2001:_A_Space_Odyssey_Vol_1_10&gt; a &lt;http://dbkwik.webdatacommons.org/marvel.wikia.com/class/apn&gt; ;
    rdfs:label "2001: A Space Odyssey Vol 1 10"^^rdf:langString .
&lt;http://dbkwik.webdatacommons.org/marvel.wikia.com/resource/2001:_A_Space_Odyssey_Vol_1_7&gt; a &lt;http://dbkwik.webdatacommons.org/marvel.wikia.com/class/only&gt; ;
    rdfs:label "2001: A Space Odyssey Vol 1 7"^^rdf:langString .
&lt;http://dbkwik.webdatacommons.org/marvel.wikia.com/resource/2001:_A_Space_Odyssey_Vol_1_8&gt; a &lt;http://dbkwik.webdatacommons.org/marvel.wikia.com/class/apn&gt; ;
    rdfs:label "2001: A Space Odyssey Vol 1 8"^^rdf:langString .
&lt;http://dbkwik.webdatacommons.org/marvel.wikia.com/resource/2001_Comic_Books&gt; a &lt;http://dbkwik.webdatacommons.org/marvel.wikia.com/class/comicdisambig&gt; ;
    rdfs:label "2001 Comic Books"^^rdf:langString ;
    rdfs:comment """See: for a complete list.
__NOEDITSECTION__"""@en .
&lt;http://dbkwik.webdatacommons.org/marvel.wikia.com/resource/2010&gt; a &lt;http://dbkwik.webdatacommons.org/marvel.wikia.com/class/disambiguation&gt; ;
    rdfs:label "2010"^^rdf:langString .
&lt;http://dbkwik.webdatacommons.org/marvel.wikia.com/resource/2010_Vol_1&gt; a &lt;http://dbkwik.webdatacommons.org/marvel.wikia.com/class/c&gt; ;
    rdfs:label "2010 Vol 1"^^rdf:langString .
&lt;http://dbkwik.webdatacommons.org/marvel.wikia.com/resource/2018&gt; a &lt;http://dbkwik.webdatacommons.org/marvel.wikia.com/class/year_category&gt; ;
    rdfs:label "2018"^^rdf:langString .
&lt;http://dbkwik.webdatacommons.org/marvel.wikia.com/resource/2019&gt; a &lt;http://dbkwik.webdatacommons.org/marvel.wikia.com/class/year_category&gt; ;
    rdfs:label "2019"^^rdf:langString .
&lt;http://dbkwik.webdatacommons.org/marvel.wikia.com/resource/2099:_Manifest_Destiny_Vol_1_1&gt; a &lt;http://dbkwik.webdatacommons.org/marvel.wikia.com/class/apn&gt; ;
    rdfs:label "2099: Manifest Destiny Vol 1 1"^^rdf:langString .
&lt;http://dbkwik.webdatacommons.org/marvel.wikia.com/resource/2099:_World_of_Tomorrow_Vol_1&gt; a &lt;http://dbkwik.webdatacommons.org/marvel.wikia.com/class/cisnodpl&gt; ;
    rdfs:label "2099: World of Tomorrow Vol 1"^^rdf:langString .
&lt;http://dbkwik.webdatacommons.org/marvel.wikia.com/resource/2099_Limited_Ashcan_Vol_1&gt; a &lt;http://dbkwik.webdatacommons.org/marvel.wikia.com/class/cidnodpl&gt; ;
    rdfs:label "2099 Limited Ashcan Vol 1"^^rdf:langString .
&lt;http://dbkwik.webdatacommons.org/marvel.wikia.com/resource/2099_Unlimited_Vol_1&gt; a &lt;http://dbkwik.webdatacommons.org/marvel.wikia.com/class/cisnodpl&gt; ;
    rdfs:label "2099 Unlimited Vol 1"^^rdf:langString .
&lt;http://dbkwik.webdatacommons.org/marvel.wikia.com/resource/2099_Unlimited_Vol_1_1&gt; a &lt;http://dbkwik.webdatacommons.org/marvel.wikia.com/class/minor&gt; ;
    rdfs:label "2099 Unlimited Vol 1 1"^^rdf:langString .
&lt;http://dbkwik.webdatacommons.org/marvel.wikia.com/resource/20th_century&gt; a &lt;http://dbkwik.webdatacommons.org/marvel.wikia.com/class/main&gt; ;
    rdfs:label "20th century"^^rdf:langString ;
    rdfs:comment """The following timeline describes the major events of Earth-616 in the 20th. Only major fictional historical events are listed here. Please note that few exact dates have been given for these events, so approximations are used instead. Note also that a Sliding Timescale applies to Earth-616, so that events involving its inhabitants can only be determined as having happened a certain number of years before whatever the current date is.
"""@en .
&lt;http://dbkwik.webdatacommons.org/marvel.wikia.com/resource/23_Mill_Road&gt; a &lt;http://dbkwik.webdatacommons.org/marvel.wikia.com/class/c&gt; ;
    rdfs:label "23 Mill Road"^^rdf:langString .
&lt;http://dbkwik.webdatacommons.org/marvel.wikia.com/resource/3-D_Man&gt; a &lt;http://dbkwik.webdatacommons.org/marvel.wikia.com/class/disambiguation&gt; ;
    rdfs:label "3-D Man"^^rdf:lang</t>
  </si>
  <si>
    <t>syntax_ok_rate</t>
  </si>
  <si>
    <t>satisfiable_rate</t>
  </si>
  <si>
    <t>deterministic_rate</t>
  </si>
  <si>
    <t>ALL</t>
  </si>
  <si>
    <t>Complexity</t>
  </si>
  <si>
    <t>Total</t>
  </si>
  <si>
    <t>Valid Syntax</t>
  </si>
  <si>
    <t>Valid all</t>
  </si>
  <si>
    <t>```python
from rdflib import Graph, Namespace, URIRef, Literal
from rdflib.namespace import RDF, RDFS
from rdflib.plugin import register
register("marvel", Namespace('http://dbkwik.webdatacommons.org/marvel.wikia.com'))
g = Graph()
# Load the provided schema into graph 'g'
with open('schema.ttl', 'r') as file:
    g.parse(file, format='turtle')
# Define prefixes used in the schema for brevity
md = marvel.merge_from
mmp = marvel.merge
mom = marvel.marvel_movies
mda = marvel.marvel_dc_crossovers
mh = marvel.marvel_comics
mc = marvel.marvel_comic_list_no_dpl
mcp = marvel.marvel_dc_crossovers
mp = marvel.movies
mcdb = marvel.marvel_database
marvel_hub = marvel.marvel_hub
# The following SPARQL query retrieves the names of all Marvel characters present in the knowledge graph.
query = """
    SELECT DISTINCT ?character ?name 
    WHERE {
        ?character a md:Character .
        ?character mda:featuredInMarvelUniverse .
        ?character foaf:focus ?name .
        FILTER( lang(?name) = "en" )
    }
"""
results = g.query(query, initNs={"marvel": marvel})
for row in results:
    character_uri = URIRef(row['character'])
    character_name = row['name'].value
    print(f"{character_uri} ({type(character_uri)}) -&gt; {character_name}")
```</t>
  </si>
  <si>
    <t>model='granite3.3:latest' created_at='2025-11-19T20:33:50.465338719Z' done=True done_reason='stop' total_duration=333429686001 load_duration=21623977760 prompt_eval_count=114325 prompt_eval_duration=288660507049 eval_count=394 eval_duration=22788355160 message=Message(role='assistant', content='```python\nfrom rdflib import Graph, Namespace, URIRef, Literal\nfrom rdflib.namespace import RDF, RDFS\nfrom rdflib.plugin import register\nregister("marvel", Namespace(\'http://dbkwik.webdatacommons.org/marvel.wikia.com\'))\n\ng = Graph()\n\n# Load the provided schema into graph \'g\'\nwith open(\'schema.ttl\', \'r\') as file:\n    g.parse(file, format=\'turtle\')\n\n# Define prefixes used in the schema for brevity\nmd = marvel.merge_from\nmmp = marvel.merge\nmom = marvel.marvel_movies\nmda = marvel.marvel_dc_crossovers\nmh = marvel.marvel_comics\nmc = marvel.marvel_comic_list_no_dpl\nmcp = marvel.marvel_dc_crossovers\nmp = marvel.movies\nmcdb = marvel.marvel_database\nmarvel_hub = marvel.marvel_hub\n\n# The following SPARQL query retrieves the names of all Marvel characters present in the knowledge graph.\nquery = """\n    SELECT DISTINCT ?character ?name \n    WHERE {\n        ?character a md:Character .\n        ?character mda:featuredInMarvelUniverse .\n        ?character foaf:focus ?name .\n        FILTER( lang(?name) = "en" )\n    }\n"""\nresults = g.query(query, initNs={"marvel": marvel})\nfor row in results:\n    character_uri = URIRef(row[\'character\'])\n    character_name = row[\'name\'].value\n    print(f"{character_uri} ({type(character_uri)}) -&gt; {character_name}")\n```',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</si>
  <si>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from rdflib import Graph, Namespace, URIRef, Literal
from rdflib.namespace import RDF, RDFS
from rdflib.plugin import register
register("marvel", Namespace('http://dbkwik.webdatacommons.org/marvel.wikia.com'))
g = Graph()
# Load the provided schema into graph 'g'
with open('schema.ttl', 'r') as file:
    g.parse(file, format='turtle')
# Define prefixes used in the schema for brevity
md = marvel.merge_from
mmp = marvel.merge
mom = marvel.marvel_movies
mda = marvel.marvel_dc_crossovers
mh = marvel.marvel_comics
mc = marvel.marvel_comic_list_no_dpl
mcp = marvel.marvel_dc_crossovers
mp = marvel.movies
mcdb = marvel.marvel_database
marvel_hub = marvel.marvel_hub
# The following SPARQL query retrieves the names of all Marvel characters present in the knowledge graph.
query = """
    SELECT DISTINCT ?character ?name 
    WHERE {
        ?character a md:Character .
        ?character mda:featuredInMarvelUniverse .
        ?character foaf:focus ?name .
        FILTER( lang(?name) = "en" )
    }
"""
results = g.query(query, initNs={"marvel": marvel})
for row in results:
    character_uri = URIRef(row['character'])
    character_name = row['name'].value
    print(f"{character_uri} ({type(character_uri)}) -&gt; {character_name}")</t>
  </si>
  <si>
    <t>ERROR: QueryBadFormed: A bad request has been sent to the endpoint: probably the SPARQL query is badly formed. 
Response:
b'Parse error: Line 14, column 22: Unresolved prefixed name: md:Character\n'</t>
  </si>
  <si>
    <t>I've extracted the relevant sections from your request that contain information about characters, events, and other entities related to Marvel. Here's a summary organized by categories for easier reference:
## Characters
- **Tony Stark (Earth-120703)**: Mentioned as having an alternate version on Earth-120703. [Source](https://marvel.wikia.com/wiki/Tony_Stark_(Earth-120703))
- **Howard Stark (Earth-944)**: Power Grid lists explanation as "Telepathy."
- **Nell Ruggles (Earth-120703)**: Mentioned in Marvel Handbook. [Source](https://marvel.wikia.com/wiki/Nell_Ruggles_(Earth-120703))
- **Kei Kawade (Earth-616)**: A character from the alternate universe Earth-616 mentioned in an official sourcebook. [Source](https://marvel.wikia.com/wiki/Kei_Kawade_(Earth-616))
- **N'Baza (Earth-616)**: An alternate version of N'Baza, an Earth-616 character who was Sorcerer Supreme before Doctor Strange.
## Events
- **Secret Invasion**: A major Marvel event involving a Skrull infiltration. [Source](https://marvel.wikia.com/wiki/Secret_Invasion)
- **Operation: Galactic Storm**: A major Marvel event that resulted from Norman Osborn seizing control of S.H.I.E.L.D., leading to the "Dark Reign" storyline. [Source](https://marvel.wikia.com/wiki/Operation:_Galactic_Storm)
- **Infinity Gauntlet**: A major Marvel event where Thanos gathers all six Infinity Gems, leading to the "Infinity War" against Earth's heroes.
## Locations
- **Wakanda (Earth-616)**: Home of Black Panther and other notable Wakandans, including T'Challa, Shuri, and Okoye. [Source](https://marvel.wikia.com/wiki/Wakanda)
- **New York City (Earth-616)**: Also known as Manhattan; home of the Avengers and many other Marvel characters.
## Publications &amp; Issues
- **Marvel Comics** (Brand): A comic book publishing house known for its extensive universe. [Source](https://marvel.wikia.com/wiki/Marvel_Comics)
- **Official Handbook of the Marvel Universe Vol 1**: A collection detailing various characters in the Marvel Universe, published annually from 1983 to 2004. [Source](https://marvel.wikia.com/wiki/Official_Handbook_of_the_Marvel_Universe)
- **Marvel's Spider-Man**: The Animated Series, produced in the early '60s, was one of Marvel's earliest animated projects. [Source](https://marvel.wikia.com/wiki/Marvel%27s_Spider-Man:_The_Animated_Series)
## Films &amp; TV Shows
- **Marvel Studios**: The film production arm of Marvel responsible for films like "Iron Man," "Captain America," and the Avengers series. [Source](https://marvel.wikia.com/wiki/Marvel_Studios)
- **Marvel's Agents of S.H.I.E.L.D.** (TV Series): A popular series set in the Marvel Cinematic Universe, airing from 2013 to 2020. [Source](https://marvel.wikia.com/wiki/Marvel's_Agents_of_S.H.I.E.L.D.)
- **Wolverine (Film)**: The 2013 film portraying Wolverine, starring Hugh Jackman in the lead role. [Source](https://marvel.wikia.com/wiki/Wolverine_(film))
## Groups &amp; Teams
- **Avengers** (Various Earths): The iconic team featuring Earth's mightiest heroes, appearing across multiple realities and alternate universes.
- **Defenders**: Various incarnations have existed across different Earths; they generally comprise a group of heroes working outside the law to protect Earth from cosmic and supervillains.
- **X-Men (Various Earths)**: An iconic team focusing on mutant protection, seen in many versions across different realities, particularly Earth-616 and Earth-295.
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t>
  </si>
  <si>
    <t>model='granite3.3:latest' created_at='2025-11-19T20:39:55.681315195Z' done=True done_reason='stop' total_duration=364060074742 load_duration=1324456137 prompt_eval_count=114332 prompt_eval_duration=293248118203 eval_count=1180 eval_duration=68836309502 message=Message(role='assistant', content='I\'ve extracted the relevant sections from your request that contain information about characters, events, and other entities related to Marvel. Here\'s a summary organized by categories for easier reference:\n\n\n## Characters\n- **Tony Stark (Earth-120703)**: Mentioned as having an alternate version on Earth-120703. [Source](https://marvel.wikia.com/wiki/Tony_Stark_(Earth-120703))\n- **Howard Stark (Earth-944)**: Power Grid lists explanation as "Telepathy."\n- **Nell Ruggles (Earth-120703)**: Mentioned in Marvel Handbook. [Source](https://marvel.wikia.com/wiki/Nell_Ruggles_(Earth-120703))\n- **Kei Kawade (Earth-616)**: A character from the alternate universe Earth-616 mentioned in an official sourcebook. [Source](https://marvel.wikia.com/wiki/Kei_Kawade_(Earth-616))\n- **N\'Baza (Earth-616)**: An alternate version of N\'Baza, an Earth-616 character who was Sorcerer Supreme before Doctor Strange.\n\n## Events\n- **Secret Invasion**: A major Marvel event involving a Skrull infiltration. [Source](https://marvel.wikia.com/wiki/Secret_Invasion)\n- **Operation: Galactic Storm**: A major Marvel event that resulted from Norman Osborn seizing control of S.H.I.E.L.D., leading to the "Dark Reign" storyline. [Source](https://marvel.wikia.com/wiki/Operation:_Galactic_Storm)\n- **Infinity Gauntlet**: A major Marvel event where Thanos gathers all six Infinity Gems, leading to the "Infinity War" against Earth\'s heroes.\n\n## Locations\n- **Wakanda (Earth-616)**: Home of Black Panther and other notable Wakandans, including T\'Challa, Shuri, and Okoye. [Source](https://marvel.wikia.com/wiki/Wakanda)\n- **New York City (Earth-616)**: Also known as Manhattan; home of the Avengers and many other Marvel characters.\n\n## Publications &amp; Issues\n- **Marvel Comics** (Brand): A comic book publishing house known for its extensive universe. [Source](https://marvel.wikia.com/wiki/Marvel_Comics)\n- **Official Handbook of the Marvel Universe Vol 1**: A collection detailing various characters in the Marvel Universe, published annually from 1983 to 2004. [Source](https://marvel.wikia.com/wiki/Official_Handbook_of_the_Marvel_Universe)\n- **Marvel\'s Spider-Man**: The Animated Series, produced in the early \'60s, was one of Marvel\'s earliest animated projects. [Source](https://marvel.wikia.com/wiki/Marvel%27s_Spider-Man:_The_Animated_Series)\n\n## Films &amp; TV Shows\n- **Marvel Studios**: The film production arm of Marvel responsible for films like "Iron Man," "Captain America," and the Avengers series. [Source](https://marvel.wikia.com/wiki/Marvel_Studios)\n- **Marvel\'s Agents of S.H.I.E.L.D.** (TV Series): A popular series set in the Marvel Cinematic Universe, airing from 2013 to 2020. [Source](https://marvel.wikia.com/wiki/Marvel\'s_Agents_of_S.H.I.E.L.D.)\n- **Wolverine (Film)**: The 2013 film portraying Wolverine, starring Hugh Jackman in the lead role. [Source](https://marvel.wikia.com/wiki/Wolverine_(film))\n\n## Groups &amp; Teams\n- **Avengers** (Various Earths): The iconic team featuring Earth\'s mightiest heroes, appearing across multiple realities and alternate universes.\n- **Defenders**: Various incarnations have existed across different Earths; they generally comprise a group of heroes working outside the law to protect Earth from cosmic and supervillains.\n- **X-Men (Various Earths)**: An iconic team focusing on mutant protection, seen in many versions across different realities, particularly Earth-616 and Earth-295.\n\nThis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</si>
  <si>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I've extracted the relevant sections from your request that contain information about characters, events, and other entities related to Marvel. Here's a summary organized by categories for easier reference:
## Characters
- **Tony Stark (Earth-120703)**: Mentioned as having an alternate version on Earth-120703. [Source](https://marvel.wikia.com/wiki/Tony_Stark_(Earth-120703))
- **Howard Stark (Earth-944)**: Power Grid lists explanation as "Telepathy."
- **Nell Ruggles (Earth-120703)**: Mentioned in Marvel Handbook. [Source](https://marvel.wikia.com/wiki/Nell_Ruggles_(Earth-120703))
- **Kei Kawade (Earth-616)**: A character from the alternate universe Earth-616 mentioned in an official sourcebook. [Source](https://marvel.wikia.com/wiki/Kei_Kawade_(Earth-616))
- **N'Baza (Earth-616)**: An alternate version of N'Baza, an Earth-616 character who was Sorcerer Supreme before Doctor Strange.
## Events
- **Secret Invasion**: A major Marvel event involving a Skrull infiltration. [Source](https://marvel.wikia.com/wiki/Secret_Invasion)
- **Operation: Galactic Storm**: A major Marvel event that resulted from Norman Osborn seizing control of S.H.I.E.L.D., leading to the "Dark Reign" storyline. [Source](https://marvel.wikia.com/wiki/Operation:_Galactic_Storm)
- **Infinity Gauntlet**: A major Marvel event where Thanos gathers all six Infinity Gems, leading to the "Infinity War" against Earth's heroes.
## Locations
- **Wakanda (Earth-616)**: Home of Black Panther and other notable Wakandans, including T'Challa, Shuri, and Okoye. [Source](https://marvel.wikia.com/wiki/Wakanda)
- **New York City (Earth-616)**: Also known as Manhattan; home of the Avengers and many other Marvel characters.
## Publications &amp; Issues
- **Marvel Comics** (Brand): A comic book publishing house known for its extensive universe. [Source](https://marvel.wikia.com/wiki/Marvel_Comics)
- **Official Handbook of the Marvel Universe Vol 1**: A collection detailing various characters in the Marvel Universe, published annually from 1983 to 2004. [Source](https://marvel.wikia.com/wiki/Official_Handbook_of_the_Marvel_Universe)
- **Marvel's Spider-Man**: The Animated Series, produced in the early '60s, was one of Marvel's earliest animated projects. [Source](https://marvel.wikia.com/wiki/Marvel%27s_Spider-Man:_The_Animated_Series)
## Films &amp; TV Shows
- **Marvel Studios**: The film production arm of Marvel responsible for films like "Iron Man," "Captain America," and the Avengers series. [Source](https://marvel.wikia.com/wiki/Marvel_Studios)
- **Marvel's Agents of S.H.I.E.L.D.** (TV Series): A popular series set in the Marvel Cinematic Universe, airing from 2013 to 2020. [Source](https://marvel.wikia.com/wiki/Marvel's_Agents_of_S.H.I.E.L.D.)
- **Wolverine (Film)**: The 2013 film portraying Wolverine, starring Hugh Jackman in the lead role. [Source](https://marvel.wikia.com/wiki/Wolverine_(film))
## Groups &amp; Teams
- **Avengers** (Various Earths): The iconic team featuring Earth's mightiest heroes, appearing across multiple realities and alternate universes.
- **Defenders**: Various incarnations have existed across different Earths; they generally comprise a group of heroes working outside the law to protect Earth from cosmic and supervillains.
- **X-Men (Various Earths)**: An iconic team focusing on mutant protection, seen in many versions across different realities, particularly Earth-616 and Earth-295.
This is a condensed overview based on the provided text; it doesn't cover every single detail from your initial input but provides an organized look into key characters, events, publications, and various Marvel-related elements mentioned. For more comprehensive information, consult [Marvel's official wikia](https://marvel.wikia.com) or their detailed wikis on specific topics for full articles.</t>
  </si>
  <si>
    <t>{
  "cq_text": "What are all the movies (and/or TV shows) available?",
  "syntax_ok": false,
  "syntax_msg": "No SPARQL form found"
}</t>
  </si>
  <si>
    <t>```json
{
  "query": {
    "select distinct ?characterName where { ?character rdf:type marvel:class/marvel:cite_web;  marvel:realname ?characterName }",
    "results": {
      "head": {
        "vars": ["?characterName"]
      },
      "results": {
        "bindings": [
          {
            "characterName": {
              "@value": "Johnny Blaze"
            }
          },
          {
            "characterName": {
              "@value": "Pardner"
            }
          },
          {
            "characterName": {
              "@value": "Kraglin (Earth-616)"
            }
          },
          {
            "characterName": {
              "@value": "Black Bolt"
            }
          },
          {
            "characterName": {
              "@value": "Aaron"
            }
          },
          {
            "characterName": {
              "@value": "Ego the Living Planet"
            }
          },
          {
            "characterName": {
              "@value": "Kang the Conqueror (Earth-616)"
            }
          },
          {
            "characterName": {
              "@value": "Dr. Strange"
            }
          },
          {
            "characterName": {
              "@value": "Bruce Banner"
            }
          },
          {
            "characterName": {
              "@value": "Mister Sinister (Earth-295)"
            }
          },
          {
            "characterName": {
              "@value": "Nighthawk"
            }
          },
          {
            "characterName": {
              "@value": "Aron the Armored Quazi"
            }
          },
          {
            "characterName": {
              "@value": "Ego"
            }
          },
          {
            "characterName": {
              "@value": "Anthony Stark"
            }
          },
          {
            "characterName": {
              "@value": "Cyclops (Earth-928)"
            }
          },
          {
            "characterName": {
              "@value": "Thor Odinson (Earth-616)"
            }
          },
          {
            "characterName": {
              "@value": "Kang the Conqueror"
            }
          },
          {
            "characterName": {
              "@value": "Anthony Stark"
            }
          },
          {
            "characterName": {
              "@value": "Wolverine (Earth-1298)"
            }
          },
          {
            "characterName": {
              "@value": "Anthony Stark"
            }
          },
          {
            "characterName": {
              "@value": "Black Bolt"
            }
          },
          {
            "characterName": {
              "@value": "Cassie Lang (Earth-120703)"
            }
          },
          {
            "characterName": {
              "@value": "Wolfsbane (Earth-616)"
            }
          },
          {
            "characterName": {
              "@value": "Jubilee"
            }
          },
          {
            "characterName": {
              "@value": "Pete Wisdom"
            }
          },
          {
            "characterName": {
              "@value": "Anthony Stark"
            }
          },
          {
            "characterName": {
              "@value": "Victor von Doom (Earth-120703)"
            }
          },
          {
            "characterName": {
              "@value": "Wolverine (Earth-81947)"
            }
          },
          {
            "characterName": {
              "@value": "Rogue"
            }
          },
          {
            "characterName": {
              "@value": "Emma Frost"
            }
          },
          {
            "characterName": {
              "@value": "Hank McCoy (Earth-120703)"
            }
          },
          {
            "characterName": {
              "@value": "Juggernaut"
            }
          },
          {
            "characterName": {
              "@value": "Talia_al_Ghul_(Earth-616)"
            }
          },
          {
            "characterName": {
              "@value": "Sersi (Earth-928)"
            }
          },
          {
            "characterName": {
              "@value": "Havok"
            }
          },
          {
            "characterName": {
              "@value": "Peter Parker (Earth-1610)"
            }
          },
          {
            "characterName": {
              "@value": "Rick Jones"
            }
          },
          {
            "characterName": {
              "@value": "Captain George Stacy"
            }
          },
          {
            "characterName": {
              "@value": "Wong"
            }
          },
          {
            "characterName": {
              "@value": "Norman Osborn (Earth-616)"
            }
          },
          {
            "characterName": {
              "@value": "Talisman_(Kael'thas_Sunstrider)"
            }
          },
          {
            "characterName": {
              "@value": "Ego the Living Planet"
            }
          },
          {
            "characterName": {
              "@value": "Cyclops (Earth-120703)"
            }
          },
          {
            "characterName": {
              "@value": "Boltar the Destructor"
            }
          },
          {
            "characterName": {
              "@value": "Wolverine (Earth-982)"
            }
          },
          {
            "characterName": {
              "@value": "Storm (Earth-8107)"
            }
          },
          {
            "characterName": {
              "@value": "Black Panther (Earth-616)"
            }
          },
          {
            "characterName": {
              "@value": "Sersi_(Earth-398)"
            }
          },
          {
            "characterName": {
              "@value": "Gomorrah"
            }
          },
          {
            "characterName": {
              "@value": "Sabretooth (Earth-616)"
            }
          },
          {
            "characterName": {
              "@value": "Klaw (Earth-616)"
            }
          },
          {
            "characterName": {
              "@value": "Angel Dust"
            }
          },
          {
            "characterName": {
              "@value": "Cassandra Nova (Earth-82031)"
            }
          },
          {
            "characterName": {
              "@value": "Cobweb"
            }
          },
          {
            "characterName": {
              "@value": "Margali_(Earth-695)"
            }
          },
          {
            "characterName": {
              "@value": "Pello_Okoye_(Earth-616)"
            }
          },
          {
            "characterName": {
              "@value": "Lorelei"
            }
          },
          {
            "characterName": {
              "@value": "Sersi (Earth-928)"
            }
          },
          {
            "characterName": {
              "@value": "Silver_Surfer_(Earth-616)"
            }
          },
          {
            "characterName": {
              "@value": "Black Knight"
            }
          },
          {
            "characterName": {
              "@value": "Jubilee"
            }
          },
          {
            "characterName": {
              "@value": "Mister Sinister (Earth-295)"
            }
          },
          {
            "characterName": {
              "@value": "Cyclops (Earth-1610)"
            }
          },
          {
            "characterName": {
              "@value": "Kevin Plunder"
            }
          },
          {
            "characterName": {
              "@value": "Ego the Living Planet"
            }
          },
          {
            "characterName": {
              "@value": "Wolverine (Earth-8107)"
            }
          },
          {
            "characterName": {
              "@value": "Emma Frost"
            }
          },
          {
            "characterName": {
              "@value": "Mystique_(Earth-616)"
            }
          },
          {
            "characterName": {
              "@value": "Anthony Stark"
            }
          },
          {
            "characterName": {
              "@value": "Wolverine (Earth-8908)"
            }
          },
          {
            "characterName": {
              "@value": "Talisman_(Kael'thas_Sunstrider_(disambiguation))"
            }
          },
          {
            "characterName": {
              "@value": "Captain Marvel (Carol Danvers)"
            }
          },
          {
            "characterName": {
              "@value": "Johnny Blaze (Earth-616)"
            }
          },
          {
            "characterName": {
              "@value": "Wolverine (Earth-20051)"
            }
          },
          {
            "characterName": {
              "@value": "Hawkeye (Clint Barton)"
            }
          },
          {
            "characterName": {
              "@value": "Iron_Man_(James_Rhodes)"
            }
          },
          {
            "characterName": {
              "@value": "Gamora"
            }
          },
          {
            "characterName": {
              "@value": "Beast (Earth-616)"
            }
          },
          {
            "characterName": {
              "@value": "Mystique"
            }
          },
          {
            "characterName": {
              "@value": "Dracula_(Lord_of_Vampires_(Earth-928))"
            }
          },
          {
            "characterName": {
              "@value": "Wolverine (Earth-36)"
            }
          },
          {
            "characterName": {
              "@value": "Captain America (Steve Rogers)"
            }
          },
          {
            "characterName": {
              "@value": "Cyclops_(Earth-8107)"
            }
          },
          {
            "characterName": {
              "@value": "Black Bolt"
            }
          },
          {
            "characterName": {
              "@value": "Kang the Conqueror (Earth-616)"
            }
          },
          {
            "characterName": {
              "@value": "Peter Parker (Earth-616)"
            }
          },
          {
            "characterName": {
              "@value": "Cyclops (Earth-928)"
            }
          },
          {
            "characterName": {
              "@value": "Mantis (Karnell)"
            }
          },
          {
            "characterName": {
              "@value": "Talisman_(Earth-91119)"
            }
          },
          {
            "characterName": {
              "@value": "Juggernaut"
            }
          },
          {
            "characterName": {
              "@value": "Havok (Alex_Summers)"
            }
          },
          {
            "characterName": {
              "@value": "Dr. Doom"
            }
          },
          {
            "characterName": {
              "@value": "Daken_(Earth-616)"
            }
          },
          {
            "characterName": {
              "@value": "Captain Marvel (Carol Danvers)"
            }
          },
          {
            "characterName": {
              "@value": "Emma Frost"
            }
          },
          {
            "characterName": {
              "@value": "Havok"
            }
          },
          {
            "characterName": {
              "@value": "Cyclops_(Earth-8107)"
            }
          },
          {
            "characterName": {
              "@value": "Peter Parker (Earth-616)"
            }
          },
          {
            "characterName": {
              "@value": "Mary_Jane_Watson_(Earth-928)"
            }
          },
          {
            "characterName": {
              "@value": "Beast"
            }
          },
          {
            "characterName": {
              "@value": "Peter Parker (Earth-1610)"
            }
          },
          {
            "characterName": {
              "@value": "Captain_Marvel_(Carol_Danvers)"
            }
          },
          {
            "characterName": {
              "@value": "Kang the Conqueror"
            }
          },
          {
            "characterName": {
              "@value": "Sersi (Earth-398)"
            }
          },
          {
            "characterName": {
              "@value": "Wolverine_(Logan)"
            }
          },
          {
            "characterName": {
              "@value": "Cyclops"
            }
          },
          {
            "characterName": {
              "@value": "Captain Marvel (Carol Danvers)"
            }
          },
          {
            "characterName": {
              "@value": "Pietro Maximoff"
            }
          },
          {
            "characterName": {
              "@value": "Anthony Stark"
            }
          },
          {
            "characterName": {
              "@value": "Gambit (Remy Lebeau)"
            }
          },
          {
            "characterName": {
              "@value": "Cyclops (Earth-928)"
            }
          },
          {
            "characterName": {
              "@value": "Peter Parker (Earth-616)"
            }
          },
          {
            "characterName": {
              "@value": "Wolverine"
            }
          },
          {
            "characterName": {
              "@value": "Dr. Doom"
            }
          },
          {
            "characterName": {
              "@value": "Captain_Marvel_(Earth-1610)"
            }
          },
          {
            "characterName": {
              "@value": "Cyclops (Earth-8107)"
            }
          },
          {
            "characterName": {
              "@value": "Rogue"
            }
          },
          {
            "characterName": {
              "@value": "Wolverine (Earth-295)"
            }
          },
          {
            "characterName": {
              "@value": "Storm_(Ororo Munroe_(Earth-616))"
            }
          },
          {
            "characterName": {
              "@value": "Cyclops_(Earth-8107)"
            }
          },
          {
            "characterName": {
              "@value": "Cyclops (Earth-928)"
            }
          },
          {
            "characterName": {
              "@value": "Cyclops"
            }
          },
          {
            "characterName": {
              "@value": "Wolverine_(James_Howlett_(Earth-1610))"
            }
          },
          {
            "characterName": {
              "@value": "Pietro Maximoff (Earth-1218)"
            }
          },
          {
            "characterName": {
              "@value": "Anthony Stark (Earth-1218)"
            }
          },
          {
            "characterName": {
              "@value": "Black Panther_(T'Challa_(Earth-616))"
            }
          },
          {
            "characterName": {
              "@value": "Iron_Fist_(Danny Rand_(Earth-199999))"
            }
          },
          {
            "characterName": {
              "@value": "Peter Parker (Earth-807562)"
            }
          },
          {
            "characterName": {
              "@value": "Storm_(Ororo Munroe_(Earth-9</t>
  </si>
  <si>
    <t>model='granite3.3:latest' created_at='2025-11-19T20:48:15.342979472Z' done=True done_reason='stop' total_duration=498589493873 load_duration=854685633 prompt_eval_count=114334 prompt_eval_duration=293329875511 eval_count=3434 eval_duration=203075283609 message=Message(role='assistant', content='```json\n{\n  "query": {\n    "select distinct ?characterName where { ?character rdf:type marvel:class/marvel:cite_web;  marvel:realname ?characterName }",\n    "results": {\n      "head": {\n        "vars": ["?characterName"]\n      },\n      "results": {\n        "bindings": [\n          {\n            "characterName": {\n              "@value": "Johnny Blaze"\n            }\n          },\n          {\n            "characterName": {\n              "@value": "Pardner"\n            }\n          },\n          {\n            "characterName": {\n              "@value": "Kraglin (Earth-616)"\n            }\n          },\n          {\n            "characterName": {\n              "@value": "Black Bolt"\n            }\n          },\n          {\n            "characterName": {\n              "@value": "Aaron"\n            }\n          },\n          {\n            "characterName": {\n              "@value": "Ego the Living Planet"\n            }\n          },\n          {\n            "characterName": {\n              "@value": "Kang the Conqueror (Earth-616)"\n            }\n          },\n          {\n            "characterName": {\n              "@value": "Dr. Strange"\n            }\n          },\n          {\n            "characterName": {\n              "@value": "Bruce Banner"\n            }\n          },\n          {\n            "characterName": {\n              "@value": "Mister Sinister (Earth-295)"\n            }\n          },\n          {\n            "characterName": {\n              "@value": "Nighthawk"\n            }\n          },\n          {\n            "characterName": {\n              "@value": "Aron the Armored Quazi"\n            }\n          },\n          {\n            "characterName": {\n              "@value": "Ego"\n            }\n          },\n          {\n            "characterName": {\n              "@value": "Anthony Stark"\n            }\n          },\n          {\n            "characterName": {\n              "@value": "Cyclops (Earth-928)"\n            }\n          },\n          {\n            "characterName": {\n              "@value": "Thor Odinson (Earth-616)"\n            }\n          },\n          {\n            "characterName": {\n              "@value": "Kang the Conqueror"\n            }\n          },\n          {\n            "characterName": {\n              "@value": "Anthony Stark"\n            }\n          },\n          {\n            "characterName": {\n              "@value": "Wolverine (Earth-1298)"\n            }\n          },\n          {\n            "characterName": {\n              "@value": "Anthony Stark"\n            }\n          },\n          {\n            "characterName": {\n              "@value": "Black Bolt"\n            }\n          },\n          {\n            "characterName": {\n              "@value": "Cassie Lang (Earth-120703)"\n            }\n          },\n          {\n            "characterName": {\n              "@value": "Wolfsbane (Earth-616)"\n            }\n          },\n          {\n            "characterName": {\n              "@value": "Jubilee"\n            }\n          },\n          {\n            "characterName": {\n              "@value": "Pete Wisdom"\n            }\n          },\n          {\n            "characterName": {\n              "@value": "Anthony Stark"\n            }\n          },\n          {\n            "characterName": {\n              "@value": "Victor von Doom (Earth-120703)"\n            }\n          },\n          {\n            "characterName": {\n              "@value": "Wolverine (Earth-81947)"\n            }\n          },\n          {\n            "characterName": {\n              "@value": "Rogue"\n            }\n          },\n          {\n            "characterName": {\n              "@value": "Emma Frost"\n            }\n          },\n          {\n            "characterName": {\n              "@value": "Hank McCoy (Earth-120703)"\n            }\n          },\n          {\n            "characterName": {\n              "@value": "Juggernaut"\n            }\n          },\n          {\n            "characterName": {\n              "@value": "Talia_al_Ghul_(Earth-616)"\n            }\n          },\n          {\n            "characterName": {\n              "@value": "Sersi (Earth-928)"\n            }\n          },\n          {\n            "characterName": {\n              "@value": "Havok"\n            }\n          },\n          {\n            "characterName": {\n              "@value": "Peter Parker (Earth-1610)"\n            }\n          },\n          {\n            "characterName": {\n              "@value": "Rick Jones"\n            }\n          },\n          {\n            "characterName": {\n              "@value": "Captain George Stacy"\n            }\n          },\n          {\n            "characterName": {\n              "@value": "Wong"\n            }\n          },\n          {\n            "characterName": {\n              "@value": "Norman Osborn (Earth-616)"\n            }\n          },\n          {\n            "characterName": {\n              "@value": "Talisman_(Kael\'thas_Sunstrider)"\n            }\n          },\n          {\n            "characterName": {\n              "@value": "Ego the Living Planet"\n            }\n          },\n          {\n            "characterName": {\n              "@value": "Cyclops (Earth-120703)"\n            }\n          },\n          {\n            "characterName": {\n              "@value": "Boltar the Destructor"\n            }\n          },\n          {\n            "characterName": {\n              "@value": "Wolverine (Earth-982)"\n            }\n          },\n          {\n            "characterName": {\n              "@value": "Storm (Earth-8107)"\n            }\n          },\n          {\n            "characterName": {\n              "@value": "Black Panther (Earth-616)"\n            }\n          },\n          {\n            "characterName": {\n              "@value": "Sersi_(Earth-398)"\n            }\n          },\n          {\n            "characterName": {\n              "@value": "Gomorrah"\n            }\n          },\n          {\n            "characterName": {\n              "@value": "Sabretooth (Earth-616)"\n            }\n          },\n          {\n            "characterName": {\n              "@value": "Klaw (Earth-616)"\n            }\n          },\n          {\n            "characterName": {\n              "@value": "Angel Dust"\n            }\n          },\n          {\n            "characterName": {\n              "@value": "Cassandra Nova (Earth-82031)"\n            }\n          },\n          {\n            "characterName": {\n              "@value": "Cobweb"\n            }\n          },\n          {\n            "characterName": {\n              "@value": "Margali_(Earth-695)"\n            }\n          },\n          {\n            "characterName": {\n              "@value": "Pello_Okoye_(Earth-616)"\n            }\n          },\n          {\n            "characterName": {\n              "@value": "Lorelei"\n            }\n          },\n          {\n            "characterName": {\n              "@value": "Sersi (Earth-928)"\n            }\n          },\n          {\n            "characterName": {\n              "@value": "Silver_Surfer_(Earth-616)"\n            }\n          },\n          {\n            "characterName": {\n              "@value": "Black Knight"\n            }\n          },\n          {\n            "characterName": {\n              "@value": "Jubilee"\n            }\n          },\n          {\n            "characterName": {\n              "@value": "Mister Sinister (Earth-295)"\n            }\n          },\n          {\n            "characterName": {\n              "@value": "Cyclops (Earth-1610)"\n            }\n          },\n          {\n            "characterName": {\n              "@value": "Kevin Plunder"\n            }\n          },\n          {\n            "characterName": {\n              "@value": "Ego the Living Planet"\n            }\n          },\n          {\n            "characterName": {\n              "@value": "Wolverine (Earth-8107)"\n            }\n          },\n          {\n            "characterName": {\n              "@value": "Emma Frost"\n            }\n          },\n          {\n            "characterName": {\n              "@value": "Mystique_(Earth-616)"\n            }\n          },\n          {\n            "characterName": {\n              "@value": "Anthony Stark"\n            }\n          },\n          {\n            "characterName": {\n              "@value": "Wolverine (Earth-8908)"\n            }\n          },\n          {\n            "characterName": {\n              "@value": "Talisman_(Kael\'thas_Sunstrider_(disambiguation))"\n            }\n          },\n          {\n            "characterName": {\n              "@value": "Captain Marvel (Carol Danvers)"\n            }\n          },\n          {\n            "characterName": {\n              "@value": "Johnny Blaze (Earth-616)"\n            }\n          },\n          {\n            "characterName": {\n              "@value": "Wolverine (Earth-20051)"\n            }\n          },\n          {\n            "characterName": {\n              "@value": "Hawkeye (Clint Barton)"\n            }\n          },\n          {\n            "characterName": {\n              "@value": "Iron_Man_(James_Rhodes)"\n            }\n          },\n          {\n            "characterName": {\n              "@value": "Gamora"\n            }\n          },\n          {\n            "characterName": {\n              "@value": "Beast (Earth-616)"\n            }\n          },\n          {\n            "characterName": {\n              "@value": "Mystique"\n            }\n          },\n          {\n            "characterName": {\n              "@value": "Dracula_(Lord_of_Vampires_(Earth-928))"\n            }\n          },\n          {\n            "characterName": {\n              "@value": "Wolverine (Earth-36)"\n            }\n          },\n          {\n            "characterName": {\n              "@value": "Captain America (Steve Rogers)"\n            }\n          },\n          {\n            "characterName": {\n              "@value": "Cyclops_(Earth-8107)"\n            }\n          },\n          {\n            "characterName": {\n              "@value": "Black Bolt"\n            }\n          },\n          {\n            "characterName": {\n              "@value": "Kang the Conqueror (Earth-616)"\n            }\n          },\n          {\n            "characterName": {\n              "@value": "Peter Parker (Earth-616)"\n            }\n          },\n          {\n            "characterName": {\n              "@value": "Cyclops (Earth-928)"\n            }\n          },\n          {\n            "characterName": {\n              "@value": "Mantis (Karnell)"\n            }\n          },\n          {\n            "characterName": {\n              "@value": "Talisman_(Earth-91119)"\n            }\n          },\n          {\n            "characterName": {\n              "@value": "Juggernaut"\n            }\n          },\n          {\n            "characterName": {\n              "@value": "Havok (Alex_Summers)"\n            }\n          },\n          {\n            "characterName": {\n              "@value": "Dr. Doom"\n            }\n          },\n          {\n            "characterName": {\n              "@value": "Daken_(Earth-616)"\n            }\n          },\n          {\n            "characterName": {\n              "@value": "Captain Marvel (Carol Danvers)"\n            }\n          },\n          {\n            "characterName": {\n              "@value": "Emma Frost"\n            }\n          },\n          {\n            "characterName": {\n              "@value": "Havok"\n            }\n          },\n          {\n            "characterName": {\n              "@value": "Cyclops_(Earth-8107)"\n            }\n          },\n          {\n            "characterName": {\n              "@value": "Peter Parker (Earth-616)"\n            }\n          },\n          {\n            "characterName": {\n              "@value": "Mary_Jane_Watson_(Earth-928)"\n            }\n          },\n          {\n            "characterName": {\n              "@value": "Beast"\n            }\n          },\n          {\n            "characterName": {\n              "@value": "Peter Parker (Earth-1610)"\n            }\n          },\n          {\n            "characterName": {\n              "@value": "Captain_Marvel_(Carol_Danvers)"\n            }\n          },\n          {\n            "characterName": {\n              "@value": "Kang the Conqueror"\n            }\n          },\n          {\n            "characterName": {\n              "@value": "Sersi (Earth-398)"\n            }\n          },\n          {\n            "characterName": {\n              "@value": "Wolverine_(Logan)"\n            }\n          },\n          {\n            "characterName": {\n              "@value": "Cyclops"\n            }\n          },\n          {\n            "characterName": {\n              "@value": "Captain Marvel (Carol Danvers)"\n            }\n          },\n          {\n            "characterName": {\n              "@value": "Pietro Maximoff"\n            }\n          },\n          {\n            "characterName": {\n              "@value": "Anthony Stark"\n            }\n          },\n          {\n            "characterName": {\n              "@value": "Gambit (Remy Lebeau)"\n            }\n          },\n          {\n            "characterName": {\n              "@value": "Cyclops (Earth-928)"\n            }\n          },\n          {\n            "characterName": {\n              "@value": "Peter Parker (Earth-616)"\n            }\n          },\n          {\n            "characterName": {\n              "@value": "Wolverine"\n            }\n          },\n          {\n            "characterName": {\n              "@value": "Dr. Doom"\n            }\n          },\n          {\n            "characterName": {\n              "@value": "Captain_Marvel_(Earth-1610)"\n            }\n          },\n          {\n            "characterName": {\n              "@value": "Cyclops (Earth-8107)"\n            }\n          },\n          {\n            "characterName": {\n              "@value": "Rogue"\n            }\n          },\n          {\n            "characterName": {\n              "@value": "Wolverine (Earth-295)"\n            }\n          },\n          {\n            "characterName": {\n              "@value": "Storm_(Ororo Munroe_(Earth-616))"\n            }\n          },\n          {\n            "characterName": {\n              "@value": "Cyclops_(Earth-8107)"\n            }\n          },\n          {\n            "characterName": {\n              "@value": "Cyclops (Earth-928)"\n            }\n          },\n          {\n            "characterName": {\n              "@value": "Cyclops"\n            }\n          },\n          {\n            "characterName": {\n              "@value": "Wolverine_(James_Howlett_(Earth-1610))"\n            }\n          },\n          {\n            "characterName": {\n              "@value": "Pietro Maximoff (Earth-1218)"\n            }\n          },\n          {\n            "characterName": {\n              "@value": "Anthony Stark (Earth-1218)"\n            }\n          },\n          {\n            "characterName": {\n              "@value": "Black Panther_(T\'Challa_(Earth-616))"\n            }\n          },\n          {\n            "characterName": {\n              "@value": "Iron_Fist_(Danny Rand_(Earth-199999))"\n            }\n          },\n          {\n            "characterName": {\n              "@value": "Peter Parker (Earth-807562)"\n            }\n          },\n          {\n            "characterName": {\n              "@value": "Storm_(Ororo Munroe_(Earth-9',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</si>
  <si>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?characterName where { ?character rdf:type marvel:class/marvel:cite_web;  marvel:realname ?characterName }",
    "results": {
      "head": {
        "vars": ["?characterName"]
      },
      "results": {
        "bindings": [
          {
            "characterName": {
              "@value": "Johnny Blaze"
            }
          },
          {
            "characterName": {
              "@value": "Pardner"
            }
          },
          {
            "characterName": {
              "@value": "Kraglin (Earth-616)"
            }
          },
          {
            "characterName": {
              "@value": "Black Bolt"
            }
          },
          {
            "characterName": {
              "@value": "Aaron"
            }
          },
          {
            "characterName": {
              "@value": "Ego the Living Planet"
            }
          },
          {
            "characterName": {
              "@value": "Kang the Conqueror (Earth-616)"
            }
          },
          {
            "characterName": {
              "@value": "Dr. Strange"
            }
          },
          {
            "characterName": {
              "@value": "Bruce Banner"
            }
          },
          {
            "characterName": {
              "@value": "Mister Sinister (Earth-295)"
            }
          },
          {
            "characterName": {
              "@value": "Nighthawk"
            }
          },
          {
            "characterName": {
              "@value": "Aron the Armored Quazi"
            }
          },
          {
            "characterName": {
              "@value": "Ego"
            }
          },
          {
            "characterName": {
              "@value": "Anthony Stark"
            }
          },
          {
            "characterName": {
              "@value": "Cyclops (Earth-928)"
            }
          },
          {
            "characterName": {
              "@value": "Thor Odinson (Earth-616)"
            }
          },
          {
            "characterName": {
              "@value": "Kang the Conqueror"
            }
          },
          {
            "characterName": {
              "@value": "Anthony Stark"
            }
          },
          {
            "characterName": {
              "@value": "Wolverine (Earth-1298)"
            }
          },
          {
            "characterName": {
              "@value": "Anthony Stark"
            }
          },
          {
            "characterName": {
              "@value": "Black Bolt"
            }
          },
          {
            "characterName": {
              "@value": "Cassie Lang (Earth-120703)"
            }
          },
          {
            "characterName": {
              "@value": "Wolfsbane (Earth-616)"
            }
          },
          {
            "characterName": {
              "@value": "Jubilee"
            }
          },
          {
            "characterName": {
              "@value": "Pete Wisdom"
            }
          },
          {
            "characterName": {
              "@value": "Anthony Stark"
            }
          },
          {
            "characterName": {
              "@value": "Victor von Doom (Earth-120703)"
            }
          },
          {
            "characterName": {
              "@value": "Wolverine (Earth-81947)"
            }
          },
          {
            "characterName": {
              "@value": "Rogue"
            }
          },
          {
            "characterName": {
              "@value": "Emma Frost"
            }
          },
          {
            "characterName": {
              "@value": "Hank McCoy (Earth-120703)"
            }
          },
          {
            "characterName": {
              "@value": "Juggernaut"
            }
          },
          {
            "characterName": {
              "@value": "Talia_al_Ghul_(Earth-616)"
            }
          },
          {
            "characterName": {
              "@value": "Sersi (Earth-928)"
            }
          },
          {
            "characterName": {
              "@value": "Havok"
            }
          },
          {
            "characterName": {
              "@value": "Peter Parker (Earth-1610)"
            }
          },
          {
            "characterName": {
              "@value": "Rick Jones"
            }
          },
          {
            "characterName": {
              "@value": "Captain George Stacy"
            }
          },
          {
            "characterName": {
              "@value": "Wong"
            }
          },
          {
            "characterName": {
              "@value": "Norman Osborn (Earth-616)"
            }
          },
          {
            "characterName": {
              "@value": "Talisman_(Kael'thas_Sunstrider)"
            }
          },
          {
            "characterName": {
              "@value": "Ego the Living Planet"
            }
          },
          {
            "characterName": {
              "@value": "Cyclops (Earth-120703)"
            }
          },
          {
            "characterName": {
              "@value": "Boltar the Destructor"
            }
          },
          {
            "characterName": {
              "@value": "Wolverine (Earth-982)"
            }
          },
          {
            "characterName": {
              "@value": "Storm (Earth-8107)"
            }
          },
          {
            "characterName": {
              "@value": "Black Panther (Earth-616)"
            }
          },
          {
            "characterName": {
              "@value": "Sersi_(Earth-398)"
            }
          },
          {
            "characterName": {
              "@value": "Gomorrah"
            }
          },
          {
            "characterName": {
              "@value": "Sabretooth (Earth-616)"
            }
          },
          {
            "characterName": {
              "@value": "Klaw (Earth-616)"
            }
          },
          {
            "characterName": {
              "@value": "Angel Dust"
            }
          },
          {
            "characterName": {
              "@value": "Cassandra Nova (Earth-82031)"
            }
          },
          {
            "characterName": {
              "@value": "Cobweb"
            }
          },
          {
            "characterName": {
              "@value": "Margali_(Earth-695)"
            }
          },
          {
            "characterName": {
              "@value": "Pello_Okoye_(Earth-616)"
            }
          },
          {
            "characterName": {
              "@value": "Lorelei"
            }
          },
          {
            "characterName": {
              "@value": "Sersi (Earth-928)"
            }
          },
          {
            "characterName": {
              "@value": "Silver_Surfer_(Earth-616)"
            }
          },
          {
            "characterName": {
              "@value": "Black Knight"
            }
          },
          {
            "characterName": {
              "@value": "Jubilee"
            }
          },
          {
            "characterName": {
              "@value": "Mister Sinister (Earth-295)"
            }
          },
          {
            "characterName": {
              "@value": "Cyclops (Earth-1610)"
            }
          },
          {
            "characterName": {
              "@value": "Kevin Plunder"
            }
          },
          {
            "characterName": {
              "@value": "Ego the Living Planet"
            }
          },
          {
            "characterName": {
              "@value": "Wolverine (Earth-8107)"
            }
          },
          {
            "characterName": {
              "@value": "Emma Frost"
            }
          },
          {
            "characterName": {
              "@value": "Mystique_(Earth-616)"
            }
          },
          {
            "characterName": {
              "@value": "Anthony Stark"
            }
          },
          {
            "characterName": {
              "@value": "Wolverine (Earth-8908)"
            }
          },
          {
            "characterName": {
              "@value": "Talisman_(Kael'thas_Sunstrider_(disambiguation))"
            }
          },
          {
            "characterName": {
              "@value": "Captain Marvel (Carol Danvers)"
            }
          },
          {
            "characterName": {
              "@value": "Johnny Blaze (Earth-616)"
            }
          },
          {
            "characterName": {
              "@value": "Wolverine (Earth-20051)"
            }
          },
          {
            "characterName": {
              "@value": "Hawkeye (Clint Barton)"
            }
          },
          {
            "characterName": {
              "@value": "Iron_Man_(James_Rhodes)"
            }
          },
          {
            "characterName": {
              "@value": "Gamora"
            }
          },
          {
            "characterName": {
              "@value": "Beast (Earth-616)"
            }
          },
          {
            "characterName": {
              "@value": "Mystique"
            }
          },
          {
            "characterName": {
              "@value": "Dracula_(Lord_of_Vampires_(Earth-928))"
            }
          },
          {
            "characterName": {
              "@value": "Wolverine (Earth-36)"
            }
          },
          {
            "characterName": {
              "@value": "Captain America (Steve Rogers)"
            }
          },
          {
            "characterName": {
              "@value": "Cyclops_(Earth-8107)"
            }
          },
          {
            "characterName": {
              "@value": "Black Bolt"
            }
          },
          {
            "characterName": {
              "@value": "Kang the Conqueror (Earth-616)"
            }
          },
          {
            "characterName": {
              "@value": "Peter Parker (Earth-616)"
            }
          },
          {
            "characterName": {
              "@value": "Cyclops (Earth-928)"
            }
          },
          {
            "characterName": {
              "@value": "Mantis (Karnell)"
            }
          },
          {
            "characterName": {
              "@value": "Talisman_(Earth-91119)"
            }
          },
          {
            "characterName": {
              "@value": "Juggernaut"
            }
          },
          {
            "characterName": {
              "@value": "Havok (Alex_Summers)"
            }
          },
          {
            "characterName": {
              "@value": "Dr. Doom"
            }
          },
          {
            "characterName": {
              "@value": "Daken_(Earth-616)"
            }
          },
          {
            "characterName": {
              "@value": "Captain Marvel (Carol Danvers)"
            }
          },
          {
            "characterName": {
              "@value": "Emma Frost"
            }
          },
          {
            "characterName": {
              "@value": "Havok"
            }
          },
          {
            "characterName": {
              "@value": "Cyclops_(Earth-8107)"
            }
          },
          {
            "characterName": {
              "@value": "Peter Parker (Earth-616)"
            }
          },
          {
            "characterName": {
              "@value": "Mary_Jane_Watson_(Earth-928)"
            }
          },
          {
            "characterName": {
              "@value": "Beast"
            }
          },
          {
            "characterName": {
              "@value": "Peter Parker (Earth-1610)"
            }
          },
          {
            "characterName": {
              "@value": "Captain_Marvel_(Carol_Danvers)"
            }
          },
          {
            "characterName": {
              "@value": "Kang the Conqueror"
            }
          },
          {
            "characterName": {
              "@value": "Sersi (Earth-398)"
            }
          },
          {
            "characterName": {
              "@value": "Wolverine_(Logan)"
            }
          },
          {
            "characterName": {
              "@value": "Cyclops"
            }
          },
          {
            "characterName": {
              "@value": "Captain Marvel (Carol Danvers)"
            }
          },
          {
            "characterName": {
              "@value": "Pietro Maximoff"
            }
          },
          {
            "characterName": {
              "@value": "Anthony Stark"
            }
          },
          {
            "characterName": {
              "@value": "Gambit (Remy Lebeau)"
            }
          },
          {
            "characterName": {
              "@value": "Cyclops (Earth-928)"
            }
          },
          {
            "characterName": {
              "@value": "Peter Parker (Earth-616)"
            }
          },
          {
            "characterName": {
              "@value": "Wolverine"
            }
          },
          {
            "characterName": {
              "@value": "Dr. Doom"
            }
          },
          {
            "characterName": {
              "@value": "Captain_Marvel_(Earth-1610)"
            }
          },
          {
            "characterName": {
              "@value": "Cyclops (Earth-8107)"
            }
          },
          {
            "characterName": {
              "@value": "Rogue"
            }
          },
          {
            "characterName": {
              "@value": "Wolverine (Earth-295)"
            }
          },
          {
            "characterName": {
              "@value": "Storm_(Ororo Munroe_(Earth-616))"
            }
          },
          {
            "characterName": {
              "@value": "Cyclops_(Earth-8107)"
            }
          },
          {
            "characterName": {
              "@value": "Cyclops (Earth-928)"
            }
          },
          {
            "characterName": {
              "@value": "Cyclops"
            }
          },
          {
            "characterName": {
              "@value": "Wolverine_(James_Howlett_(Earth-1610))"
            }
          },
          {
            "characterName": {
              "@value": "Pietro Maximoff (Earth-1218)"
            }
          },
          {
            "characterName": {
              "@value": "Anthony Stark (Earth-1218)"
            }
          },
          {
            "characterName": {
              "@value": "Black Panther_(T'Challa_(Earth-616))"
            }
          },
          {
            "characterName": {
              "@value": "Iron_Fist_(Danny Rand_(Earth-199999))"
            }
          },
          {
            "characterName": {
              "@value": "Peter Parker (Earth-807562)"
            }
          },
          {
            "characterName": {
              "@value": "Storm_(Ororo Munroe_(Earth-9</t>
  </si>
  <si>
    <t>{
  "cq_text": "What are the real names and/or primary aliases for each of the characters?",
  "syntax_ok": false,
  "syntax_msg": "Unbalanced braces"
}</t>
  </si>
  <si>
    <t>Here is the SPARQL query based on your competency question to retrieve species or types associated with characters from the given schema:
```sparql
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
```
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t>
  </si>
  <si>
    <t>model='granite3.3:latest' created_at='2025-11-19T20:53:31.533123516Z' done=True done_reason='stop' total_duration=314954383179 load_duration=808981827 prompt_eval_count=114346 prompt_eval_duration=293477798486 eval_count=351 eval_duration=20310717056 message=Message(role='assistant', content='Here is the SPARQL query based on your competency question to retrieve species or types associated with characters from the given schema:\n\n```sparql\nPREFIX ns1: &lt;http://dbkwik.webdatacommons.org/marvel.wikia.com/&gt;\n\nSELECT ?character ?speciesOrType WHERE {\n  ?character a ns1:r .\n  OPTIONAL { ?character ns1:identity ?identity . }\n  OPTIONAL { ?character ns1:body ?body . }\n  OPTIONAL { ?character ns1:hair ?hair . }\n  OPTIONAL { ?character ns1:powers ?power . }\n  OPTIONAL { ?character ns1:placeofbirth ?placeOfBirth . }\n  OPTIONAL { ?character ns1:releasedate ?releaseDate . }\n  OPTIONAL { ?character ns1:teamedWith ?team }\n  OPTIONAL {\n    ?character ns2:seeAlso ?related . # Cross-reference to see also pages, if available\n  }\n}\n```\n\nThis SPARQL query retrieves character information along with their associated species or types (where applicable) based on the provided schema. It uses OPTIONAL clauses to fetch additional details like identity, body type, hair color, powers, place of birth, release date, and team affiliations if they are available in the knowledge graph. The `ns2:seeAlso` is used for cross-referencing related entities. The actual species or types information (if present) would typically be under a specific property like `ns1:type` or `ns1:species`, depending on how the schema models such data. Please adjust the query to match the exact property names in your provided schema if different.',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</si>
  <si>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ns1: &lt;http://dbkwik.webdatacommons.org/marvel.wikia.com/&gt;
SELECT ?character ?speciesOrType WHERE {
  ?character a ns1:r .
  OPTIONAL { ?character ns1:identity ?identity . }
  OPTIONAL { ?character ns1:body ?body . }
  OPTIONAL { ?character ns1:hair ?hair . }
  OPTIONAL { ?character ns1:powers ?power . }
  OPTIONAL { ?character ns1:placeofbirth ?placeOfBirth . }
  OPTIONAL { ?character ns1:releasedate ?releaseDate . }
  OPTIONAL { ?character ns1:teamedWith ?team }
  OPTIONAL {
    ?character ns2:seeAlso ?related . # Cross-reference to see also pages, if available
  }
}</t>
  </si>
  <si>
    <t>{
  "cq_text": "What are all the associated species or types (e.g., human, Asgardian, AI) for each of the characters?",
  "syntax_ok": true,
  "satisfiable": false,
  "deterministic": true,
  "latency": {
    "p50_ms": 18.57,
    "p95_ms": 18.71,
    "mean_ms": 15.3
  },
  "rows": 0,
  "vars": 2,
  "always_unbound_vars": [
    "character",
    "speciesOrType"
  ],
  "lexical_query_overlap": 0.06,
  "semantic_similarity_to_CQ": 0.61,
  "semantic_soft_coverage_to_CQ": 0.78,
  "tuple_cohesion": null,
  "variables": [
    {
      "var": "character",
      "rows": 0,
      "distinct": 0,
      "null_rate": 1.0,
      "label_resolution_rate": 0.0,
      "diversity_entropy_norm": 0.0,
      "semantic_cohesion": 1.0,
      "dup_ratio": 0.0,
      "bound_rate": 0.0
    },
    {
      "var": "speciesOrType",
      "rows": 0,
      "distinct": 0,
      "null_rate": 1.0,
      "label_resolution_rate": 0.0,
      "diversity_entropy_norm": 0.0,
      "semantic_cohesion": 1.0,
      "dup_ratio": 0.0,
      "bound_rate": 0.0
    }
  ]
}</t>
  </si>
  <si>
    <t>["character", "speciesOrType"]</t>
  </si>
  <si>
    <t>[{"var": "character", "rows": 0, "distinct": 0, "null_rate": 1.0, "label_resolution_rate": 0.0, "diversity_entropy_norm": 0.0, "semantic_cohesion": 1.0, "dup_ratio": 0.0, "bound_rate": 0.0}, {"var": "speciesOrType", "rows": 0, "distinct": 0, "null_rate": 1.0, "label_resolution_rate": 0.0, "diversity_entropy_norm": 0.0, "semantic_cohesion": 1.0, "dup_ratio": 0.0, "bound_rate": 0.0}]</t>
  </si>
  <si>
    <t>```json
{
  "query": {
    "select": [
      "&lt;http://dbkwik.webdatacommons.org/marvel.wikia.com/resource/$$_Maje$tic&gt;",
      "&lt;http://dbkwik.webdatacommons.org/marvel.wikia.com/resource/$$_Maje$tic/Power_Grid&gt;",
      "&lt;http://dbkwik.webdatacommons.org/marvel.wikia.com/resource/$$_Maje$tic/Appearances&gt;"
    ],
    "where": {
      "values": {
        "powerGrid": "&lt;http://dbkwik.webdatacommons.org/marvel.wikia.com/class/power_grid&gt;",
        "appearsIn": "&lt;http://purl.org/vocab/dc#title&gt; '$$ Maje$tic'@en"
      },
      "graph": [
        {
          "@prefix": "&lt;http://dbkwik.webdatacommons.org/marvel.wikia.com/class/",
          "@for": ["powerGrid", "appearsIn"],
          "&lt;http://dbkwik.webdatacommons.org/marvel.wikia.com/resource/$$_Maje$tic&gt; &lt;http://purl.org/vocab/dc#title&gt; '$$ Maje$tic'@en ."
        },
        {
          "@prefix": ["&lt;http://dbkwik.webdatacommons.org/marvel.wikia.com/class/", "dc:"],
          "&lt;http://dbkwik.webdatacommons.org/marvel.wikia.com/resource/$$_Maje$tic&gt; &lt;http://purl.org/vocab/dc#title&gt; '$$ Maje$tic'@en ."
        },
        {
          "@prefix": ["&lt;http://dbkwik.webdatacommons.org/marvel.wikia.com/class/", "skos:"],
          "&lt;http://dbkwik.webdatacommons.org/marvel.wikia.com/resource/$$_Maje$tic/Appearances&gt; a skos:Concept ; \nskos:prefLabel \"$$ Maje$tic/Appearances\"@en ."
        }
      ]
    },
    "@context": [
      "http://dbkwik.webdatacommons.org/marvel.wikia.com/namespace/",
      "http://purl.org/vocab/dc#",
      "&lt;http://dbkwik.webdatacommons.org/marvel.wikia.com/class/",
      "skos:https://www.w3.org/2004/02/skos#"
    ]
  }
}
```</t>
  </si>
  <si>
    <t>model='granite3.3:latest' created_at='2025-11-19T20:59:01.77618352Z' done=True done_reason='stop' total_duration=329975316542 load_duration=387466052 prompt_eval_count=114343 prompt_eval_duration=293508875973 eval_count=613 eval_duration=35636760867 message=Message(role='assistant', content='```json\n{\n  "query": {\n    "select": [\n      "&lt;http://dbkwik.webdatacommons.org/marvel.wikia.com/resource/$$_Maje$tic&gt;",\n      "&lt;http://dbkwik.webdatacommons.org/marvel.wikia.com/resource/$$_Maje$tic/Power_Grid&gt;",\n      "&lt;http://dbkwik.webdatacommons.org/marvel.wikia.com/resource/$$_Maje$tic/Appearances&gt;"\n    ],\n    "where": {\n      "values": {\n        "powerGrid": "&lt;http://dbkwik.webdatacommons.org/marvel.wikia.com/class/power_grid&gt;",\n        "appearsIn": "&lt;http://purl.org/vocab/dc#title&gt; \'$$ Maje$tic\'@en"\n      },\n      "graph": [\n        {\n          "@prefix": "&lt;http://dbkwik.webdatacommons.org/marvel.wikia.com/class/",\n          "@for": ["powerGrid", "appearsIn"],\n          "&lt;http://dbkwik.webdatacommons.org/marvel.wikia.com/resource/$$_Maje$tic&gt; &lt;http://purl.org/vocab/dc#title&gt; \'$$ Maje$tic\'@en ."\n        },\n        {\n          "@prefix": ["&lt;http://dbkwik.webdatacommons.org/marvel.wikia.com/class/", "dc:"],\n          "&lt;http://dbkwik.webdatacommons.org/marvel.wikia.com/resource/$$_Maje$tic&gt; &lt;http://purl.org/vocab/dc#title&gt; \'$$ Maje$tic\'@en ."\n        },\n        {\n          "@prefix": ["&lt;http://dbkwik.webdatacommons.org/marvel.wikia.com/class/", "skos:"],\n          "&lt;http://dbkwik.webdatacommons.org/marvel.wikia.com/resource/$$_Maje$tic/Appearances&gt; a skos:Concept ; \\nskos:prefLabel \\"$$ Maje$tic/Appearances\\"@en ."\n        }\n      ]\n    },\n    "@context": [\n      "http://dbkwik.webdatacommons.org/marvel.wikia.com/namespace/",\n      "http://purl.org/vocab/dc#",\n      "&lt;http://dbkwik.webdatacommons.org/marvel.wikia.com/class/",\n      "skos:https://www.w3.org/2004/02/skos#"\n    ]\n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</si>
  <si>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json
{
  "query": {
    "select": [
      "&lt;http://dbkwik.webdatacommons.org/marvel.wikia.com/resource/$$_Maje$tic&gt;",
      "&lt;http://dbkwik.webdatacommons.org/marvel.wikia.com/resource/$$_Maje$tic/Power_Grid&gt;",
      "&lt;http://dbkwik.webdatacommons.org/marvel.wikia.com/resource/$$_Maje$tic/Appearances&gt;"
    ],
    "where": {
      "values": {
        "powerGrid": "&lt;http://dbkwik.webdatacommons.org/marvel.wikia.com/class/power_grid&gt;",
        "appearsIn": "&lt;http://purl.org/vocab/dc#title&gt; '$$ Maje$tic'@en"
      },
      "graph": [
        {
          "@prefix": "&lt;http://dbkwik.webdatacommons.org/marvel.wikia.com/class/",
          "@for": ["powerGrid", "appearsIn"],
          "&lt;http://dbkwik.webdatacommons.org/marvel.wikia.com/resource/$$_Maje$tic&gt; &lt;http://purl.org/vocab/dc#title&gt; '$$ Maje$tic'@en ."
        },
        {
          "@prefix": ["&lt;http://dbkwik.webdatacommons.org/marvel.wikia.com/class/", "dc:"],
          "&lt;http://dbkwik.webdatacommons.org/marvel.wikia.com/resource/$$_Maje$tic&gt; &lt;http://purl.org/vocab/dc#title&gt; '$$ Maje$tic'@en ."
        },
        {
          "@prefix": ["&lt;http://dbkwik.webdatacommons.org/marvel.wikia.com/class/", "skos:"],
          "&lt;http://dbkwik.webdatacommons.org/marvel.wikia.com/resource/$$_Maje$tic/Appearances&gt; a skos:Concept ; 
skos:prefLabel \"$$ Maje$tic/Appearances\"@en ."
        }
      ]
    },
    "@context": [
      "http://dbkwik.webdatacommons.org/marvel.wikia.com/namespace/",
      "http://purl.org/vocab/dc#",
      "&lt;http://dbkwik.webdatacommons.org/marvel.wikia.com/class/",
      "skos:https://www.w3.org/2004/02/skos#"
    ]
  }
}</t>
  </si>
  <si>
    <t>ERROR: QueryBadFormed: A bad request has been sent to the endpoint: probably the SPARQL query is badly formed. 
Response:
b'Parse error: Line 14, column 10: Unresolved prefixed name: :\n'</t>
  </si>
  <si>
    <t>```json
{
  "query": {
    "sparql": """
    PREFIX n7: &lt;http://dbkwik.webdatacommons.org/marvel.wikia.com/&gt;
    PREFIX dc: &lt;http://purl.org/dc/elements/1.1/&gt;
    PREFIX dcterms: &lt;http://purl.org/dc/terms/&gt;
    PREFIX foaf: &lt;http://xmlns.com/foaf/0.1/&gt;
    PREFIX ns1: &lt;http://dbkwik.webdatacommons.org/marvel.wikia.com/property/&gt;
    PREFIX ns2: &lt;http://dbswiki.webdatacommons.org/ontology/&gt;
    PREFIX owl: &lt;http://www.w3.org/2002/07/owl#&gt;
    PREFIX rdf: &lt;http://www.w3.org/1999/02/22-rdf-syntax-ns#&gt;
    PREFIX rdfs: &lt;http://www.w3.org/2000/01/rdf-schema#&gt;
    PREFIX skos: &lt;http://www.w3.org/2004/02/skos/core#&gt;
    PREFIX xsd: &lt;http://www.w3.org/2001/XMLSchema#&gt;
    SELECT DISTINCT ?s ?p ?o WHERE {
      ?s ?p ?o .
      FILTER(STRSTARTS(str(?p), str(n7:releasedate))
    }
  """
}
"""
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
```</t>
  </si>
  <si>
    <t>model='granite3.3:latest' created_at='2025-11-19T21:04:21.486943424Z' done=True done_reason='stop' total_duration=318938126919 load_duration=672032323 prompt_eval_count=114337 prompt_eval_duration=293487840184 eval_count=421 eval_duration=24401787551 message=Message(role='assistant', content='```json\n{\n  "query": {\n    "sparql": """\n    PREFIX n7: &lt;http://dbkwik.webdatacommons.org/marvel.wikia.com/&gt;\n    PREFIX dc: &lt;http://purl.org/dc/elements/1.1/&gt;\n    PREFIX dcterms: &lt;http://purl.org/dc/terms/&gt;\n    PREFIX foaf: &lt;http://xmlns.com/foaf/0.1/&gt;\n    PREFIX ns1: &lt;http://dbkwik.webdatacommons.org/marvel.wikia.com/property/&gt;\n    PREFIX ns2: &lt;http://dbswiki.webdatacommons.org/ontology/&gt;\n    PREFIX owl: &lt;http://www.w3.org/2002/07/owl#&gt;\n    PREFIX rdf: &lt;http://www.w3.org/1999/02/22-rdf-syntax-ns#&gt;\n    PREFIX rdfs: &lt;http://www.w3.org/2000/01/rdf-schema#&gt;\n    PREFIX skos: &lt;http://www.w3.org/2004/02/skos/core#&gt;\n    PREFIX xsd: &lt;http://www.w3.org/2001/XMLSchema#&gt;\n\n    SELECT DISTINCT ?s ?p ?o WHERE {\n      ?s ?p ?o .\n      FILTER(STRSTARTS(str(?p), str(n7:releasedate))\n    }\n  """\n}\n"""\n\nThe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graph.\n```', thinking=None, images=None, tool_calls=None)</t>
  </si>
  <si>
    <t>PREFIX ns3: &lt;http://dbkwik.webdatacommons.org/marvel.wikia.com/property/%3&gt;
PREFIX ns7: &lt;http://dbkwik.webdatacommons.org/marvel.wikia.com/property/alternate232%60&gt;
json
{
  "query": {
    "sparql": """
    PREFIX n7: &lt;http://dbkwik.webdatacommons.org/marvel.wikia.com/&gt;
    PREFIX dc: &lt;http://purl.org/dc/elements/1.1/&gt;
    PREFIX dcterms: &lt;http://purl.org/dc/terms/&gt;
    PREFIX foaf: &lt;http://xmlns.com/foaf/0.1/&gt;
    PREFIX ns1: &lt;http://dbkwik.webdatacommons.org/marvel.wikia.com/property/&gt;
    PREFIX ns2: &lt;http://dbswiki.webdatacommons.org/ontology/&gt;
    PREFIX owl: &lt;http://www.w3.org/2002/07/owl#&gt;
    PREFIX rdf: &lt;http://www.w3.org/1999/02/22-rdf-syntax-ns#&gt;
    PREFIX rdfs: &lt;http://www.w3.org/2000/01/rdf-schema#&gt;
    PREFIX skos: &lt;http://www.w3.org/2004/02/skos/core#&gt;
    PREFIX xsd: &lt;http://www.w3.org/2001/XMLSchema#&gt;
    SELECT DISTINCT ?s ?p ?o WHERE {
      ?s ?p ?o .
      FILTER(STRSTARTS(str(?p), str(n7:releasedate))
    }
  """
}
"""
The provided SPARQL query selects distinct subjects (?s) and their corresponding properties (?p) and objects (?o) from the namespace `http://dbkwik.webdatacommons.org/marvel.wikia.com/` (n7). It specifically looks for triples where the property starts with "releasedate". This query is designed to find all release dates of Marvel items within their knowledge graph.</t>
  </si>
  <si>
    <t>{
  "cq_text": "What are all the release dates (or years), if available, for each of the movies?",
  "syntax_ok": false,
  "syntax_msg": "Unbalanced braces"
}</t>
  </si>
  <si>
    <t>```
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
```</t>
  </si>
  <si>
    <t>model='granite3.3:latest' created_at='2025-11-19T21:09:27.31823108Z' done=True done_reason='stop' total_duration=304532425837 load_duration=1234143567 prompt_eval_count=114332 prompt_eval_duration=293330609183 eval_count=168 eval_duration=9668502203 message=Message(role='assistant', content='```\nPREFIX n7: &lt;http://purl.org/net/x-schema/terms#&gt;\nPREFIX n1: &lt;http://dbkwik.webdatacommons.org/marvel.wikia.com/ontology/&gt;\n\nSELECT ?movie\nWHERE {\n  ?movie n7:hasPart ?part .\n  FILTER(isIRI(?part))\n  BIND(&lt;http://dbkwik.webdatacommons.org/marvel.wikia.com/resource/Marvel_Comics&gt; AS ?marvelComics)\n  \n  {\n    SELECT DISTINCT ?movie\n    WHERE {\n      ?movie n7:hasPart ?part .\n      FILTER(isIRI(?part))\n      ?part n1:featured ?person\n    }\n  }\n}\n```',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</si>
  <si>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n7: &lt;http://purl.org/net/x-schema/terms#&gt;
PREFIX n1: &lt;http://dbkwik.webdatacommons.org/marvel.wikia.com/ontology/&gt;
SELECT ?movie
WHERE {
  ?movie n7:hasPart ?part .
  FILTER(isIRI(?part))
  BIND(&lt;http://dbkwik.webdatacommons.org/marvel.wikia.com/resource/Marvel_Comics&gt; AS ?marvelComics)
  {
    SELECT DISTINCT ?movie
    WHERE {
      ?movie n7:hasPart ?part .
      FILTER(isIRI(?part))
      ?part n1:featured ?person
    }
  }
}</t>
  </si>
  <si>
    <t>{
  "cq_text": "Who are all the director(s) for each of the movies?",
  "syntax_ok": true,
  "satisfiable": false,
  "deterministic": true,
  "latency": {
    "p50_ms": 17.92,
    "p95_ms": 18.92,
    "mean_ms": 15.71
  },
  "rows": 0,
  "vars": 1,
  "always_unbound_vars": [
    "movie"
  ],
  "lexical_query_overlap": 0.03,
  "semantic_similarity_to_CQ": 0.66,
  "semantic_soft_coverage_to_CQ": 0.76,
  "tuple_cohesion": null,
  "variables": [
    {
      "var": "movie",
      "rows": 0,
      "distinct": 0,
      "null_rate": 1.0,
      "label_resolution_rate": 0.0,
      "diversity_entropy_norm": 0.0,
      "semantic_cohesion": 1.0,
      "dup_ratio": 0.0,
      "bound_rate": 0.0
    }
  ]
}</t>
  </si>
  <si>
    <t>[{"var": "movie", "rows": 0, "distinct": 0, "null_rate": 1.0, "label_resolution_rate": 0.0, "diversity_entropy_norm": 0.0, "semantic_cohesion": 1.0, "dup_ratio": 0.0, "bound_rate": 0.0}]</t>
  </si>
  <si>
    <t>## Response: 
```
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
```</t>
  </si>
  <si>
    <t>model='granite3.3:latest' created_at='2025-11-19T21:14:43.499651543Z' done=True done_reason='stop' total_duration=315477459286 load_duration=423508027 prompt_eval_count=114332 prompt_eval_duration=293457240624 eval_count=367 eval_duration=21238365797 message=Message(role='assistant', content='## Response: \n\n```\nPREFIX rdf: &lt;http://www.w3.org/1999/02/22-rdf-syntax-ns#&gt;\nPREFIX dc: &lt;http://purl.org/dc/elements/1.1/&gt;\nPREFIX dcterms: &lt;http://purl.org/dc/terms/&gt;\nPREFIX foaf: &lt;http://xmlns.com/foaf/0.1/&gt;\nPREFIX ns1: &lt;http://dbkwik.webdatacommons.org/marvel.wikia.com/property/&gt;\nPREFIX ns2: &lt;http://dbkwik.webdatacommons.org/marvel.wikia.com/schema#&gt;\nPREFIX ns3: &lt;http://dbkwik.webdatacommons.org/marvel.wikia.com/property/%3C&gt;\nPREFIX owl: &lt;http://www.w3.org/2002/07/owl#&gt;\nPREFIX rdfs: &lt;http://www.w3.org/2000/01/rdf-schema#&gt;\nPREFIX skos: &lt;http://www.w3.org/2004/02/skos/core#&gt;\nPREFIX xsd: &lt;http://www.w3.org/2001/XMLSchema#&gt;\n\nSELECT DISTINCT ?s ?p ?o WHERE {\n  ?s a ns1:PowerGrid .\n  ?s ns1:FightingSkills ?fightingSkills .\n  ?s ns1:Durability ?durability .\n  ?s ns1:EnergyProjection ?energyProjection .\n  OPTIONAL {\n    ?s ns1:Explanation ?explanation .\n  }\n}\n```', thinking=None, images=None, tool_calls=None)</t>
  </si>
  <si>
    <t>PREFIX ns7: &lt;http://dbkwik.webdatacommons.org/marvel.wikia.com/property/alternate232%60&gt;
PREFIX rdf: &lt;http://www.w3.org/1999/02/22-rdf-syntax-ns#&gt;
PREFIX dc: &lt;http://purl.org/dc/elements/1.1/&gt;
PREFIX dcterms: &lt;http://purl.org/dc/terms/&gt;
PREFIX foaf: &lt;http://xmlns.com/foaf/0.1/&gt;
PREFIX ns1: &lt;http://dbkwik.webdatacommons.org/marvel.wikia.com/property/&gt;
PREFIX ns2: &lt;http://dbkwik.webdatacommons.org/marvel.wikia.com/schema#&gt;
PREFIX ns3: &lt;http://dbkwik.webdatacommons.org/marvel.wikia.com/property/%3C&gt;
PREFIX owl: &lt;http://www.w3.org/2002/07/owl#&gt;
PREFIX rdfs: &lt;http://www.w3.org/2000/01/rdf-schema#&gt;
PREFIX skos: &lt;http://www.w3.org/2004/02/skos/core#&gt;
PREFIX xsd: &lt;http://www.w3.org/2001/XMLSchema#&gt;
SELECT DISTINCT ?s ?p ?o WHERE {
  ?s a ns1:PowerGrid .
  ?s ns1:FightingSkills ?fightingSkills .
  ?s ns1:Durability ?durability .
  ?s ns1:EnergyProjection ?energyProjection .
  OPTIONAL {
    ?s ns1:Explanation ?explanation .
  }
}</t>
  </si>
  <si>
    <t>{
  "cq_text": "What are all the listed powers or abilities for each of the characters?",
  "syntax_ok": true,
  "satisfiable": false,
  "deterministic": true,
  "latency": {
    "p50_ms": 14.02,
    "p95_ms": 17.56,
    "mean_ms": 13.28
  },
  "rows": 0,
  "vars": 4,
  "always_unbound_vars": [
    "durability",
    "energyProjection",
    "explanation",
    "fightingSkills"
  ],
  "lexical_query_overlap": 0.0,
  "semantic_similarity_to_CQ": 0.69,
  "semantic_soft_coverage_to_CQ": 0.74,
  "tuple_cohesion": null,
  "variables": [
    {
      "var": "durability",
      "rows": 0,
      "distinct": 0,
      "null_rate": 1.0,
      "label_resolution_rate": 0.0,
      "diversity_entropy_norm": 0.0,
      "semantic_cohesion": 1.0,
      "dup_ratio": 0.0,
      "bound_rate": 0.0
    },
    {
      "var": "energyProjection",
      "rows": 0,
      "distinct": 0,
      "null_rate": 1.0,
      "label_resolution_rate": 0.0,
      "diversity_entropy_norm": 0.0,
      "semantic_cohesion": 1.0,
      "dup_ratio": 0.0,
      "bound_rate": 0.0
    },
    {
      "var": "explanation",
      "rows": 0,
      "distinct": 0,
      "null_rate": 1.0,
      "label_resolution_rate": 0.0,
      "diversity_entropy_norm": 0.0,
      "semantic_cohesion": 1.0,
      "dup_ratio": 0.0,
      "bound_rate": 0.0
    },
    {
      "var": "fightingSkills",
      "rows": 0,
      "distinct": 0,
      "null_rate": 1.0,
      "label_resolution_rate": 0.0,
      "diversity_entropy_norm": 0.0,
      "semantic_cohesion": 1.0,
      "dup_ratio": 0.0,
      "bound_rate": 0.0
    }
  ]
}</t>
  </si>
  <si>
    <t>["durability", "energyProjection", "explanation", "fightingSkills"]</t>
  </si>
  <si>
    <t>[{"var": "durability", "rows": 0, "distinct": 0, "null_rate": 1.0, "label_resolution_rate": 0.0, "diversity_entropy_norm": 0.0, "semantic_cohesion": 1.0, "dup_ratio": 0.0, "bound_rate": 0.0}, {"var": "energyProjection", "rows": 0, "distinct": 0, "null_rate": 1.0, "label_resolution_rate": 0.0, "diversity_entropy_norm": 0.0, "semantic_cohesion": 1.0, "dup_ratio": 0.0, "bound_rate": 0.0}, {"var": "explanation", "rows": 0, "distinct": 0, "null_rate": 1.0, "label_resolution_rate": 0.0, "diversity_entropy_norm": 0.0, "semantic_cohesion": 1.0, "dup_ratio": 0.0, "bound_rate": 0.0}, {"var": "fightingSkills", "rows": 0, "distinct": 0, "null_rate": 1.0, "label_resolution_rate": 0.0, "diversity_entropy_norm": 0.0, "semantic_cohesion": 1.0, "dup_ratio": 0.0, "bound_rate": 0.0}]</t>
  </si>
  <si>
    <t xml:space="preserve">I've processed the provided RDF/XML data and extracted relevant classes, properties, and relationships from it. Here's a summary of notable ones along with brief descriptions:
### Classes (Types):
- **appnote**: For application notes.
- **brclear**: Represents "BrClear" likely related to visual clearing or cleaning contexts.
- **cidil**: 'Cidil' possibly relating to citizen data, perhaps in a specific context (like civic information).
- **cite_web**: Class for web citations or references.
- **comic_list**: Likely used to list comics.
- **comic_toc**: Could indicate a table of contents specifically for comic books.
- **combatechniques**: Likely deals with combat techniques in contextual narratives.
- **continent**: Refers to geographical landmasses.
- **disambig**: Used for disambiguating entities, possibly resolving ambiguity between different entities.
- **distinguish**: Class used for distinguishing features or characteristics of items or concepts.
- **eventhub**: Represents a hub for event-related content or management.
- **fact**: A basic factual piece of information.
- **facebook_fanpage**: A page on Facebook dedicated to fans.
- **famous**: Represents something well-known or celebrated.
- **featured**: Indicates prominence, such as featured characters in a story.
- **fictional_character**: Describes fictional characters from stories/comics.
- **firstissue**: Identifies the first issue of a series.
- **flashback**: Indicates scenes set in the past relative to a narrative's main time.
- **flashforwardonly**: Restricted to flash-forward elements without accompanying present context.
- **flnm**: Short for "Film, Not Movies"—likely a class separating movie adaptations from original films.
- **forced**: Refers to characters or items that force certain actions or reactions in plots.
- **forge**: Typically associated with metalworking and crafting.
- **forge_starks**: A subgroup or subclass likely indicating Stark family forge-related aspects.
- **frequency**: Relates to frequency-based properties or concepts.
- **g**: Potentially a generic identifier or placeholder class.
- **gallery**: Class to hold image galleries, possibly for media or artwork.
- **group**: Represents fictional groups within stories, like teams.
- **historytext**: Provides historical context or information about entities.
- **home_world**: Refers to the world of origin or primary setting in a narrative.
- **hub**: A central point or repository for specific categories of content (e.g., characters, stories).
- **impersonates**: Indicates representation or impersonation in stories/comics.
- **issuelist**: Likely holds a list of issues in an ongoing series.
- **itemimages**: Class for images related to items or objects.
- **joins**: A character or team joining another, indicating alliances or new memberships.
- **language**: Represents languages spoken by characters or communities within stories.
- **lastissue**: Identifies the last issue of a series run.
- **leader**: Describes leadership roles in fictional groups.
- **leader_of**: A relationship indicating leadership over a group.
- **legendary**: For legendary or mythical status/characters.
- **legacy**: Refers to characters inheriting roles, titles, or powers from predecessors.
- **links**: References or links between different entities in a narrative's universe.
- **location**: General place or setting within stories.
- **logo**: Image used as an identifying symbol (like team logos).
- **mainimagesize**: Size of the main image for a character, possibly indicating prominence.
- **map**: Geographical maps within narratives or world-building elements.
- **member**: Indication of being part of a group or team.
- **media**: General term for media formats (movies, TV shows, etc.).
- **mentioned**: Characters or entities mentioned in stories but not primary characters.
- **mentioning**: Mentioning related properties or attributes.
- **member_of**: Group membership relationship.
- **merchandise**: Merchandise associated with characters/franchises (toys, apparel).
- **mindcontrol**: Narratives involving mind control or manipulation.
- **named**: Specific named characters in stories.
- **navigational_device**: Devices for navigation like compasses.
- **newheader1x**: Alternative name formats or headings possibly specific to a site's style.
- **newHeader1X**: Likely alternative header formats.
- **newrelease**: Refers to new releases, likely of comics/media.
- **note**: Additional informational notes within a context.
- **notes**: General collection of notes or additional data.
- **origin**: Point of origin or creation story for characters.
- **origins**: Collection or set of origins (backstories).
- **owner**: Ownership details within fictional universes.
- **parent**: Parent-child relationships, possibly fictional.
- **partner**: Indicating partnerships between characters.
- **people**: General class for people as characters or entities in narratives.
- **personality**: Describes character traits or personalities.
- **personal_info**: Personal details or biographical data about a character.
- **planet**: Specific planets within fictional universes.
- **powergrid**: Class for power levels and abilities assessment.
- **publisher**: Media publishers (like Marvel Comics).
- **quote**: Direct quotes from characters or authors in narratives.
- **realname**: Real names of fictional entities, possibly distinguishing aliases.
- **reference**: References to outside sources or works within stories.
- **relations**: Relationships between characters (like family ties).
- **relatives**: Specific relatives of noted characters.
- **renewal_program**: Likely a program or event for character renewals/reboots.
- **renewed**: Characters whose stories have been recently updated or rebooted.
- **renaming**: Rename events in fictional universes.
- **replacing**: Character replacements within narratives.
- **reportedby**: Indicates reporting or sources of information in stories.
- **representation**: Representation types (e.g., alternate realities).
- **residence**: Current or past residences of characters.
- **restoration**: Process or event of restoring something.
- **reveal**: Revealing narrative elements, secrets, or truths.
- **role_in_group**: Role within a fictional group (e.g., leader, member).
- **secret_identity**: Hidden identity maintained by characters for dual lives.
- **seeming**: Deceptive appearances or facades.
- **series**: Ongoing series or collections of stories.
- **story_arc**: Narrative arcs or overarching plots in stories.
- **team_images**: Collection of images related to teams or groups.
- **terroristgroup**: Groups identified as terrorist entities within narratives.
- **television**: Television series relevant to Marvel properties.
- **title**: Titles, possibly for publications (like comics) or roles.
- **titleimage**: Image specifically for a title.
- **todo**: Tasks or items pending completion in projects/databases.
- **transmissionmethod**: Methods of transmission like radio or television broadcasts.
- **universe**: Specific fictional universes within Marvel.
- **villainous_group**: Villain groups within stories, likely for adversaries.
- **weapon**: Weapons used by characters.
- **weapons**: A collection of weapons or arsenal elements.
- **wikiPageWikiLinkText**: Text for wiki links.
- **wikiPageWikiLink**: Links to other pages within a wiki system.
- **wikipedia**: Links or references to Wikipedia entries.
- **wikipedia_citation**: Citation information sourced from Wikipedia.
- **wikipedia_url**: URL for Wikipedia content related to characters/entities.
### Properties:
- **rdfs:label**: Standard RDFS label property, used for literal labels of classes or instances.
- **rdf:type**: Property indicating the type (class) of an instance.
- **ns1:box**: Specific boxes or lists within a hub, possibly displaying content categories.
- **ns1:box1Text**: Content for box 1.
- **ns1:box2Text**: Content for box 2.
- **ns1:box3Text**: Content for box 3.
- **ns1:box4Text**: Content for box 4.
- **ns1:box5Image**: Images related to certain boxes.
- **ns1:box5Text**: Text associated with images in box 5.
- **ns1:box6Text**: Text for box 6 content.
- **ns1:box7Text**: Text for box 7 content.
- **ns1:box8Text**: Text for box 8 content.
- **ns1:creator**: Creator or author information.
- **ns1:crossovers**: Crossover events within Marvel narratives.
- **ns1:endmonth**: End month of a series, likely for chronology.
- **ns1:endyear**: End year, similar to end month for chronological data.
- **ns1:featured**: Characters featured prominently.
- **ns1:featuredby**: Who featured certain elements or characters.
- **ns1:firstissue**: First issue in a series run.
- **ns1:imageSize**: Image size, potentially for character depictions.
- **ns1:lastissue**: Last issue of a series, for ending points.
- **ns1:nextvol**: Next volume or issue in a series.
- **ns1:previousissue**: Issue preceding the current one.
- **ns1:publisher**: Publication details, like who published the content.
- **ns1:type**: Media type (e.g., comic book).
- **ns1:volumelogo**: Logo associated with a specific volume or series.
- **rdfs:comment**: Comments or additional contextual notes.
- **skos:altLabel**: Alternative labels or names for resources, possibly in different languages.
### Relationships (Object Properties):
- **skos:broader**: Broader category or generalization relationship.
- **ns1:box1Text**: Content text for box 1.
- **ns1:box2Text**: Content text for box 2.
- **ns1:box3Text**: Content text for box 3.
- **ns1:box4Text**: Content text for box 4.
- **ns1:box5Text**: Content text for box </t>
  </si>
  <si>
    <t>model='granite3.3:latest' created_at='2025-11-19T21:22:03.695787131Z' done=True done_reason='stop' total_duration=439599609166 load_duration=787893830 prompt_eval_count=114333 prompt_eval_duration=293457027180 eval_count=2454 eval_duration=144302694369 message=Message(role='assistant', content='I\'ve processed the provided RDF/XML data and extracted relevant classes, properties, and relationships from it. Here\'s a summary of notable ones along with brief descriptions:\n\n\n### Classes (Types):\n- **appnote**: For application notes.\n- **brclear**: Represents "BrClear" likely related to visual clearing or cleaning contexts.\n- **cidil**: \'Cidil\' possibly relating to citizen data, perhaps in a specific context (like civic information).\n- **cite_web**: Class for web citations or references.\n- **comic_list**: Likely used to list comics.\n- **comic_toc**: Could indicate a table of contents specifically for comic books.\n- **combatechniques**: Likely deals with combat techniques in contextual narratives.\n- **continent**: Refers to geographical landmasses.\n- **disambig**: Used for disambiguating entities, possibly resolving ambiguity between different entities.\n- **distinguish**: Class used for distinguishing features or characteristics of items or concepts.\n- **eventhub**: Represents a hub for event-related content or management.\n- **fact**: A basic factual piece of information.\n- **facebook_fanpage**: A page on Facebook dedicated to fans.\n- **famous**: Represents something well-known or celebrated.\n- **featured**: Indicates prominence, such as featured characters in a story.\n- **fictional_character**: Describes fictional characters from stories/comics.\n- **firstissue**: Identifies the first issue of a series.\n- **flashback**: Indicates scenes set in the past relative to a narrative\'s main time.\n- **flashforwardonly**: Restricted to flash-forward elements without accompanying present context.\n- **flnm**: Short for "Film, Not Movies"—likely a class separating movie adaptations from original films.\n- **forced**: Refers to characters or items that force certain actions or reactions in plots.\n- **forge**: Typically associated with metalworking and crafting.\n- **forge_starks**: A subgroup or subclass likely indicating Stark family forge-related aspects.\n- **frequency**: Relates to frequency-based properties or concepts.\n- **g**: Potentially a generic identifier or placeholder class.\n- **gallery**: Class to hold image galleries, possibly for media or artwork.\n- **group**: Represents fictional groups within stories, like teams.\n- **historytext**: Provides historical context or information about entities.\n- **home_world**: Refers to the world of origin or primary setting in a narrative.\n- **hub**: A central point or repository for specific categories of content (e.g., characters, stories).\n- **impersonates**: Indicates representation or impersonation in stories/comics.\n- **issuelist**: Likely holds a list of issues in an ongoing series.\n- **itemimages**: Class for images related to items or objects.\n- **joins**: A character or team joining another, indicating alliances or new memberships.\n- **language**: Represents languages spoken by characters or communities within stories.\n- **lastissue**: Identifies the last issue of a series run.\n- **leader**: Describes leadership roles in fictional groups.\n- **leader_of**: A relationship indicating leadership over a group.\n- **legendary**: For legendary or mythical status/characters.\n- **legacy**: Refers to characters inheriting roles, titles, or powers from predecessors.\n- **links**: References or links between different entities in a narrative\'s universe.\n- **location**: General place or setting within stories.\n- **logo**: Image used as an identifying symbol (like team logos).\n- **mainimagesize**: Size of the main image for a character, possibly indicating prominence.\n- **map**: Geographical maps within narratives or world-building elements.\n- **member**: Indication of being part of a group or team.\n- **media**: General term for media formats (movies, TV shows, etc.).\n- **mentioned**: Characters or entities mentioned in stories but not primary characters.\n- **mentioning**: Mentioning related properties or attributes.\n- **member_of**: Group membership relationship.\n- **merchandise**: Merchandise associated with characters/franchises (toys, apparel).\n- **mindcontrol**: Narratives involving mind control or manipulation.\n- **named**: Specific named characters in stories.\n- **navigational_device**: Devices for navigation like compasses.\n- **newheader1x**: Alternative name formats or headings possibly specific to a site\'s style.\n- **newHeader1X**: Likely alternative header formats.\n- **newrelease**: Refers to new releases, likely of comics/media.\n- **note**: Additional informational notes within a context.\n- **notes**: General collection of notes or additional data.\n- **origin**: Point of origin or creation story for characters.\n- **origins**: Collection or set of origins (backstories).\n- **owner**: Ownership details within fictional universes.\n- **parent**: Parent-child relationships, possibly fictional.\n- **partner**: Indicating partnerships between characters.\n- **people**: General class for people as characters or entities in narratives.\n- **personality**: Describes character traits or personalities.\n- **personal_info**: Personal details or biographical data about a character.\n- **planet**: Specific planets within fictional universes.\n- **powergrid**: Class for power levels and abilities assessment.\n- **publisher**: Media publishers (like Marvel Comics).\n- **quote**: Direct quotes from characters or authors in narratives.\n- **realname**: Real names of fictional entities, possibly distinguishing aliases.\n- **reference**: References to outside sources or works within stories.\n- **relations**: Relationships between characters (like family ties).\n- **relatives**: Specific relatives of noted characters.\n- **renewal_program**: Likely a program or event for character renewals/reboots.\n- **renewed**: Characters whose stories have been recently updated or rebooted.\n- **renaming**: Rename events in fictional universes.\n- **replacing**: Character replacements within narratives.\n- **reportedby**: Indicates reporting or sources of information in stories.\n- **representation**: Representation types (e.g., alternate realities).\n- **residence**: Current or past residences of characters.\n- **restoration**: Process or event of restoring something.\n- **reveal**: Revealing narrative elements, secrets, or truths.\n- **role_in_group**: Role within a fictional group (e.g., leader, member).\n- **secret_identity**: Hidden identity maintained by characters for dual lives.\n- **seeming**: Deceptive appearances or facades.\n- **series**: Ongoing series or collections of stories.\n- **story_arc**: Narrative arcs or overarching plots in stories.\n- **team_images**: Collection of images related to teams or groups.\n- **terroristgroup**: Groups identified as terrorist entities within narratives.\n- **television**: Television series relevant to Marvel properties.\n- **title**: Titles, possibly for publications (like comics) or roles.\n- **titleimage**: Image specifically for a title.\n- **todo**: Tasks or items pending completion in projects/databases.\n- **transmissionmethod**: Methods of transmission like radio or television broadcasts.\n- **universe**: Specific fictional universes within Marvel.\n- **villainous_group**: Villain groups within stories, likely for adversaries.\n- **weapon**: Weapons used by characters.\n- **weapons**: A collection of weapons or arsenal elements.\n- **wikiPageWikiLinkText**: Text for wiki links.\n- **wikiPageWikiLink**: Links to other pages within a wiki system.\n- **wikipedia**: Links or references to Wikipedia entries.\n- **wikipedia_citation**: Citation information sourced from Wikipedia.\n- **wikipedia_url**: URL for Wikipedia content related to characters/entities.\n\n### Properties:\n- **rdfs:label**: Standard RDFS label property, used for literal labels of classes or instances.\n- **rdf:type**: Property indicating the type (class) of an instance.\n- **ns1:box**: Specific boxes or lists within a hub, possibly displaying content categories.\n- **ns1:box1Text**: Content for box 1.\n- **ns1:box2Text**: Content for box 2.\n- **ns1:box3Text**: Content for box 3.\n- **ns1:box4Text**: Content for box 4.\n- **ns1:box5Image**: Images related to certain boxes.\n- **ns1:box5Text**: Text associated with images in box 5.\n- **ns1:box6Text**: Text for box 6 content.\n- **ns1:box7Text**: Text for box 7 content.\n- **ns1:box8Text**: Text for box 8 content.\n- **ns1:creator**: Creator or author information.\n- **ns1:crossovers**: Crossover events within Marvel narratives.\n- **ns1:endmonth**: End month of a series, likely for chronology.\n- **ns1:endyear**: End year, similar to end month for chronological data.\n- **ns1:featured**: Characters featured prominently.\n- **ns1:featuredby**: Who featured certain elements or characters.\n- **ns1:firstissue**: First issue in a series run.\n- **ns1:imageSize**: Image size, potentially for character depictions.\n- **ns1:lastissue**: Last issue of a series, for ending points.\n- **ns1:nextvol**: Next volume or issue in a series.\n- **ns1:previousissue**: Issue preceding the current one.\n- **ns1:publisher**: Publication details, like who published the content.\n- **ns1:type**: Media type (e.g., comic book).\n- **ns1:volumelogo**: Logo associated with a specific volume or series.\n- **rdfs:comment**: Comments or additional contextual notes.\n- **skos:altLabel**: Alternative labels or names for resources, possibly in different languages.\n\n### Relationships (Object Properties):\n- **skos:broader**: Broader category or generalization relationship.\n- **ns1:box1Text**: Content text for box 1.\n- **ns1:box2Text**: Content text for box 2.\n- **ns1:box3Text**: Content text for box 3.\n- **ns1:box4Text**: Content text for box 4.\n- **ns1:box5Text**: Content text for box ',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</si>
  <si>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Describes fictional characters from stories/comics.
- **firstissue**: Identifies the first issue of a series.
- **flashback**: Indicates scenes set in the past relative to a narrative's main time.
- **flashforwardonly**: Restricted to flash-forward elements without accompanying present context.
- **flnm**: Short for "Film, Not Movies"—likely a class separating movie adaptations from original films.
- **forced**: Refers to characters or items that force certain actions or reactions in plots.
- **forge**: Typically associated with metalworking and crafting.
- **forge_starks**: A subgroup or subclass likely indicating Stark family forge-related aspects.
- **frequency**: Relates to frequency-based properties or concepts.
- **g**: Potentially a generic identifier or placeholder class.
- **gallery**: Class to hold image galleries, possibly for media or artwork.
- **group**: Represents fictional groups within stories, like teams.
- **historytext**: Provides historical context or information about entities.
- **home_world**: Refers to the world of origin or primary setting in a narrative.
- **hub**: A central point or repository for specific categories of content (e.g., characters, stories).
- **impersonates**: Indicates representation or impersonation in stories/comics.
- **issuelist**: Likely holds a list of issues in an ongoing series.
- **itemimages**: Class for images related to items or objects.
- **joins**: A character or team joining another, indicating alliances or new memberships.
- **language**: Represents languages spoken by characters or communities within stories.
- **lastissue**: Identifies the last issue of a series run.
- **leader**: Describes leadership roles in fictional groups.
- **leader_of**: A relationship indicating leadership over a group.
- **legendary**: For legendary or mythical status/characters.
- **legacy**: Refers to characters inheriting roles, titles, or powers from predecessors.
- **links**: References or links between different entities in a narrative's universe.
- **location**: General place or setting within stories.
- **logo**: Image used as an identifying symbol (like team logos).
- **mainimagesize**: Size of the main image for a character, possibly indicating prominence.
- **map**: Geographical maps within narratives or world-building elements.
- **member**: Indication of being part of a group or team.
- **media**: General term for media formats (movies, TV shows, etc.).
- **mentioned**: Characters or entities mentioned in stories but not primary characters.
- **mentioning**: Mentioning related properties or attributes.
- **member_of**: Group membership relationship.
- **merchandise**: Merchandise associated with characters/franchises (toys, apparel).
- **mindcontrol**: Narratives involving mind control or manipulation.
- **named**: Specific named characters in stories.
- **navigational_device**: Devices for navigation like compasses.
- **newheader1x**: Alternative name formats or headings possibly specific to a site's style.
- **newHeader1X**: Likely alternative header formats.
- **newrelease**: Refers to new releases, likely of comics/media.
- **note**: Additional informational notes within a context.
- **notes**: General collection of notes or additional data.
- **origin**: Point of origin or creation story for characters.
- **origins**: Collection or set of origins (backstories).
- **owner**: Ownership details within fictional universes.
- **parent**: Parent-child relationships, possibly fictional.
- **partner**: Indicating partnerships between characters.
- **people**: General class for people as characters or entities in narratives.
- **personality**: Describes character traits or personalities.
- **personal_info**: Personal details or biographical data about a character.
- **planet**: Specific planets within fictional universes.
- **powergrid**: Class for power levels and abilities assessment.
- **publisher**: Media publishers (like Marvel Comics).
- **quote**: Direct quotes from characters or authors in narratives.
- **realname**: Real names of fictional entities, possibly distinguishing aliases.
- **reference**: References to outside sources or works within stories.
- **relations**: Relationships between characters (like family ties).
- **relatives**: Specific relatives of noted characters.
- **renewal_program**: Likely a program or event for character renewals/reboots.
- **renewed**: Characters whose stories have been recently updated or rebooted.
- **renaming**: Rename events in fictional universes.
- **replacing**: Character replacements within narratives.
- **reportedby**: Indicates reporting or sources of information in stories.
- **representation**: Representation types (e.g., alternate realities).
- **residence**: Current or past residences of characters.
- **restoration**: Process or event of restoring something.
- **reveal**: Revealing narrative elements, secrets, or truths.
- **role_in_group**: Role within a fictional group (e.g., leader, member).
- **secret_identity**: Hidden identity maintained by characters for dual lives.
- **seeming**: Deceptive appearances or facades.
- **series**: Ongoing series or collections of stories.
- **story_arc**: Narrative arcs or overarching plots in stories.
- **team_images**: Collection of images related to teams or groups.
- **terroristgroup**: Groups identified as terrorist entities within narratives.
- **television**: Television series relevant to Marvel properties.
- **title**: Titles, possibly for publications (like comics) or roles.
- **titleimage**: Image specifically for a title.
- **todo**: Tasks or items pending completion in projects/databases.
- **transmissionmethod**: Methods of transmission like radio or television broadcasts.
- **universe**: Specific fictional universes within Marvel.
- **villainous_group**: Villain groups within stories, likely for adversaries.
- **weapon**: Weapons used by characters.
- **weapons**: A collection of weapons or arsenal elements.
- **wikiPageWikiLinkText**: Text for wiki links.
- **wikiPageWikiLink**: Links to other pages within a wiki system.
- **wikipedia**: Links or references to Wikipedia entries.
- **wikipedia_citation**: Citation information sourced from Wikipedia.
- **wikipedia_url**: URL for Wikipedia content related to characters/entities.
### Properties:
- **rdfs:label**: Standard RDFS label property, used for literal labels of classes or instances.
- **rdf:type**: Property indicating the type (class) of an instance.
- **ns1:box**: Specific boxes or lists within a hub, possibly displaying content categories.
- **ns1:box1Text**: Content for box 1.
- **ns1:box2Text**: Content for box 2.
- **ns1:box3Text**: Content for box 3.
- **ns1:box4Text**: Content for box 4.
- **ns1:box5Image**: Images related to certain boxes.
- **ns1:box5Text**: Text associated with images in box 5.
- **ns1:box6Text**: Text for box 6 content.
- **ns1:box7Text**: Text for box 7 content.
- **ns1:box8Text**: Text for box 8 content.
- **ns1:creator**: Creator or author information.
- **ns1:crossovers**: Crossover events within Marvel narratives.
- **ns1:endmonth**: End month of a series, likely for chronology.
- **ns1:endyear**: End year, similar to end month for chronological data.
- **ns1:featured**: Characters featured prominently.
- **ns1:featuredby**: Who featured certain elements or characters.
- **ns1:firstissue**: First issue in a series run.
- **ns1:imageSize**: Image size, potentially for character depictions.
- **ns1:lastissue**: Last issue of a series, for ending points.
- **ns1:nextvol**: Next volume or issue in a series.
- **ns1:previousissue**: Issue preceding the current one.
- **ns1:publisher**: Publication details, like who published the content.
- **ns1:type**: Media type (e.g., comic book).
- **ns1:volumelogo**: Logo associated with a specific volume or series.
- **rdfs:comment**: Comments or additional contextual notes.
- **skos:altLabel**: Alternative labels or names for resources, possibly in different languages.
### Relationships (Object Properties):
- **skos:broader**: Broader category or generalization relationship.
- **ns1:box1Text**: Content text for box 1.
- **ns1:box2Text**: Content text for box 2.
- **ns1:box3Text**: Content text for box 3.
- **ns1:box4Text**: Content text for box 4.
- **ns1:box5Text**: Content text for box</t>
  </si>
  <si>
    <t>{
  "cq_text": "What are all the team or organization affiliations for each of the characters?",
  "syntax_ok": false,
  "syntax_msg": "No SPARQL form found"
}</t>
  </si>
  <si>
    <t>Here is the SPARQL query based on the given schema and competency question: retrieving all locations (places):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
```
This SPARQL query targets the `ns1:placeofbirth` property to find locations and constructs a label combining location value with its description using BIND, then filters results where type is not empty. It retrieves distinct labels of places as described within the schema.</t>
  </si>
  <si>
    <t>model='granite3.3:latest' created_at='2025-11-19T21:27:24.622100186Z' done=True done_reason='stop' total_duration=319685750002 load_duration=1025982091 prompt_eval_count=114328 prompt_eval_duration=293420282586 eval_count=429 eval_duration=24864980418 message=Message(role='assistant', content='Here is the SPARQL query based on the given schema and competency question: retrieving all locations (places):\n\n\n```sparql\nPREFIX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&lt;http://dbkwik.webdatacommons.org/marvel.wikia.com/property/%3E&gt;\nPREFIX owl: &lt;http://www.w3.org/2002/07/owl#&gt;\nPREFIX rdf: &lt;http://www.w3.org/1999/02/22-rdf-syntax-ns#&gt;\nPREFIX rdfs: &lt;http://www.w3.org/2000/01/rdf-schema#&gt;\nPREFIX skos: &lt;http://www.w3.org/2004/02/skos/core#&gt;\nPREFIX xsd: &lt;http://www.w3.org/2001/XMLSchema#&gt;\n\nSELECT DISTINCT ?locationLabel WHERE {\n  ?s ns1:placeofbirth ?location .\n  BIND (CONCAT(STR(?location), \' (\', STR(?label), \')\') AS ?locationLabel) .\n  ?s a ?type .\n  FILTER(REGEX(STR(?type), ".*") )\n}\n```\n\nThis SPARQL query targets the `ns1:placeofbirth` property to find locations and constructs a label combining location value with its description using BIND, then filters results where type is not empty. It retrieves distinct labels of places as described within the schema.', thinking=None, images=None, tool_calls=None)</t>
  </si>
  <si>
    <t>PREFIX ns7: &lt;http://dbkwik.webdatacommons.org/marvel.wikia.com/property/alternate232%60&gt;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&lt;http://dbkwik.webdatacommons.org/marvel.wikia.com/property/%3E&gt;
PREFIX owl: &lt;http://www.w3.org/2002/07/owl#&gt;
PREFIX rdf: &lt;http://www.w3.org/1999/02/22-rdf-syntax-ns#&gt;
PREFIX rdfs: &lt;http://www.w3.org/2000/01/rdf-schema#&gt;
PREFIX skos: &lt;http://www.w3.org/2004/02/skos/core#&gt;
PREFIX xsd: &lt;http://www.w3.org/2001/XMLSchema#&gt;
SELECT DISTINCT ?locationLabel WHERE {
  ?s ns1:placeofbirth ?location .
  BIND (CONCAT(STR(?location), ' (', STR(?label), ')') AS ?locationLabel) .
  ?s a ?type .
  FILTER(REGEX(STR(?type), ".*") )
}</t>
  </si>
  <si>
    <t>{
  "cq_text": "What are all the locations (places) available?",
  "syntax_ok": true,
  "satisfiable": true,
  "deterministic": true,
  "latency": {
    "p50_ms": 9.31,
    "p95_ms": 17.48,
    "mean_ms": 11.88
  },
  "rows": 1,
  "vars": 1,
  "always_unbound_vars": [
    "locationLabel"
  ],
  "lexical_query_overlap": 0.0,
  "semantic_similarity_to_CQ": 0.68,
  "semantic_soft_coverage_to_CQ": 0.75,
  "tuple_cohesion": 1.0,
  "variables": [
    {
      "var": "locationLabel",
      "rows": 1,
      "distinct": 0,
      "null_rate": 1.0,
      "label_resolution_rate": 0.0,
      "diversity_entropy_norm": 0.0,
      "semantic_cohesion": 1.0,
      "dup_ratio": 0.0,
      "bound_rate": 0.0
    }
  ]
}</t>
  </si>
  <si>
    <t>["locationLabel"]</t>
  </si>
  <si>
    <t>[{"var": "locationLabel", "rows": 1, "distinct": 0, "null_rate": 1.0, "label_resolution_rate": 0.0, "diversity_entropy_norm": 0.0, "semantic_cohesion": 1.0, "dup_ratio": 0.0, "bound_rate": 0.0}]</t>
  </si>
  <si>
    <t>To answer the competency question "What are all the available movies and their directors?" using the provided schema, you can use the following SPARQL query to retrieve this information:
```sparql
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
```
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t>
  </si>
  <si>
    <t>model='granite3.3:latest' created_at='2025-11-19T21:32:36.960076479Z' done=True done_reason='stop' total_duration=310875237799 load_duration=1241368851 prompt_eval_count=114329 prompt_eval_duration=293353490769 eval_count=276 eval_duration=15952841545 message=Message(role='assistant', content='To answer the competency question "What are all the available movies and their directors?" using the provided schema, you can use the following SPARQL query to retrieve this information:\n\n```sparql\nPREFIX xsd: &lt;http://www.w3.org/2001/XMLSchema#&gt;\nPREFIX ns1: &lt;http://dbkwik.webdatacommons.org/marvel.wikia.com/class/&gt;\nPREFIX rdf: &lt;http://www.w3.org/1999/02/22-rdf-syntax-ns#&gt;\nPREFIX rdfs: &lt;http://www.w3.org/2000/01/rdf-schema#&gt;\n\nSELECT DISTINCT ?movieTitle ?directorName\nWHERE {\n  ?movie ns1:movies ?director .\n  OPTIONAL {\n    ?director foaf:name ?directorName .\n  }\n  ?movie rdfs:label ?movieTitle .\n}\n```\n\nThis query assumes the schema property `ns1:movies` links movies to their directors, and `foaf:name` provides director names. The query retrieves distinct movie titles (`?movieTitle`) and director names (`?directorName`). Adjustments may be necessary based on actual property names if they differ from the inferred ones.',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</si>
  <si>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skos: &lt;http://www.w3.org/2004/02/skos/core#&gt;
PREFIX xsd: &lt;http://www.w3.org/2001/XMLSchema#&gt;
PREFIX ns1: &lt;http://dbkwik.webdatacommons.org/marvel.wikia.com/class/&gt;
PREFIX rdf: &lt;http://www.w3.org/1999/02/22-rdf-syntax-ns#&gt;
PREFIX rdfs: &lt;http://www.w3.org/2000/01/rdf-schema#&gt;
SELECT DISTINCT ?movieTitle ?directorName
WHERE {
  ?movie ns1:movies ?director .
  OPTIONAL {
    ?director foaf:name ?directorName .
  }
  ?movie rdfs:label ?movieTitle .
}</t>
  </si>
  <si>
    <t>{
  "cq_text": "What are all the available movies and their directors?",
  "syntax_ok": true,
  "satisfiable": false,
  "deterministic": true,
  "latency": {
    "p50_ms": 8.99,
    "p95_ms": 84.76,
    "mean_ms": 34.02
  },
  "rows": 0,
  "vars": 2,
  "always_unbound_vars": [
    "movieTitle",
    "directorName"
  ],
  "lexical_query_overlap": 0.0,
  "semantic_similarity_to_CQ": 0.73,
  "semantic_soft_coverage_to_CQ": 0.76,
  "tuple_cohesion": null,
  "variables": [
    {
      "var": "movieTitle",
      "rows": 0,
      "distinct": 0,
      "null_rate": 1.0,
      "label_resolution_rate": 0.0,
      "diversity_entropy_norm": 0.0,
      "semantic_cohesion": 1.0,
      "dup_ratio": 0.0,
      "bound_rate": 0.0
    },
    {
      "var": "directorName",
      "rows": 0,
      "distinct": 0,
      "null_rate": 1.0,
      "label_resolution_rate": 0.0,
      "diversity_entropy_norm": 0.0,
      "semantic_cohesion": 1.0,
      "dup_ratio": 0.0,
      "bound_rate": 0.0
    }
  ]
}</t>
  </si>
  <si>
    <t>["movieTitle", "directorName"]</t>
  </si>
  <si>
    <t>[{"var": "movieTitle", "rows": 0, "distinct": 0, "null_rate": 1.0, "label_resolution_rate": 0.0, "diversity_entropy_norm": 0.0, "semantic_cohesion": 1.0, "dup_ratio": 0.0, "bound_rate": 0.0}, {"var": "directorName", "rows": 0, "distinct": 0, "null_rate": 1.0, "label_resolution_rate": 0.0, "diversity_entropy_norm": 0.0, "semantic_cohesion": 1.0, "dup_ratio": 0.0, "bound_rate": 0.0}]</t>
  </si>
  <si>
    <t>```
PREFIX rdf: &lt;http://www.w3.org/1999/02/22-rdf-syntax-ns#&gt;
PREFIX rdfs: &lt;http://www.w3.org/2002/07/rdfc#&gt;
PREFIX dc: &lt;http://purl.org/dc/elements/1.1/&gt;
PREFIX dcterms: &lt;http://purl.org/dc/terms/&gt;
PREFIX foaf: &lt;http://xmlns.com/foaf/0.1/&gt;
PREFIX ns1: &lt;http://dbkwik.webdatacommons.org/marvel.wikia.com/property#&gt;
PREFIX ns2: &lt;http://schema.org/&gt;
PREFIX ns3: &lt;http://dbkwik.webdatacommons.org/marvel.wikia.com/property/&gt;
PREFIX owl: &lt;http://www.w3.org/2002/07/owl#&gt;
PREFIX rdfsc: &lt;http://purl.org/rdfsc#&gt;
PREFIX skos: &lt;http://www.w3.org/2004/02/skos#&gt;
PREFIX xsd: &lt;http://www.w3.org/2001/XMLSchema#&gt;
SELECT DISTINCT ?resource ?property ?value WHERE {
    VALUES ?property (&lt;http://dbkwik.webdatacommons.org/marvel.wikia.com/class/alphatoc&gt; ,
                      &lt;http://dbkwik.webdatacommons.org/marvel.wikia.com/class/also_on_wikipedia&gt; ,
                      &lt;http://dbkwik.webdatacommons.org/marvel.wikia.com/class/apdeath&gt; ,
                      &lt;http://dbkwik.webdatacommons.org/marvel.wikia.com/class/apnm&gt; ,
                      &lt;http://dbkwik.webdatacommons.org/marvel.wikia.com/class/archub&gt; ,
                      &lt;http://dbkwik.webdatacommons.org/marvel.wikia.com/class/arw2&gt; ,
                      &lt;http://dbkwik.webdatacommons.org/marvel.wikia.com/class/caution&gt; ,
                      &lt;http://dbkwik.webdatacommons.org/marvel.wikia.com/class/carving&gt; ,
                      &lt;http://dbkwik.webdatacommons.org/marvel.wikia.com/class/charref&gt; ,
                      &lt;http://dbkwik.webdatacommons.org/marvel.wikia.com/class/character&gt; ,
                      &lt;http://dbkwik.webdatacommons.org/marvel.wikia.com/class/character_images&gt; ,
                      &lt;http://dbkwik.webdatacommons.org/marvel.wikia.com/class/chatbox&gt; ,
                      &lt;http://dbkwik.webdatacommons.org/marvel.wikia.com/class/cite_web&gt; ,
                      &lt;http://dbkwik.webdatacommons.org/marvel.wikia.com/class/collection_page&gt; ,
                      &lt;http://dbkwik.webdatacommons.org/marvel.wikia.com/class/computer&gt; ,
                      &lt;http://dbkwik.webdatacommons.org/marvel.wikia.com/class/directors/nopi&gt; ,
                      &lt;http://dbkwik.webdatacommons.org/marvel.wikia.com/class/discordintegrator&gt; ,
                      &lt;http://dbkwik.webdatacommons.org/marvel.wikia.com/class/distinguish&gt; ,
                      &lt;http://dbkwik.webdatacommons.org/marvel.wikia.com/class/eventhub&gt; ,
                      &lt;http://dbkwik.webdatacommons.org/marvel.wikia.com/class/fact&gt; ,
                      &lt;http://dbkwik.webdatacommons.org/marvel.wikia.com/class/flnm&gt; ,
                      &lt;http://db</t>
  </si>
  <si>
    <t>model='granite3.3:latest' created_at='2025-11-19T21:38:27.218551765Z' done=True done_reason='stop' total_duration=349199518421 load_duration=831989463 prompt_eval_count=114332 prompt_eval_duration=293386569822 eval_count=935 eval_duration=54443512684 message=Message(role='assistant', content='```\nPREFIX rdf: &lt;http://www.w3.org/1999/02/22-rdf-syntax-ns#&gt;\nPREFIX rdfs: &lt;http://www.w3.org/2002/07/rdfc#&gt;\nPREFIX dc: &lt;http://purl.org/dc/elements/1.1/&gt;\nPREFIX dcterms: &lt;http://purl.org/dc/terms/&gt;\nPREFIX foaf: &lt;http://xmlns.com/foaf/0.1/&gt;\nPREFIX ns1: &lt;http://dbkwik.webdatacommons.org/marvel.wikia.com/property#&gt;\nPREFIX ns2: &lt;http://schema.org/&gt;\nPREFIX ns3: &lt;http://dbkwik.webdatacommons.org/marvel.wikia.com/property/&gt;\nPREFIX owl: &lt;http://www.w3.org/2002/07/owl#&gt;\nPREFIX rdfsc: &lt;http://purl.org/rdfsc#&gt;\nPREFIX skos: &lt;http://www.w3.org/2004/02/skos#&gt;\nPREFIX xsd: &lt;http://www.w3.org/2001/XMLSchema#&gt;\n\n\nSELECT DISTINCT ?resource ?property ?value WHERE {\n    VALUES ?property (&lt;http://dbkwik.webdatacommons.org/marvel.wikia.com/class/alphatoc&gt; ,\n                      &lt;http://dbkwik.webdatacommons.org/marvel.wikia.com/class/also_on_wikipedia&gt; ,\n                      &lt;http://dbkwik.webdatacommons.org/marvel.wikia.com/class/apdeath&gt; ,\n                      &lt;http://dbkwik.webdatacommons.org/marvel.wikia.com/class/apnm&gt; ,\n                      &lt;http://dbkwik.webdatacommons.org/marvel.wikia.com/class/archub&gt; ,\n                      &lt;http://dbkwik.webdatacommons.org/marvel.wikia.com/class/arw2&gt; ,\n                      &lt;http://dbkwik.webdatacommons.org/marvel.wikia.com/class/caution&gt; ,\n                      &lt;http://dbkwik.webdatacommons.org/marvel.wikia.com/class/carving&gt; ,\n                      &lt;http://dbkwik.webdatacommons.org/marvel.wikia.com/class/charref&gt; ,\n                      &lt;http://dbkwik.webdatacommons.org/marvel.wikia.com/class/character&gt; ,\n                      &lt;http://dbkwik.webdatacommons.org/marvel.wikia.com/class/character_images&gt; ,\n                      &lt;http://dbkwik.webdatacommons.org/marvel.wikia.com/class/chatbox&gt; ,\n                      &lt;http://dbkwik.webdatacommons.org/marvel.wikia.com/class/cite_web&gt; ,\n                      &lt;http://dbkwik.webdatacommons.org/marvel.wikia.com/class/collection_page&gt; ,\n                      &lt;http://dbkwik.webdatacommons.org/marvel.wikia.com/class/computer&gt; ,\n                      &lt;http://dbkwik.webdatacommons.org/marvel.wikia.com/class/directors/nopi&gt; ,\n                      &lt;http://dbkwik.webdatacommons.org/marvel.wikia.com/class/discordintegrator&gt; ,\n                      &lt;http://dbkwik.webdatacommons.org/marvel.wikia.com/class/distinguish&gt; ,\n                      &lt;http://dbkwik.webdatacommons.org/marvel.wikia.com/class/eventhub&gt; ,\n                      &lt;http://dbkwik.webdatacommons.org/marvel.wikia.com/class/fact&gt; ,\n                      &lt;http://dbkwik.webdatacommons.org/marvel.wikia.com/class/flnm&gt; ,\n                      &lt;http://db', thinking=None, images=None, tool_calls=None)</t>
  </si>
  <si>
    <t>PREFIX ns7: &lt;http://dbkwik.webdatacommons.org/marvel.wikia.com/property/alternate232%60&gt;
PREFIX rdf: &lt;http://www.w3.org/1999/02/22-rdf-syntax-ns#&gt;
PREFIX rdfs: &lt;http://www.w3.org/2002/07/rdfc#&gt;
PREFIX dc: &lt;http://purl.org/dc/elements/1.1/&gt;
PREFIX dcterms: &lt;http://purl.org/dc/terms/&gt;
PREFIX foaf: &lt;http://xmlns.com/foaf/0.1/&gt;
PREFIX ns1: &lt;http://dbkwik.webdatacommons.org/marvel.wikia.com/property#&gt;
PREFIX ns2: &lt;http://schema.org/&gt;
PREFIX ns3: &lt;http://dbkwik.webdatacommons.org/marvel.wikia.com/property/&gt;
PREFIX owl: &lt;http://www.w3.org/2002/07/owl#&gt;
PREFIX rdfsc: &lt;http://purl.org/rdfsc#&gt;
PREFIX skos: &lt;http://www.w3.org/2004/02/skos#&gt;
PREFIX xsd: &lt;http://www.w3.org/2001/XMLSchema#&gt;
SELECT DISTINCT ?resource ?property ?value WHERE {
    VALUES ?property (&lt;http://dbkwik.webdatacommons.org/marvel.wikia.com/class/alphatoc&gt; ,
                      &lt;http://dbkwik.webdatacommons.org/marvel.wikia.com/class/also_on_wikipedia&gt; ,
                      &lt;http://dbkwik.webdatacommons.org/marvel.wikia.com/class/apdeath&gt; ,
                      &lt;http://dbkwik.webdatacommons.org/marvel.wikia.com/class/apnm&gt; ,
                      &lt;http://dbkwik.webdatacommons.org/marvel.wikia.com/class/archub&gt; ,
                      &lt;http://dbkwik.webdatacommons.org/marvel.wikia.com/class/arw2&gt; ,
                      &lt;http://dbkwik.webdatacommons.org/marvel.wikia.com/class/caution&gt; ,
                      &lt;http://dbkwik.webdatacommons.org/marvel.wikia.com/class/carving&gt; ,
                      &lt;http://dbkwik.webdatacommons.org/marvel.wikia.com/class/charref&gt; ,
                      &lt;http://dbkwik.webdatacommons.org/marvel.wikia.com/class/character&gt; ,
                      &lt;http://dbkwik.webdatacommons.org/marvel.wikia.com/class/character_images&gt; ,
                      &lt;http://dbkwik.webdatacommons.org/marvel.wikia.com/class/chatbox&gt; ,
                      &lt;http://dbkwik.webdatacommons.org/marvel.wikia.com/class/cite_web&gt; ,
                      &lt;http://dbkwik.webdatacommons.org/marvel.wikia.com/class/collection_page&gt; ,
                      &lt;http://dbkwik.webdatacommons.org/marvel.wikia.com/class/computer&gt; ,
                      &lt;http://dbkwik.webdatacommons.org/marvel.wikia.com/class/directors/nopi&gt; ,
                      &lt;http://dbkwik.webdatacommons.org/marvel.wikia.com/class/discordintegrator&gt; ,
                      &lt;http://dbkwik.webdatacommons.org/marvel.wikia.com/class/distinguish&gt; ,
                      &lt;http://dbkwik.webdatacommons.org/marvel.wikia.com/class/eventhub&gt; ,
                      &lt;http://dbkwik.webdatacommons.org/marvel.wikia.com/class/fact&gt; ,
                      &lt;http://dbkwik.webdatacommons.org/marvel.wikia.com/class/flnm&gt; ,
                      &lt;http://db</t>
  </si>
  <si>
    <t>{
  "cq_text": "What are all the available characters and their primary alias/real name?",
  "syntax_ok": false,
  "syntax_msg": "Unbalanced braces"
}</t>
  </si>
  <si>
    <t>Query:
```sparql
# Find all characters and their corresponding movie appearances based on the provided schema
SELECT DISTINCT ?character ?movieTitle WHERE {
  ?character a marvel:Character .
  ?character marvel:appearsIn ?movie .
  ?movie a marvel:Movie;
         marvel:title ?movieTitle .
}
```
This SPARQL query retrieves all Marvel characters and their associated movie titles by matching `marvel:Character` instances to their respective `marvel:Movie` entities through the `marvel:appearsIn` property. The query ensures only distinct results are returned, reducing redundancy.</t>
  </si>
  <si>
    <t>model='granite3.3:latest' created_at='2025-11-19T21:43:29.598600686Z' done=True done_reason='stop' total_duration=302052562120 load_duration=402714106 prompt_eval_count=114337 prompt_eval_duration=293499744619 eval_count=136 eval_duration=7864288732 message=Message(role='assistant', content='Query:\n```sparql\n# Find all characters and their corresponding movie appearances based on the provided schema\nSELECT DISTINCT ?character ?movieTitle WHERE {\n  ?character a marvel:Character .\n  ?character marvel:appearsIn ?movie .\n  ?movie a marvel:Movie;\n         marvel:title ?movieTitle .\n}\n```\nThis SPARQL query retrieves all Marvel characters and their associated movie titles by matching `marvel:Character` instances to their respective `marvel:Movie` entities through the `marvel:appearsIn` property. The query ensures only distinct results are returned, reducing redundancy.',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</si>
  <si>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Find all characters and their corresponding movie appearances based on the provided schema
SELECT DISTINCT ?character ?movieTitle WHERE {
  ?character a marvel:Character .
  ?character marvel:appearsIn ?movie .
  ?movie a marvel:Movie;
         marvel:title ?movieTitle .
}</t>
  </si>
  <si>
    <t>ERROR: QueryBadFormed: A bad request has been sent to the endpoint: probably the SPARQL query is badly formed. 
Response:
b'Parse error: Line 14, column 16: Unresolved prefixed name: marvel:Character\n'</t>
  </si>
  <si>
    <t>```rdf
@prefix dc: &lt;http://purl.org/dc/elements/1.1/&gt; .
@prefix dcterms: &lt;http://purl.org/dc/terms/&gt; .
@prefix foaf: &lt;http://xmlns.com/foaf/0.1/&gt; .
@prefix ns1: &lt;http://dbkwik.webdatacommons.org/marvel.wikia.com/property/&gt; .
@prefix ns2: &lt;http://dbkwik.webdatacommons.org/ontology#&gt; .
@prefix nso: &lt;http://www.w3.org/ns/prov#</t>
  </si>
  <si>
    <t>model='granite3.3:latest' created_at='2025-11-19T21:48:33.139613754Z' done=True done_reason='stop' total_duration=302707324040 load_duration=924789195 prompt_eval_count=114336 prompt_eval_duration=293396039690 eval_count=141 eval_duration=8099851469 message=Message(role='assistant', content='```rdf\n@prefix dc: &lt;http://purl.org/dc/elements/1.1/&gt; .\n@prefix dcterms: &lt;http://purl.org/dc/terms/&gt; .\n@prefix foaf: &lt;http://xmlns.com/foaf/0.1/&gt; .\n@prefix ns1: &lt;http://dbkwik.webdatacommons.org/marvel.wikia.com/property/&gt; .\n@prefix ns2: &lt;http://dbkwik.webdatacommons.org/ontology#&gt; .\n@prefix nso: &lt;http://www.w3.org/ns/prov#', thinking=None, images=None, tool_calls=None)</t>
  </si>
  <si>
    <t>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dc: &lt;http://purl.org/dc/elements/1.1/&gt; .
@prefix dcterms: &lt;http://purl.org/dc/terms/&gt; .
@prefix foaf: &lt;http://xmlns.com/foaf/0.1/&gt; .
@prefix ns1: &lt;http://dbkwik.webdatacommons.org/marvel.wikia.com/property/&gt; .
@prefix ns2: &lt;http://dbkwik.webdatacommons.org/ontology#&gt; .
@prefix nso: &lt;http://www.w3.org/ns/prov#</t>
  </si>
  <si>
    <t>{
  "cq_text": "What are all the actor\u2013character pairs (which actors portray which characters) available?",
  "syntax_ok": false,
  "syntax_msg": "No SPARQL form found"
}</t>
  </si>
  <si>
    <t># SPARQL Query
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In order to create a viable query, additional information is needed, specifically:
1. The specific property or chain of properties linking characters to their respective teams.
2. The specific property or chain of properties linking teams to the movies in which they appear.
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
Given the current state of the schema, it is necessary to infer or request additional details from the knowledge graph schema providers about how these elements are interconnected for a valid SPARQL construction:
```sparql
#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
```
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t>
  </si>
  <si>
    <t>model='granite3.3:latest' created_at='2025-11-19T21:53:59.626143746Z' done=True done_reason='stop' total_duration=325847178408 load_duration=423031772 prompt_eval_count=114345 prompt_eval_duration=293484903758 eval_count=543 eval_duration=31515026038 message=Message(role='assistant', content='# SPARQL Query\n\nTo retrieve all character-team-movie triples where a character is a member of a team and appears in a movie, using the given schema and context block, we would need to construct a SPARQL query that connects entities representing characters, teams, and movies through their relationships. However, since there\'s no direct linkage explicitly defined between these classes within the provided schema, a meaningful query cannot be directly created based on this schema alone. \n\nIn order to create a viable query, additional information is needed, specifically:\n1. The specific property or chain of properties linking characters to their respective teams.\n2. The specific property or chain of properties linking teams to the movies in which they appear.\n\nWithout these relationships defined explicitly within the schema, it\'s not possible to provide a direct SPARQL query satisfying the competency question with certainty. An ideal response would detail at least one property or clear inference rule indicating how characters are associated with teams and those teams correlate to movie appearances, possibly using properties such as `team_member` between character and team, and `movie_appearance` between team and movie.\n\nGiven the current state of the schema, it is necessary to infer or request additional details from the knowledge graph schema providers about how these elements are interconnected for a valid SPARQL construction:\n```sparql\n# Assuming hypothetical relationships (adjust with actual property names provided in updated schema)\nSELECT ?character ?teamName ?movieTitle \nWHERE {\n  ?character &lt;team_member&gt; ?team .\n  ?team &lt;movie_appears_in&gt; ?movie .\n  ?movie a &lt;Movie&gt;;\n       &lt;title&gt; ?movieTitle .\n  FILTER(langMatches(str(?movieTitle), "en"))  # Optional: Filter for English movie titles.\n}\n```\n\nThe above SPARQL query template is hypothetical and serves as an example based on the assumption that properties `team_member` (character to team) and `movie_appears_in` (team to movie) exist in a revised schema. It selects characters, their associated teams, and movies they appear in, filtering for English titles if specified. This query structure needs adjustment according to the actual property definitions in an updated, comprehensive schema that includes these relationships explicitly. \n\nWithout such detailed relational links between characters, teams, and movies as part of the provided schema, a concrete SPARQL query cannot be conclusively formulated from this data model. Additional details would enable constructing an accurate query to meet the competency question requirements.',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</si>
  <si>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Assuming hypothetical relationships (adjust with actual property names provided in updated schema)
SELECT ?character ?teamName ?movieTitle 
WHERE {
  ?character &lt;team_member&gt; ?team .
  ?team &lt;movie_appears_in&gt; ?movie .
  ?movie a &lt;Movie&gt;;
       &lt;title&gt; ?movieTitle .
  FILTER(langMatches(str(?movieTitle), "en"))  # Optional: Filter for English movie titles.
}</t>
  </si>
  <si>
    <t>{
  "cq_text": "What are all the character\u2013team\u2013movie triples available where a character is a member of a team and appears in a movie?",
  "syntax_ok": true,
  "satisfiable": false,
  "deterministic": true,
  "latency": {
    "p50_ms": 12.03,
    "p95_ms": 17.91,
    "mean_ms": 13.8
  },
  "rows": 0,
  "vars": 3,
  "always_unbound_vars": [
    "character",
    "teamName",
    "movieTitle"
  ],
  "lexical_query_overlap": 0.12,
  "semantic_similarity_to_CQ": 0.7,
  "semantic_soft_coverage_to_CQ": 0.86,
  "tuple_cohesion": null,
  "variables": [
    {
      "var": "character",
      "rows": 0,
      "distinct": 0,
      "null_rate": 1.0,
      "label_resolution_rate": 0.0,
      "diversity_entropy_norm": 0.0,
      "semantic_cohesion": 1.0,
      "dup_ratio": 0.0,
      "bound_rate": 0.0
    },
    {
      "var": "teamName",
      "rows": 0,
      "distinct": 0,
      "null_rate": 1.0,
      "label_resolution_rate": 0.0,
      "diversity_entropy_norm": 0.0,
      "semantic_cohesion": 1.0,
      "dup_ratio": 0.0,
      "bound_rate": 0.0
    },
    {
      "var": "movieTitle",
      "rows": 0,
      "distinct": 0,
      "null_rate": 1.0,
      "label_resolution_rate": 0.0,
      "diversity_entropy_norm": 0.0,
      "semantic_cohesion": 1.0,
      "dup_ratio": 0.0,
      "bound_rate": 0.0
    }
  ]
}</t>
  </si>
  <si>
    <t>["character", "teamName", "movieTitle"]</t>
  </si>
  <si>
    <t>[{"var": "character", "rows": 0, "distinct": 0, "null_rate": 1.0, "label_resolution_rate": 0.0, "diversity_entropy_norm": 0.0, "semantic_cohesion": 1.0, "dup_ratio": 0.0, "bound_rate": 0.0}, {"var": "teamName", "rows": 0, "distinct": 0, "null_rate": 1.0, "label_resolution_rate": 0.0, "diversity_entropy_norm": 0.0, "semantic_cohesion": 1.0, "dup_ratio": 0.0, "bound_rate": 0.0}, {"var": "movieTitle", "rows": 0, "distinct": 0, "null_rate": 1.0, "label_resolution_rate": 0.0, "diversity_entropy_norm": 0.0, "semantic_cohesion": 1.0, "dup_ratio": 0.0, "bound_rate": 0.0}]</t>
  </si>
  <si>
    <t>```json
{
  "query": "SELECT DISTINCT ?s WHERE { ?s &lt;http://dbkwik.webdatacommons.org/marvel.wikia.com/class/official_power_grid&gt; }",
  "results": [
    {
      "s": {
        "@id": "&lt;http://dbkwik.webdatacommons.org/marvel.wikia.com/resource/Anthony_Stark_(Earth-616)/Power_Grid&gt;",
        "@type": "owl:Class",
        "rdfs:comment": """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Marvel Database
"""
      },
      "rdf:type": "owl:Class",
      "rdfs:label": "Anthony Stark (Earth-616)/Power Grid",
      "xsd:string":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t>
  </si>
  <si>
    <t>model='granite3.3:latest' created_at='2025-11-19T21:59:49.792658332Z' done=True done_reason='stop' total_duration=349502442603 load_duration=402790816 prompt_eval_count=114344 prompt_eval_duration=293512949296 eval_count=945 eval_duration=55025001235 message=Message(role='assistant', content='```json\n{\n  "query": "SELECT DISTINCT ?s WHERE { ?s &lt;http://dbkwik.webdatacommons.org/marvel.wikia.com/class/official_power_grid&gt; }",\n  "results": [\n    {\n      "s": {\n        "@id": "&lt;http://dbkwik.webdatacommons.org/marvel.wikia.com/resource/Anthony_Stark_(Earth-616)/Power_Grid&gt;",\n        "@type": "owl:Class",\n        "rdfs:comment": """\n\n# Description\nTony Stark (Earth-616) / Power Grid\n\n\nTony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Marvel Database\n\n"""\n      },\n      "rdf:type": "owl:Class",\n      "rdfs:label": "Anthony Stark (Earth-616)/Power Grid",\n      "xsd:string": """# Description\nTony Stark (Earth-616) / Power Grid\n\nTony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needed]\nStark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II).\nStark Industries was heavily damaged during the siege of New York by Norman Osborn\'s Dark Avengers. However, it survived and was later moved to new facilities in California.[citation needed]\n\n# History\n* [http://marvel.wikia.com/Tony_Stark_(Earth-616) Tony Stark (Earth-616)] on Mar',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</si>
  <si>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?s WHERE { ?s &lt;http://dbkwik.webdatacommons.org/marvel.wikia.com/class/official_power_grid&gt; }",
  "results": [
    {
      "s": {
        "@id": "&lt;http://dbkwik.webdatacommons.org/marvel.wikia.com/resource/Anthony_Stark_(Earth-616)/Power_Grid&gt;",
        "@type": "owl:Class",
        "rdfs:comment": """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Marvel Database
"""
      },
      "rdf:type": "owl:Class",
      "rdfs:label": "Anthony Stark (Earth-616)/Power Grid",
      "xsd:string": """# Description
Tony Stark (Earth-616) / Power Grid
Tony Stark is the head of Stark Enterprises, a multinational conglomerate specializing in high tech weaponry and arms dealing. His companies' main facilities are located in New York City but there have been other branches across the globe as well, such as Cairo, Dubai, Hong Kong and more.[citation needed]
Stark Industries is often portrayed as having secretive ties with various governments. It has been involved in creating advanced weaponry for villains like A.I.M., HYDRA, U-Men and other clandestine organizations. However Tony also created technology used by superhero teams such as Avengers, Guardians of the Galaxy, Defenders, West Coast Avengers, Force Works and the Secret Avengers, as well as by normal law enforcement agencies like S.H.I.E.L.D.. He invented his famous Iron Man Armor and many other suits which have been used by himself, as well as by others like James Rhodes, Michael O'Brien (Iron Patriot), Antonio "Toni" Hounsou (Iron Fist IV) and even his own daughter Morgan Stark (Iron Patriot II).
Stark Industries was heavily damaged during the siege of New York by Norman Osborn's Dark Avengers. However, it survived and was later moved to new facilities in California.[citation needed]
# History
* [http://marvel.wikia.com/Tony_Stark_(Earth-616) Tony Stark (Earth-616)] on Mar</t>
  </si>
  <si>
    <t>{
  "cq_text": "What are all the character\u2013power\u2013movie triples available with respect to characters with specific powers and the movies they appear in?",
  "syntax_ok": false,
  "syntax_msg": "Unbalanced braces"
}</t>
  </si>
  <si>
    <t>## Response
Here is the SPARQL query to answer the given competency question based on the provided schema and context:
```sparql
PREFIX rdf: &lt;http://www.w3.org/1999/02/22-rdf-syntax-ns#&gt;
PREFIX rdfs: &lt;http://www.w3.org/2000/01/rdf-schema#&gt;
PREFIX foaf: &lt;http://xmlns.com/foaf/0.1/&gt;
PREFIX dc: &lt;http://purl.org/dc/elements/1.1/&gt;
PREFIX ns1: &lt;http://dbkwik.webdatacommons.org/marvel.wikia.com/ns#&gt;
PREFIX skos: &lt;http://www.w3.org/2004/02/skos#&gt;
SELECT DISTINCT ?character_pair ?movie ?releaseYear WHERE {
  {
    SELECT DISTINCT ?character1 ?name ?character2 ?storyline ?image ?movie ?releaseYear
    WHERE {
      ?character1 rdf:type ns1:class/merge .
      OPTIONAL {
        ?character1 foaf:focus &lt;http://dbkwik.webdatacommons.org/marvel.wikia.com/resource/$_Maje$tic&gt; .
        BIND(md5(str(?character1)) AS ?image)
      }
      OPTIONAL {
        ?character2 rdf:type ns1:class/merge .
        FILTER NOT EXISTS { ?character2 foaf:focus &lt;http://dbkwik.webdatacommons.org/marvel.wikia.com/resource/$_Maje$tic&gt; }
        BIND(md5(str(?character2)) AS ?image2)
      }
    OPTIONAL {
      ?storyline rdfs:label "Co-appearances" .
      ?storyline dc:title "Characters" .
      ?storyline ns1:box ?coAppearancesBox .
      ?coAppearancesBox ns1:boxItem ?characterPair .
      BIND(md5(str(?characterPair)) AS ?imagePair)
    }
    FILTER EXISTS {
      ?coAppearancesBox ns1:boxItem ?characterPair .
      ?characterPair rdf:type ns1:class/merge_to .
      FILTER regex(str(?characterPair), "^[^.]+$") # Ensure there are no periods
    }
    OPTIONAL {
      ?movie dc:title "Movie" .
      ?movie dc:subject ?releaseYear .
      BIND(md5(str(?movie)) AS ?imageMovie)
    }
    OPTIONAL {
      ?storyline rdfs:label "Film appearances" .
      ?storyline ns1:image ?imageMovie
    }
    VALUES (?character1 ?name) {
      (&lt;http://dbkwik.webdatacommons.org/marvel.wikia.com/resource/$_Maje$tic&gt; "$$ Maje$tic")
    }
  }
} GROUP BY ?character_pair ?movie ?releaseYear
HAVING(COUNT(DISTINCT ?name) = 2)
```
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t>
  </si>
  <si>
    <t>model='granite3.3:latest' created_at='2025-11-19T22:05:29.644384164Z' done=True done_reason='stop' total_duration=339497826836 load_duration=666534797 prompt_eval_count=114340 prompt_eval_duration=293485600720 eval_count=771 eval_duration=44844256472 message=Message(role='assistant', content='## Response\n\nHere is the SPARQL query to answer the given competency question based on the provided schema and context:\n\n```sparql\nPREFIX rdf: &lt;http://www.w3.org/1999/02/22-rdf-syntax-ns#&gt;\nPREFIX rdfs: &lt;http://www.w3.org/2000/01/rdf-schema#&gt;\nPREFIX foaf: &lt;http://xmlns.com/foaf/0.1/&gt;\nPREFIX dc: &lt;http://purl.org/dc/elements/1.1/&gt;\nPREFIX ns1: &lt;http://dbkwik.webdatacommons.org/marvel.wikia.com/ns#&gt;\nPREFIX skos: &lt;http://www.w3.org/2004/02/skos#&gt;\n\nSELECT DISTINCT ?character_pair ?movie ?releaseYear WHERE {\n  {\n    SELECT DISTINCT ?character1 ?name ?character2 ?storyline ?image ?movie ?releaseYear\n    WHERE {\n      ?character1 rdf:type ns1:class/merge .\n      OPTIONAL {\n        ?character1 foaf:focus &lt;http://dbkwik.webdatacommons.org/marvel.wikia.com/resource/$_Maje$tic&gt; .\n        BIND(md5(str(?character1)) AS ?image)\n      }\n      OPTIONAL {\n        ?character2 rdf:type ns1:class/merge .\n        FILTER NOT EXISTS { ?character2 foaf:focus &lt;http://dbkwik.webdatacommons.org/marvel.wikia.com/resource/$_Maje$tic&gt; }\n        BIND(md5(str(?character2)) AS ?image2)\n      }\n    OPTIONAL {\n      ?storyline rdfs:label "Co-appearances" .\n      ?storyline dc:title "Characters" .\n      ?storyline ns1:box ?coAppearancesBox .\n      ?coAppearancesBox ns1:boxItem ?characterPair .\n      BIND(md5(str(?characterPair)) AS ?imagePair)\n    }\n    FILTER EXISTS {\n      ?coAppearancesBox ns1:boxItem ?characterPair .\n      ?characterPair rdf:type ns1:class/merge_to .\n      FILTER regex(str(?characterPair), "^[^.]+$") # Ensure there are no periods\n    }\n    OPTIONAL {\n      ?movie dc:title "Movie" .\n      ?movie dc:subject ?releaseYear .\n      BIND(md5(str(?movie)) AS ?imageMovie)\n    }\n    OPTIONAL {\n      ?storyline rdfs:label "Film appearances" .\n      ?storyline ns1:image ?imageMovie\n    }\n    VALUES (?character1 ?name) {\n      (&lt;http://dbkwik.webdatacommons.org/marvel.wikia.com/resource/$_Maje$tic&gt; "$$ Maje$tic")\n    }\n  }\n} GROUP BY ?character_pair ?movie ?releaseYear\nHAVING(COUNT(DISTINCT ?name) = 2)\n```\n\nThis query is designed to identify character pairs that have co-appeared in at least two movies, using the schema provided. It identifies `ns1:class/merge` entities, cross-references their connections through the `ns1:boxItem`, and retrieves additional details such as images if available. The results are grouped by character pairs and movies with their release years, ensuring both characters appear in at least two co-appearing movies as stipulated by the competency question.', thinking=None, images=None, tool_calls=None)</t>
  </si>
  <si>
    <t>PREFIX dcterms: &lt;http://purl.org/dc/terms/&gt;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rdf: &lt;http://www.w3.org/1999/02/22-rdf-syntax-ns#&gt;
PREFIX rdfs: &lt;http://www.w3.org/2000/01/rdf-schema#&gt;
PREFIX foaf: &lt;http://xmlns.com/foaf/0.1/&gt;
PREFIX dc: &lt;http://purl.org/dc/elements/1.1/&gt;
PREFIX ns1: &lt;http://dbkwik.webdatacommons.org/marvel.wikia.com/ns#&gt;
PREFIX skos: &lt;http://www.w3.org/2004/02/skos#&gt;
SELECT DISTINCT ?character_pair ?movie ?releaseYear WHERE {
  {
    SELECT DISTINCT ?character1 ?name ?character2 ?storyline ?image ?movie ?releaseYear
    WHERE {
      ?character1 rdf:type ns1:class/merge .
      OPTIONAL {
        ?character1 foaf:focus &lt;http://dbkwik.webdatacommons.org/marvel.wikia.com/resource/$_Maje$tic&gt; .
        BIND(md5(str(?character1)) AS ?image)
      }
      OPTIONAL {
        ?character2 rdf:type ns1:class/merge .
        FILTER NOT EXISTS { ?character2 foaf:focus &lt;http://dbkwik.webdatacommons.org/marvel.wikia.com/resource/$_Maje$tic&gt; }
        BIND(md5(str(?character2)) AS ?image2)
      }
    OPTIONAL {
      ?storyline rdfs:label "Co-appearances" .
      ?storyline dc:title "Characters" .
      ?storyline ns1:box ?coAppearancesBox .
      ?coAppearancesBox ns1:boxItem ?characterPair .
      BIND(md5(str(?characterPair)) AS ?imagePair)
    }
    FILTER EXISTS {
      ?coAppearancesBox ns1:boxItem ?characterPair .
      ?characterPair rdf:type ns1:class/merge_to .
      FILTER regex(str(?characterPair), "^[^.]+$") # Ensure there are no periods
    }
    OPTIONAL {
      ?movie dc:title "Movie" .
      ?movie dc:subject ?releaseYear .
      BIND(md5(str(?movie)) AS ?imageMovie)
    }
    OPTIONAL {
      ?storyline rdfs:label "Film appearances" .
      ?storyline ns1:image ?imageMovie
    }
    VALUES (?character1 ?name) {
      (&lt;http://dbkwik.webdatacommons.org/marvel.wikia.com/resource/$_Maje$tic&gt; "$$ Maje$tic")
    }
  }
} GROUP BY ?character_pair ?movie ?releaseYear
HAVING(COUNT(DISTINCT ?name) = 2)</t>
  </si>
  <si>
    <t>{
  "cq_text": "What are all the pairs of characters that are linked through movies and co-appear in at least two movies?",
  "syntax_ok": false,
  "syntax_msg": "Unbalanced braces"
}</t>
  </si>
  <si>
    <t>I'm sorry, but it appears there's no clear question present in the provided text. The text you've shared is structured as metadata or labels about various categories and classes related to Marvel comics and their associated details, rather than a direct question requiring an answer. 
To assist effectively, please rephrase your request with a specific question regarding the Marvel universe's aspects described here, such as asking for information on a character, event, or category mentioned. For example, you could ask:
"Who is the creator of the comic series 'Marvel Comics Super Special' Volume 1?" 
If you need assistance with interpreting specific parts of this structured data about categories and classes in Marvel's universe, feel free to point out what part or concept you're interested in, and I'll do my best to provide relevant information.</t>
  </si>
  <si>
    <t>model='granite3.3:latest' created_at='2025-11-19T22:10:35.538188657Z' done=True done_reason='stop' total_duration=304935699360 load_duration=1109574104 prompt_eval_count=114333 prompt_eval_duration=293384976094 eval_count=176 eval_duration=10144233599 message=Message(role='assistant', content='I\'m sorry, but it appears there\'s no clear question present in the provided text. The text you\'ve shared is structured as metadata or labels about various categories and classes related to Marvel comics and their associated details, rather than a direct question requiring an answer. \n\nTo assist effectively, please rephrase your request with a specific question regarding the Marvel universe\'s aspects described here, such as asking for information on a character, event, or category mentioned. For example, you could ask:\n\n"Who is the creator of the comic series \'Marvel Comics Super Special\' Volume 1?" \n\nIf you need assistance with interpreting specific parts of this structured data about categories and classes in Marvel\'s universe, feel free to point out what part or concept you\'re interested in, and I\'ll do my best to provide relevant information.',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</si>
  <si>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described here, such as asking for information on a character, event, or category mentioned. For example, you could ask:
"Who is the creator of the comic series 'Marvel Comics Super Special' Volume 1?" 
If you need assistance with interpreting specific parts of this structured data about categories and classes in Marvel's universe, feel free to point out what part or concept you're interested in, and I'll do my best to provide relevant information.</t>
  </si>
  <si>
    <t>ERROR: QueryBadFormed: A bad request has been sent to the endpoint: probably the SPARQL query is badly formed. 
Response:
b'Parse error: Lexical error at line 13, column 10.  Encountered: \'32\' (32), after prefix "d"\n'</t>
  </si>
  <si>
    <t>Here is the SPARQL query to retrieve movies and teams that have at least one member appearing in them, based on the provided schema:
```sparql
PREFIX rdf: &lt;http://www.w3.org/1999/02/22-rdf-syntax-ns#&gt;
PREFIX rdfs: &lt;http://www.w3.org/2000/01/rdf-schema#&gt;
PREFIX skos: &lt;http://www.w3.org/2004/02/skos#&gt;
PREFIX ns1: &lt;http://dbkwik.webdatacommons.org/marvel.wikia.com/&gt;
SELECT DISTINCT ?movie ?team WHERE {
  ?movie a ns1:movie .
  OPTIONAL { ?movie ns1:teams ?team }
}
```
This query selects distinct movie titles (`?movie`) and associated teams (`?team`) that have members appearing in them by querying for `ns1:movie` instances and optionally linking to `ns1:teams`.</t>
  </si>
  <si>
    <t>model='granite3.3:latest' created_at='2025-11-19T22:15:43.349195805Z' done=True done_reason='stop' total_duration=307185747479 load_duration=482283662 prompt_eval_count=114338 prompt_eval_duration=293460063801 eval_count=224 eval_duration=12935686060 message=Message(role='assistant', content='Here is the SPARQL query to retrieve movies and teams that have at least one member appearing in them, based on the provided schema:\n```sparql\nPREFIX rdf: &lt;http://www.w3.org/1999/02/22-rdf-syntax-ns#&gt;\nPREFIX rdfs: &lt;http://www.w3.org/2000/01/rdf-schema#&gt;\nPREFIX skos: &lt;http://www.w3.org/2004/02/skos#&gt;\nPREFIX ns1: &lt;http://dbkwik.webdatacommons.org/marvel.wikia.com/&gt;\n\nSELECT DISTINCT ?movie ?team WHERE {\n  ?movie a ns1:movie .\n  OPTIONAL { ?movie ns1:teams ?team }\n}\n```\nThis query selects distinct movie titles (`?movie`) and associated teams (`?team`) that have members appearing in them by querying for `ns1:movie` instances and optionally linking to `ns1:teams`.', thinking=None, images=None, tool_calls=None)</t>
  </si>
  <si>
    <t>PREFIX dc: &lt;http://purl.org/dc/elements/1.1/&gt;
PREFIX dcterms: &lt;http://purl.org/dc/terms/&gt;
PREFIX foaf: &lt;http://xmlns.com/foaf/0.1/&gt;
PREFIX ns2: &lt;http://dbkwik.webdatacommons.org/ontology/&gt;
PREFIX ns3: &lt;http://dbkwik.webdatacommons.org/marvel.wikia.com/property/%3&gt;
PREFIX ns7: &lt;http://dbkwik.webdatacommons.org/marvel.wikia.com/property/alternate232%60&gt;
PREFIX owl: &lt;http://www.w3.org/2002/07/owl#&gt;
PREFIX xsd: &lt;http://www.w3.org/2001/XMLSchema#&gt;
PREFIX rdf: &lt;http://www.w3.org/1999/02/22-rdf-syntax-ns#&gt;
PREFIX rdfs: &lt;http://www.w3.org/2000/01/rdf-schema#&gt;
PREFIX skos: &lt;http://www.w3.org/2004/02/skos#&gt;
PREFIX ns1: &lt;http://dbkwik.webdatacommons.org/marvel.wikia.com/&gt;
SELECT DISTINCT ?movie ?team WHERE {
  ?movie a ns1:movie .
  OPTIONAL { ?movie ns1:teams ?team }
}</t>
  </si>
  <si>
    <t>{
  "cq_text": "What are all the movies and the set of teams that have at least one member appearing in them?",
  "syntax_ok": true,
  "satisfiable": false,
  "deterministic": true,
  "latency": {
    "p50_ms": 17.3,
    "p95_ms": 17.32,
    "mean_ms": 17.07
  },
  "rows": 0,
  "vars": 2,
  "always_unbound_vars": [
    "movie",
    "team"
  ],
  "lexical_query_overlap": 0.0,
  "semantic_similarity_to_CQ": 0.78,
  "semantic_soft_coverage_to_CQ": 0.75,
  "tuple_cohesion": null,
  "variables": [
    {
      "var": "movie",
      "rows": 0,
      "distinct": 0,
      "null_rate": 1.0,
      "label_resolution_rate": 0.0,
      "diversity_entropy_norm": 0.0,
      "semantic_cohesion": 1.0,
      "dup_ratio": 0.0,
      "bound_rate": 0.0
    },
    {
      "var": "team",
      "rows": 0,
      "distinct": 0,
      "null_rate": 1.0,
      "label_resolution_rate": 0.0,
      "diversity_entropy_norm": 0.0,
      "semantic_cohesion": 1.0,
      "dup_ratio": 0.0,
      "bound_rate": 0.0
    }
  ]
}</t>
  </si>
  <si>
    <t>Here is the generated SPARQL query to retrieve locations associated with characters based on the provided schema and competency question regarding characters appearing in locations from the data: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
```
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t>
  </si>
  <si>
    <t>model='granite3.3:latest' created_at='2025-11-19T22:21:01.939588034Z' done=True done_reason='stop' total_duration=317778623938 load_duration=664060498 prompt_eval_count=114341 prompt_eval_duration=293500493864 eval_count=401 eval_duration=23242991886 message=Message(role='assistant', content='Here is the generated SPARQL query to retrieve locations associated with characters based on the provided schema and competency question regarding characters appearing in locations from the data:\n```sparql\nPREFIX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rdfs: &lt;http://www.w3.org/2000/01/rdf-schema#&gt;\nPREFIX skos: &lt;http://www.w3.org/2004/02/skos/core#&gt;\nPREFIX xsd: &lt;http://www.w3.org/2001/XMLSchema#&gt;\n\nSELECT DISTINCT ?location ?character WHERE {\n  ?character a ns1:cdivAlign ;\n  ns1:appearing ?location .\n}\n```\nThis query is designed to find characters that have an appearing relationship with a location, based on the `ns1:appearing` predicate indicating their association. The specifics of this relationship (e.g., which URI identifies "appearance") depend on how the data schema is structured with regards to connecting characters to locations. The actual retrieval would rely on having correctly modeled instances where characters have been associated with places within the given ontology or RDF dataset.', thinking=None, images=None, tool_calls=None)</t>
  </si>
  <si>
    <t>PREFIX ns7: &lt;http://dbkwik.webdatacommons.org/marvel.wikia.com/property/alternate232%60&gt;
PREFIX rdf: &lt;http://www.w3.org/1999/02/22-rdf-syntax-ns#&gt;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rdfs: &lt;http://www.w3.org/2000/01/rdf-schema#&gt;
PREFIX skos: &lt;http://www.w3.org/2004/02/skos/core#&gt;
PREFIX xsd: &lt;http://www.w3.org/2001/XMLSchema#&gt;
SELECT DISTINCT ?location ?character WHERE {
  ?character a ns1:cdivAlign ;
  ns1:appearing ?location .
}</t>
  </si>
  <si>
    <t>{
  "cq_text": "What are all locations that are associated with at least one character appearance (e.g., origin or major setting)?",
  "syntax_ok": true,
  "satisfiable": false,
  "deterministic": true,
  "latency": {
    "p50_ms": 16.64,
    "p95_ms": 16.72,
    "mean_ms": 15.56
  },
  "rows": 0,
  "vars": 2,
  "always_unbound_vars": [
    "location",
    "character"
  ],
  "lexical_query_overlap": 0.04,
  "semantic_similarity_to_CQ": 0.6,
  "semantic_soft_coverage_to_CQ": 0.73,
  "tuple_cohesion": null,
  "variables": [
    {
      "var": "location",
      "rows": 0,
      "distinct": 0,
      "null_rate": 1.0,
      "label_resolution_rate": 0.0,
      "diversity_entropy_norm": 0.0,
      "semantic_cohesion": 1.0,
      "dup_ratio": 0.0,
      "bound_rate": 0.0
    },
    {
      "var": "character",
      "rows": 0,
      "distinct": 0,
      "null_rate": 1.0,
      "label_resolution_rate": 0.0,
      "diversity_entropy_norm": 0.0,
      "semantic_cohesion": 1.0,
      "dup_ratio": 0.0,
      "bound_rate": 0.0
    }
  ]
}</t>
  </si>
  <si>
    <t>["location", "character"]</t>
  </si>
  <si>
    <t>[{"var": "location", "rows": 0, "distinct": 0, "null_rate": 1.0, "label_resolution_rate": 0.0, "diversity_entropy_norm": 0.0, "semantic_cohesion": 1.0, "dup_ratio": 0.0, "bound_rate": 0.0}, {"var": "character", "rows": 0, "distinct": 0, "null_rate": 1.0, "label_resolution_rate": 0.0, "diversity_entropy_norm": 0.0, "semantic_cohesion": 1.0, "dup_ratio": 0.0, "bound_rate": 0.0}]</t>
  </si>
  <si>
    <t># Response with SPARQL query
```sparql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
```</t>
  </si>
  <si>
    <t>model='granite3.3:latest' created_at='2025-11-19T22:26:17.250255112Z' done=True done_reason='stop' total_duration=315010439280 load_duration=416664661 prompt_eval_count=114331 prompt_eval_duration=293467324541 eval_count=359 eval_duration=20776116378 message=Message(role='assistant', content='# Response with SPARQL query\n\n```sparql\nPREFIX dc: &lt;http://purl.org/dc/elements/1.1/&gt;\nPREFIX dcterms: &lt;http://purl.org/dc/terms/&gt;\nPREFIX foaf: &lt;http://xmlns.com/foaf/0.1/&gt;\nPREFIX ns1: &lt;http://dbkwik.webdatacommons.org/marvel.wikia.com/property/&gt;\nPREFIX ns2: &lt;http://dbkwik.webdatacommons.org/ontology#&gt;\nPREFIX ns3: &lt;http://dbkwik.webdatacommons.org/marvel.wikia.com/property#&gt;\nPREFIX owl: &lt;http://www.w3.org/2002/07/owl#&gt;\nPREFIX rdf: &lt;http://www.w3.org/1999/02/22-rdf-syntax-ns#&gt;\nPREFIX rdfs: &lt;http://www.w3.org/2000/01/rdf-schema#&gt;\nPREFIX skos: &lt;http://www.w3.org/2004/02/skos/core#&gt;\nPREFIX xsd: &lt;http://www.w3.org/2001/XMLSchema#&gt;\n\n\n# SPARQL query to retrieve director and actor pairs linked through movies from the given schema\nSELECT DISTINCT ?directorName ?actorName WHERE {\n    ?movie ns1:movies ?director;\n           ns1:featured ?actor .\n    ?director foaf:name ?directorName .\n    ?actor foaf:name ?actorName .\n}\n```', thinking=None, images=None, tool_calls=None)</t>
  </si>
  <si>
    <t>PREFIX ns7: &lt;http://dbkwik.webdatacommons.org/marvel.wikia.com/property/alternate232%60&gt;
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&lt;http://dbkwik.webdatacommons.org/marvel.wikia.com/property#&gt;
PREFIX owl: &lt;http://www.w3.org/2002/07/owl#&gt;
PREFIX rdf: &lt;http://www.w3.org/1999/02/22-rdf-syntax-ns#&gt;
PREFIX rdfs: &lt;http://www.w3.org/2000/01/rdf-schema#&gt;
PREFIX skos: &lt;http://www.w3.org/2004/02/skos/core#&gt;
PREFIX xsd: &lt;http://www.w3.org/2001/XMLSchema#&gt;
# SPARQL query to retrieve director and actor pairs linked through movies from the given schema
SELECT DISTINCT ?directorName ?actorName WHERE {
    ?movie ns1:movies ?director;
           ns1:featured ?actor .
    ?director foaf:name ?directorName .
    ?actor foaf:name ?actorName .
}</t>
  </si>
  <si>
    <t>{
  "cq_text": "What are all the director\u2013actor pairs linked through movies available?",
  "syntax_ok": true,
  "satisfiable": false,
  "deterministic": true,
  "latency": {
    "p50_ms": 24.89,
    "p95_ms": 26.56,
    "mean_ms": 23.59
  },
  "rows": 0,
  "vars": 2,
  "always_unbound_vars": [
    "directorName",
    "actorName"
  ],
  "lexical_query_overlap": 0.12,
  "semantic_similarity_to_CQ": 0.75,
  "semantic_soft_coverage_to_CQ": 0.78,
  "tuple_cohesion": null,
  "variables": [
    {
      "var": "directorName",
      "rows": 0,
      "distinct": 0,
      "null_rate": 1.0,
      "label_resolution_rate": 0.0,
      "diversity_entropy_norm": 0.0,
      "semantic_cohesion": 1.0,
      "dup_ratio": 0.0,
      "bound_rate": 0.0
    },
    {
      "var": "actorName",
      "rows": 0,
      "distinct": 0,
      "null_rate": 1.0,
      "label_resolution_rate": 0.0,
      "diversity_entropy_norm": 0.0,
      "semantic_cohesion": 1.0,
      "dup_ratio": 0.0,
      "bound_rate": 0.0
    }
  ]
}</t>
  </si>
  <si>
    <t>["directorName", "actorName"]</t>
  </si>
  <si>
    <t>[{"var": "directorName", "rows": 0, "distinct": 0, "null_rate": 1.0, "label_resolution_rate": 0.0, "diversity_entropy_norm": 0.0, "semantic_cohesion": 1.0, "dup_ratio": 0.0, "bound_rate": 0.0}, {"var": "actorName", "rows": 0, "distinct": 0, "null_rate": 1.0, "label_resolution_rate": 0.0, "diversity_entropy_norm": 0.0, "semantic_cohesion": 1.0, "dup_ratio": 0.0, "bound_rate": 0.0}]</t>
  </si>
  <si>
    <t>```python
# Solution with code to query the provided schema using SPARQL and output the data
from rdflib import Graph, URIRef, Namespace, Literal
from rdflib.namespace import RDF, RDFS, FOAF, DCTerms
# Define namespaces for the given schema
EX = Namespace("http://dbkwik.webdatacommons.org/marvel.wikia.com/")
# Load the provided data into an in-memory graph
g = Graph()
g.parse("data.ttl", format="turtle")
# Define a query to retrieve distinct powers and associated characters
query = """
    PREFIX ex: &lt;http://dbkwik.webdatacommons.org/marvel.wikia.com/&gt;
    SELECT DISTINCT ?power ?character
    WHERE {
        ?character ex:powers ?power .
    }
"""
results = g.query(query)
# Process and print the results
print("Distinct powers and associated characters:")
for row in results:
    power, character = row[0], row[1]
    print(f"Power: {power} - Character: {character}")
```</t>
  </si>
  <si>
    <t>model='granite3.3:latest' created_at='2025-11-19T22:31:26.345880073Z' done=True done_reason='stop' total_duration=308795817942 load_duration=440942671 prompt_eval_count=114335 prompt_eval_duration=293426399912 eval_count=253 eval_duration=14601401754 message=Message(role='assistant', content='```python\n# Solution with code to query the provided schema using SPARQL and output the data\nfrom rdflib import Graph, URIRef, Namespace, Literal\nfrom rdflib.namespace import RDF, RDFS, FOAF, DCTerms\n\n# Define namespaces for the given schema\nEX = Namespace("http://dbkwik.webdatacommons.org/marvel.wikia.com/")\n# Load the provided data into an in-memory graph\ng = Graph()\n\ng.parse("data.ttl", format="turtle")\n\n# Define a query to retrieve distinct powers and associated characters\nquery = """\n    PREFIX ex: &lt;http://dbkwik.webdatacommons.org/marvel.wikia.com/&gt;\n    SELECT DISTINCT ?power ?character\n    WHERE {\n        ?character ex:powers ?power .\n    }\n"""\nresults = g.query(query)\n\n\n# Process and print the results\nprint("Distinct powers and associated characters:")\nfor row in results:\n    power, character = row[0], row[1]\n    print(f"Power: {power} - Character: {character}")\n```',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</si>
  <si>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 Solution with code to query the provided schema using SPARQL and output the data
from rdflib import Graph, URIRef, Namespace, Literal
from rdflib.namespace import RDF, RDFS, FOAF, DCTerms
# Define namespaces for the given schema
EX = Namespace("http://dbkwik.webdatacommons.org/marvel.wikia.com/")
# Load the provided data into an in-memory graph
g = Graph()
g.parse("data.ttl", format="turtle")
# Define a query to retrieve distinct powers and associated characters
query = """
    PREFIX ex: &lt;http://dbkwik.webdatacommons.org/marvel.wikia.com/&gt;
    SELECT DISTINCT ?power ?character
    WHERE {
        ?character ex:powers ?power .
    }
"""
results = g.query(query)
# Process and print the results
print("Distinct powers and associated characters:")
for row in results:
    power, character = row[0], row[1]
    print(f"Power: {power} - Character: {character}")</t>
  </si>
  <si>
    <t>ERROR: QueryBadFormed: A bad request has been sent to the endpoint: probably the SPARQL query is badly formed. 
Response:
b'Parse error: Encountered " &lt;STRING_LITERAL2&gt; "\\"\\" "" at line 17, column 1.\n'</t>
  </si>
  <si>
    <t>Here's the SPARQL query that aims to find pairs of characters co-appearing in movies, assuming the availability of movie data and relevant character properties such as `movies`:
```sparql
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
```
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t>
  </si>
  <si>
    <t>model='granite3.3:latest' created_at='2025-11-19T22:36:44.580182776Z' done=True done_reason='stop' total_duration=316825660265 load_duration=832259542 prompt_eval_count=114336 prompt_eval_duration=293340217994 eval_count=385 eval_duration=22285809078 message=Message(role='assistant', content="Here's the SPARQL query that aims to find pairs of characters co-appearing in movies, assuming the availability of movie data and relevant character properties such as `movies`:\n\n```sparql\nPREFIX rdf: &lt;http://www.w3.org/1999/02/22-rdf-syntax-ns#&gt;\nPREFIX rdfs: &lt;http://www.w3.org/2000/01/rdfc-glossary#&gt;\nPREFIX skos: &lt;http://www.w3.org/2004/02/skos#&gt;\nPREFIX xsd: &lt;http://www.w3.org/2001/XMLSchema#&gt;\n\n\nSELECT DISTINCT ?character1 ?character2\nWHERE {\n    # Assuming there are predicates to connect characters with movies and other characters appearing in the same movie\n  ?character1 a &lt;http://dbkwik.webdatacommons.org/marvel.wikia.com/class/cite_web&gt; .\n  ?character1 rdfs:seeAlso ?movie .\n  \n  # We are assuming 'movies' as the predicate connecting characters with movies, but it might need adjustment based on schema.\n  ?movie &lt;http://dbkwik.webdatacommons.org/marvel.wikia.com/resource/Has_Character&gt; ?character2 .\n\n  FILTER (?character1 != ?character2)\n}\n```\nThis query selects distinct pairs of characters (`?character1` and `?character2`) who have appeared together in a movie based on the presumed existence of `movies` and `Has_Character` relations. However, exact predicate names may vary depending on the schema's actual implementation. Adapt as necessary according to your specific RDF structure for connecting movies with characters and identifying co-appearances.",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</si>
  <si>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&lt;http://www.w3.org/2000/01/rdfc-glossary#&gt;
PREFIX skos: &lt;http://www.w3.org/2004/02/skos#&gt;
PREFIX xsd: &lt;http://www.w3.org/2001/XMLSchema#&gt;
SELECT DISTINCT ?character1 ?character2
WHERE {
    # Assuming there are predicates to connect characters with movies and other characters appearing in the same movie
  ?character1 a &lt;http://dbkwik.webdatacommons.org/marvel.wikia.com/class/cite_web&gt; .
  ?character1 rdfs:seeAlso ?movie .
  # We are assuming 'movies' as the predicate connecting characters with movies, but it might need adjustment based on schema.
  ?movie &lt;http://dbkwik.webdatacommons.org/marvel.wikia.com/resource/Has_Character&gt; ?character2 .
  FILTER (?character1 != ?character2)
}</t>
  </si>
  <si>
    <t>{
  "cq_text": "What are all the pairs of characters available that have co-appeared in a movie?",
  "syntax_ok": true,
  "satisfiable": false,
  "deterministic": true,
  "latency": {
    "p50_ms": 18.2,
    "p95_ms": 18.64,
    "mean_ms": 18.32
  },
  "rows": 0,
  "vars": 2,
  "always_unbound_vars": [
    "character1",
    "character2"
  ],
  "lexical_query_overlap": 0.1,
  "semantic_similarity_to_CQ": 0.62,
  "semantic_soft_coverage_to_CQ": 0.86,
  "tuple_cohesion": null,
  "variables": [
    {
      "var": "character1",
      "rows": 0,
      "distinct": 0,
      "null_rate": 1.0,
      "label_resolution_rate": 0.0,
      "diversity_entropy_norm": 0.0,
      "semantic_cohesion": 1.0,
      "dup_ratio": 0.0,
      "bound_rate": 0.0
    },
    {
      "var": "character2",
      "rows": 0,
      "distinct": 0,
      "null_rate": 1.0,
      "label_resolution_rate": 0.0,
      "diversity_entropy_norm": 0.0,
      "semantic_cohesion": 1.0,
      "dup_ratio": 0.0,
      "bound_rate": 0.0
    }
  ]
}</t>
  </si>
  <si>
    <t>["character1", "character2"]</t>
  </si>
  <si>
    <t>[{"var": "character1", "rows": 0, "distinct": 0, "null_rate": 1.0, "label_resolution_rate": 0.0, "diversity_entropy_norm": 0.0, "semantic_cohesion": 1.0, "dup_ratio": 0.0, "bound_rate": 0.0}, {"var": "character2", "rows": 0, "distinct": 0, "null_rate": 1.0, "label_resolution_rate": 0.0, "diversity_entropy_norm": 0.0, "semantic_cohesion": 1.0, "dup_ratio": 0.0, "bound_rate": 0.0}]</t>
  </si>
  <si>
    <t>---
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
A SPARQL query could look something like this:
```sparql
SELECT DISTINCT ?character (COUNT(DISTINCT ?movie) AS ?countMoviesAppearingIn) WHERE {
  ?character a &lt;http://dbkwik.webdatacommons.org/marvel.wikia.com/class/cnst&gt; .
  OPTIONAL {
    ?character &lt;http://dbkwik.webdatacommons.org/marvel.wikia.com/resource/appears_in&gt; ?movie .
  }
} GROUP BY ?character
```
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
If there's more specific information or additional relationships (e.g., `Movie`, `Character`, and `appears_in`) within your schema, you might adjust the query accordingly.</t>
  </si>
  <si>
    <t>model='granite3.3:latest' created_at='2025-11-19T22:42:01.970548172Z' done=True done_reason='stop' total_duration=316601433717 load_duration=836172527 prompt_eval_count=114331 prompt_eval_duration=293387666301 eval_count=380 eval_duration=22004667897 message=Message(role='assistant', content="---\n\nTo generate SPARQL queries that answer the given competency question regarding how many movies each character appears in, we first need to identify relevant classes and properties from the provided schema. Given this limited context, I'll assume a basic model involving `Character` and `Movie` entities with relationships such as `appears_in`.\n\n\nA SPARQL query could look something like this:\n\n```sparql\nSELECT DISTINCT ?character (COUNT(DISTINCT ?movie) AS ?countMoviesAppearingIn) WHERE {\n  ?character a &lt;http://dbkwik.webdatacommons.org/marvel.wikia.com/class/cnst&gt; .\n  OPTIONAL {\n    ?character &lt;http://dbkwik.webdatacommons.org/marvel.wikia.com/resource/appears_in&gt; ?movie .\n  }\n} GROUP BY ?character\n```\nThis query aims to list each unique character that is defined as a `cnst` (likely for characters from comic series) and count the distinct number of movies they appear in by linking through `appears_in` property. Note that this assumes the existence of an 'appears_in' relationship which connects characters with their associated movies, and also assumes the character class includes a mechanism to uniquely identify each character (like `?character a &lt;http://dbkwik.webdatacommons.org/marvel.wikia.com/class/cnst&gt;`). Without further details from the schema, this is as specific as we can be in constructing a SPARQL query.\n\n\nIf there's more specific information or additional relationships (e.g., `Movie`, `Character`, and `appears_in`) within your schema, you might adjust the query accordingly.",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</si>
  <si>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DISTINCT ?character (COUNT(DISTINCT ?movie) AS ?countMoviesAppearingIn) WHERE {
  ?character a &lt;http://dbkwik.webdatacommons.org/marvel.wikia.com/class/cnst&gt; .
  OPTIONAL {
    ?character &lt;http://dbkwik.webdatacommons.org/marvel.wikia.com/resource/appears_in&gt; ?movie .
  }
} GROUP BY ?character</t>
  </si>
  <si>
    <t>{
  "cq_text": "How many movies does each character appear in (character appearance count)?",
  "syntax_ok": true,
  "satisfiable": true,
  "deterministic": true,
  "latency": {
    "p50_ms": 21.13,
    "p95_ms": 28.7,
    "mean_ms": 20.81
  },
  "rows": 35,
  "vars": 3,
  "always_unbound_vars": [
    "movie"
  ],
  "lexical_query_overlap": 0.04,
  "semantic_similarity_to_CQ": 0.65,
  "semantic_soft_coverage_to_CQ": 0.82,
  "tuple_cohesion": 0.84,
  "variables": [
    {
      "var": "character",
      "rows": 35,
      "distinct": 35,
      "null_rate": 0.0,
      "label_resolution_rate": 1.0,
      "diversity_entropy_norm": 1.0,
      "semantic_cohesion": 0.65,
      "dup_ratio": 0.0,
      "bound_rate": 1.0
    },
    {
      "var": "movie",
      "rows": 35,
      "distinct": 0,
      "null_rate": 1.0,
      "label_resolution_rate": 0.0,
      "diversity_entropy_norm": 0.0,
      "semantic_cohesion": 1.0,
      "dup_ratio": 0.0,
      "bound_rate": 0.0
    },
    {
      "var": "countMoviesAppearingIn",
      "rows": 35,
      "distinct": 1,
      "null_rate": 0.0,
      "label_resolution_rate": 1.0,
      "diversity_entropy_norm": -1.0,
      "semantic_cohesion": 1.0,
      "dup_ratio": 0.97,
      "bound_rate": 1.0
    }
  ]
}</t>
  </si>
  <si>
    <t>[{"var": "character", "rows": 35, "distinct": 35, "null_rate": 0.0, "label_resolution_rate": 1.0, "diversity_entropy_norm": 1.0, "semantic_cohesion": 0.65, "dup_ratio": 0.0, "bound_rate": 1.0}, {"var": "movie", "rows": 35, "distinct": 0, "null_rate": 1.0, "label_resolution_rate": 0.0, "diversity_entropy_norm": 0.0, "semantic_cohesion": 1.0, "dup_ratio": 0.0, "bound_rate": 0.0}, {"var": "countMoviesAppearingIn", "rows": 35, "distinct": 1, "null_rate": 0.0, "label_resolution_rate": 1.0, "diversity_entropy_norm": -1.0, "semantic_cohesion": 1.0, "dup_ratio": 0.97, "bound_rate": 1.0}]</t>
  </si>
  <si>
    <t>```python
# Sample SPARQL query to retrieve pairs of characters that co-appeared in multiple movies
PREFIX marvel: &lt;http://dbkwik.webdatacommons.org/marvel.wikia.com/ontology/&gt;
SELECT DISTINCT ?movie ?character1 ?character2
WHERE {
  # Assuming movie information is stored under the 'movies' property for characters
  ?movie a marvel:Movie ;
          marvel:appearedBy ?character1, ?character2 .
  # Ensure both characters co-appear in the same movie more than once
  {
    SELECT DISTINCT ?movie (COUNT(DISTINCT ?character) AS ?count)
    WHERE {
      ?movie marvel:appearedBy ?character .
      FILTER(?character IN (?character1, ?character2))
    }
    GROUP BY ?movie
    HAVING (?count &gt; 1)
  }
  # Bind the characters to variables for output
  BIND(&lt;http://dbkwik.webdatacommons.org/marvel.wikia.com/resource/%27Bu_Tones&gt; AS ?character1) .
  BIND(&lt;http://dbkwik.webdatacommons.org/marvel.wikia.com/resource/%27Aaron_Stark_(Earth-49089)&gt; AS ?character2) .
}
LIMIT 10
```
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t>
  </si>
  <si>
    <t>model='granite3.3:latest' created_at='2025-11-19T22:47:22.718163682Z' done=True done_reason='stop' total_duration=319576747101 load_duration=978433853 prompt_eval_count=114339 prompt_eval_duration=293425146512 eval_count=428 eval_duration=24788881068 message=Message(role='assistant', content="```python\n# Sample SPARQL query to retrieve pairs of characters that co-appeared in multiple movies\nPREFIX marvel: &lt;http://dbkwik.webdatacommons.org/marvel.wikia.com/ontology/&gt;\n\nSELECT DISTINCT ?movie ?character1 ?character2\nWHERE {\n  # Assuming movie information is stored under the 'movies' property for characters\n  ?movie a marvel:Movie ;\n          marvel:appearedBy ?character1, ?character2 .\n  \n  # Ensure both characters co-appear in the same movie more than once\n  {\n    SELECT DISTINCT ?movie (COUNT(DISTINCT ?character) AS ?count)\n    WHERE {\n      ?movie marvel:appearedBy ?character .\n      FILTER(?character IN (?character1, ?character2))\n    }\n    GROUP BY ?movie\n    HAVING (?count &gt; 1)\n  }\n  \n  # Bind the characters to variables for output\n  BIND(&lt;http://dbkwik.webdatacommons.org/marvel.wikia.com/resource/%27Bu_Tones&gt; AS ?character1) .\n  BIND(&lt;http://dbkwik.webdatacommons.org/marvel.wikia.com/resource/%27Aaron_Stark_(Earth-49089)&gt; AS ?character2) .\n}\nLIMIT 10\n```\nThis query assumes that movie appearances are directly linked to characters and counts co-appearances for each pair within the same movie. It's structured to select pairs of characters who have appeared together in more than one film. Adjustments would be necessary based on specific schema details of how 'movies' and character appearance data is stored and referenced in your knowledge graph model, as it assumes direct triples linking movies to characters with `marvel:appearedBy` property. The sample uses static values for demonstration purposes; in practice, these would be bound dynamically based on query variables or parameters reflecting actual character IDs in your dataset.&lt;/response&gt;",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</si>
  <si>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python
# Sample SPARQL query to retrieve pairs of characters that co-appeared in multiple movies
PREFIX marvel: &lt;http://dbkwik.webdatacommons.org/marvel.wikia.com/ontology/&gt;
SELECT DISTINCT ?movie ?character1 ?character2
WHERE {
  # Assuming movie information is stored under the 'movies' property for characters
  ?movie a marvel:Movie ;
          marvel:appearedBy ?character1, ?character2 .
  # Ensure both characters co-appear in the same movie more than once
  {
    SELECT DISTINCT ?movie (COUNT(DISTINCT ?character) AS ?count)
    WHERE {
      ?movie marvel:appearedBy ?character .
      FILTER(?character IN (?character1, ?character2))
    }
    GROUP BY ?movie
    HAVING (?count &gt; 1)
  }
  # Bind the characters to variables for output
  BIND(&lt;http://dbkwik.webdatacommons.org/marvel.wikia.com/resource/%27Bu_Tones&gt; AS ?character1) .
  BIND(&lt;http://dbkwik.webdatacommons.org/marvel.wikia.com/resource/%27Aaron_Stark_(Earth-49089)&gt; AS ?character2) .
}
LIMIT 10</t>
  </si>
  <si>
    <t>ERROR: QueryBadFormed: A bad request has been sent to the endpoint: probably the SPARQL query is badly formed. 
Response:
b'Parse error: BIND: Variable used when already in-scope: ?character1 in BIND(&lt;http://dbkwik.webdatacommons.org/marvel.wikia.com/resource/%27Bu_Tones&gt; AS ?character1)\n'</t>
  </si>
  <si>
    <t>Here's the generated SPARQL query based on your competency question, using the given schema and constraints. This query aims to identify all teams (as represented by the 'teames' property) along with their associated members who have appeared together:
```
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
```
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t>
  </si>
  <si>
    <t>model='granite3.3:latest' created_at='2025-11-19T22:52:39.813570223Z' done=True done_reason='stop' total_duration=315885810279 load_duration=1124463263 prompt_eval_count=114346 prompt_eval_duration=293399992975 eval_count=363 eval_duration=20999534816 message=Message(role='assistant', content='Here\'s the generated SPARQL query based on your competency question, using the given schema and constraints. This query aims to identify all teams (as represented by the \'teames\' property) along with their associated members who have appeared together:\n\n```\nPREFIX rdfs: &lt;http://www.w3.org/2002/07/rdfc&gt;\nPREFIX ns1: &lt;http://dbkwik.webdatacommons.org/marvel.wikia.com/&gt;\nPREFIX dc: &lt;http://purl.org/dc/elements/1.1/&gt;\nPREFIX dcterms: &lt;http://purl.org/dc/terms/&gt;\nPREFIX foaf: &lt;http://xmlns.com/foaf/0.1/&gt;\nPREFIX ns2: &lt;http://dbkwik.webdatacommons.org/marvel.wikia.com/ontology/&gt;\nPREFIX skos: &lt;http://www.w3.org/2004/02/skos#&gt;\n\nSELECT ?teamName WHERE {\n  ?member ns1:teames ?team .\n  FILTER(?team != &lt;http://dbkwik.webdatacommons.org/marvel.wikia.com/resource/A_Team&gt;) # Exclude non-related team.\n}\n```\nThis query assumes that the \'teames\' property directly connects members to their respective teams and filters out any irrelevant or unrelated team, specifically excluding "A-Team" as per your specification in comments. If the structure of the data changes or if there are other connections between team membership and characters not represented by \'teames\', adjustments might be needed for this query to work correctly.', thinking=None, images=None, tool_calls=None)</t>
  </si>
  <si>
    <t>PREFIX ns3: &lt;http://dbkwik.webdatacommons.org/marvel.wikia.com/property/%3&gt;
PREFIX ns7: &lt;http://dbkwik.webdatacommons.org/marvel.wikia.com/property/alternate232%60&gt;
PREFIX owl: &lt;http://www.w3.org/2002/07/owl#&gt;
PREFIX rdf: &lt;http://www.w3.org/1999/02/22-rdf-syntax-ns#&gt;
PREFIX xsd: &lt;http://www.w3.org/2001/XMLSchema#&gt;
PREFIX rdfs: &lt;http://www.w3.org/2002/07/rdfc&gt;
PREFIX ns1: &lt;http://dbkwik.webdatacommons.org/marvel.wikia.com/&gt;
PREFIX dc: &lt;http://purl.org/dc/elements/1.1/&gt;
PREFIX dcterms: &lt;http://purl.org/dc/terms/&gt;
PREFIX foaf: &lt;http://xmlns.com/foaf/0.1/&gt;
PREFIX ns2: &lt;http://dbkwik.webdatacommons.org/marvel.wikia.com/ontology/&gt;
PREFIX skos: &lt;http://www.w3.org/2004/02/skos#&gt;
SELECT ?teamName WHERE {
  ?member ns1:teames ?team .
  FILTER(?team != &lt;http://dbkwik.webdatacommons.org/marvel.wikia.com/resource/A_Team&gt;) # Exclude non-related team.
}</t>
  </si>
  <si>
    <t>{
  "cq_text": "What are all the unions of movies for each of the teams in which any of their members appear (team-level filmography)?",
  "syntax_ok": true,
  "satisfiable": false,
  "deterministic": true,
  "latency": {
    "p50_ms": 16.94,
    "p95_ms": 17.96,
    "mean_ms": 17.28
  },
  "rows": 0,
  "vars": 1,
  "always_unbound_vars": [
    "teamName"
  ],
  "lexical_query_overlap": 0.03,
  "semantic_similarity_to_CQ": 0.7,
  "semantic_soft_coverage_to_CQ": 0.75,
  "tuple_cohesion": null,
  "variables": [
    {
      "var": "teamName",
      "rows": 0,
      "distinct": 0,
      "null_rate": 1.0,
      "label_resolution_rate": 0.0,
      "diversity_entropy_norm": 0.0,
      "semantic_cohesion": 1.0,
      "dup_ratio": 0.0,
      "bound_rate": 0.0
    }
  ]
}</t>
  </si>
  <si>
    <t>["teamName"]</t>
  </si>
  <si>
    <t>[{"var": "teamName", "rows": 0, "distinct": 0, "null_rate": 1.0, "label_resolution_rate": 0.0, "diversity_entropy_norm": 0.0, "semantic_cohesion": 1.0, "dup_ratio": 0.0, "bound_rate": 0.0}]</t>
  </si>
  <si>
    <t>```
#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
```
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t>
  </si>
  <si>
    <t>model='granite3.3:latest' created_at='2025-11-19T22:57:51.220103008Z' done=True done_reason='stop' total_duration=310597050628 load_duration=574533761 prompt_eval_count=114340 prompt_eval_duration=293455765509 eval_count=281 eval_duration=16237554212 message=Message(role='assistant', content="```\n# SPARQL Query: Retrieving distinct characters with their powers, ranks and popularity from the provided schema (assuming relevant properties are labeled as 'name', 'power', 'rank', and 'popularity')\n\nSELECT DISTINCT ?characterName ?power ?rank ?popularity\nWHERE {\n    ?character a &lt;http://dbkwik.webdatacommons.org/marvel.wikia.com/class/character&gt; ;\n             rdfs:label ?characterName ;\n             &lt;http://dbkwik.webdatacommons.org/marvel.wikia.com/resource/power&gt; ?power ;\n             &lt;http://dbkwik.webdatacommons.org/marvel.wikia.com/resource/rank&gt; ?rank ;\n             &lt;http://dbkwik.webdatacommons.org/marvel.wikia.com/resource/popularity&gt; ?popularity .\n}\nORDER BY DESC(?popularity)\n```\nThis query retrieves distinct characters, their associated powers, ranks, and popularity from the Marvel database schema by selecting all entities that are of class 'character' with corresponding power, rank, and popularity. It then orders the results in descending order based on popularity for prioritizing more popular characters at the top of the result set.",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</si>
  <si>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 SPARQL Query: Retrieving distinct characters with their powers, ranks and popularity from the provided schema (assuming relevant properties are labeled as 'name', 'power', 'rank', and 'popularity')
SELECT DISTINCT ?characterName ?power ?rank ?popularity
WHERE {
    ?character a &lt;http://dbkwik.webdatacommons.org/marvel.wikia.com/class/character&gt; ;
             rdfs:label ?characterName ;
             &lt;http://dbkwik.webdatacommons.org/marvel.wikia.com/resource/power&gt; ?power ;
             &lt;http://dbkwik.webdatacommons.org/marvel.wikia.com/resource/rank&gt; ?rank ;
             &lt;http://dbkwik.webdatacommons.org/marvel.wikia.com/resource/popularity&gt; ?popularity .
}
ORDER BY DESC(?popularity)</t>
  </si>
  <si>
    <t>{
  "cq_text": "Who are the distinct characters that possess a power, their counts, and rank-ordered by popularity?",
  "syntax_ok": true,
  "satisfiable": false,
  "deterministic": true,
  "latency": {
    "p50_ms": 16.86,
    "p95_ms": 19.18,
    "mean_ms": 17.54
  },
  "rows": 0,
  "vars": 4,
  "always_unbound_vars": [
    "characterName",
    "power",
    "rank",
    "popularity"
  ],
  "lexical_query_overlap": 0.15,
  "semantic_similarity_to_CQ": 0.71,
  "semantic_soft_coverage_to_CQ": 0.79,
  "tuple_cohesion": null,
  "variables": [
    {
      "var": "characterName",
      "rows": 0,
      "distinct": 0,
      "null_rate": 1.0,
      "label_resolution_rate": 0.0,
      "diversity_entropy_norm": 0.0,
      "semantic_cohesion": 1.0,
      "dup_ratio": 0.0,
      "bound_rate": 0.0
    },
    {
      "var": "power",
      "rows": 0,
      "distinct": 0,
      "null_rate": 1.0,
      "label_resolution_rate": 0.0,
      "diversity_entropy_norm": 0.0,
      "semantic_cohesion": 1.0,
      "dup_ratio": 0.0,
      "bound_rate": 0.0
    },
    {
      "var": "rank",
      "rows": 0,
      "distinct": 0,
      "null_rate": 1.0,
      "label_resolution_rate": 0.0,
      "diversity_entropy_norm": 0.0,
      "semantic_cohesion": 1.0,
      "dup_ratio": 0.0,
      "bound_rate": 0.0
    },
    {
      "var": "popularity",
      "rows": 0,
      "distinct": 0,
      "null_rate": 1.0,
      "label_resolution_rate": 0.0,
      "diversity_entropy_norm": 0.0,
      "semantic_cohesion": 1.0,
      "dup_ratio": 0.0,
      "bound_rate": 0.0
    }
  ]
}</t>
  </si>
  <si>
    <t>["characterName", "power", "rank", "popularity"]</t>
  </si>
  <si>
    <t>[{"var": "characterName", "rows": 0, "distinct": 0, "null_rate": 1.0, "label_resolution_rate": 0.0, "diversity_entropy_norm": 0.0, "semantic_cohesion": 1.0, "dup_ratio": 0.0, "bound_rate": 0.0}, {"var": "power", "rows": 0, "distinct": 0, "null_rate": 1.0, "label_resolution_rate": 0.0, "diversity_entropy_norm": 0.0, "semantic_cohesion": 1.0, "dup_ratio": 0.0, "bound_rate": 0.0}, {"var": "rank", "rows": 0, "distinct": 0, "null_rate": 1.0, "label_resolution_rate": 0.0, "diversity_entropy_norm": 0.0, "semantic_cohesion": 1.0, "dup_ratio": 0.0, "bound_rate": 0.0}, {"var": "popularity", "rows": 0, "distinct": 0, "null_rate": 1.0, "label_resolution_rate": 0.0, "diversity_entropy_norm": 0.0, "semantic_cohesion": 1.0, "dup_ratio": 0.0, "bound_rate": 0.0}]</t>
  </si>
  <si>
    <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
```xml
&lt;?xml version="1.0" encoding="UTF-8"?&gt;
&lt;rdf:RDF
    xmlns:rdf="http://www.w3.org/1999/02/22-rdf-syntax-ns#"
    xmlns:rdfs="http://www.w3.org/2000/01/rdf-schema#"
    xmlns:dc="http://purl.org/dc/elements/1.1/"
    xmlns:foaf="http://xmlns.com/foaf/0.1/"
    xmlns:ns1="http://dbkwik.webdatacommons.org/marvel.wikia.com/schema#"&gt;
    &lt;rdf:Description rdf:about="http://dbkwik.webdatacommons.org/marvel.wikia.com/resource/$_Cult_(Earth-93060)"&gt;
        &lt;rdfs:comment&gt;ru:Альбом с музыкальными альбомами Доктора Страс&lt;/rdfs:comment&gt;
    &lt;/rdf:Description&gt;
    &lt;!-- Additional RDF descriptions would be provided for each distinct entity here --&gt;
&lt;/rdf:RDF&gt;
```
For a more comprehensive query focusing on extracting specific data based on your class hierarchy, let's create an example of how you might write a SPARQL query to find all entities that are instances of `main` class (indicating major elements or countries in this context):
```sparql
PREFIX rdf: &lt;http://www.w3.org/1999/02/22-rdf-syntax-ns#&gt;
PREFIX rdfs: &lt;http://www.w3.org/2000/01/rdf-schema#&gt;
PREFIX foaf: &lt;http://xmlns.com/foaf/0.1/&gt;
PREFIX dc: &lt;http://purl.org/dc/elements/1.1/&gt;
SELECT DISTINCT ?entity ?label WHERE {
    ?entity a &lt;http://dbkwik.webdatacommons.org/marvel.wikia.com/class/main&gt; .
    OPTIONAL { ?entity rdfs:label ?label } .
    FILTER (lang(?label) = "en")
}
```
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t>
  </si>
  <si>
    <t>model='granite3.3:latest' created_at='2025-11-19T23:03:24.036179956Z' done=True done_reason='stop' total_duration=331923364214 load_duration=938310496 prompt_eval_count=114340 prompt_eval_duration=293426698824 eval_count=639 eval_duration=37108262254 message=Message(role='assistant', content='I have provided the SPARQL query based on your schema. Since the original text appears to be in a complex, non-standard RDF format with multiple nested properties and class definitions interspersed within character data, I\'ve structured it into a well-formed RDF/XML format that aligns with standard RDF practices:\n\n```xml\n&lt;?xml version="1.0" encoding="UTF-8"?&gt;\n&lt;rdf:RDF\n    xmlns:rdf="http://www.w3.org/1999/02/22-rdf-syntax-ns#"\n    xmlns:rdfs="http://www.w3.org/2000/01/rdf-schema#"\n    xmlns:dc="http://purl.org/dc/elements/1.1/"\n    xmlns:foaf="http://xmlns.com/foaf/0.1/"\n    xmlns:ns1="http://dbkwik.webdatacommons.org/marvel.wikia.com/schema#"&gt;\n    &lt;rdf:Description rdf:about="http://dbkwik.webdatacommons.org/marvel.wikia.com/resource/$_Cult_(Earth-93060)"&gt;\n        &lt;rdfs:comment&gt;ru:Альбом с музыкальными альбомами Доктора Страс&lt;/rdfs:comment&gt;\n    &lt;/rdf:Description&gt;\n\n    &lt;!-- Additional RDF descriptions would be provided for each distinct entity here --&gt;\n&lt;/rdf:RDF&gt;\n```\n\nFor a more comprehensive query focusing on extracting specific data based on your class hierarchy, let\'s create an example of how you might write a SPARQL query to find all entities that are instances of `main` class (indicating major elements or countries in this context):\n\n```sparql\nPREFIX rdf: &lt;http://www.w3.org/1999/02/22-rdf-syntax-ns#&gt;\nPREFIX rdfs: &lt;http://www.w3.org/2000/01/rdf-schema#&gt;\nPREFIX foaf: &lt;http://xmlns.com/foaf/0.1/&gt;\nPREFIX dc: &lt;http://purl.org/dc/elements/1.1/&gt;\n\nSELECT DISTINCT ?entity ?label WHERE {\n    ?entity a &lt;http://dbkwik.webdatacommons.org/marvel.wikia.com/class/main&gt; .\n    OPTIONAL { ?entity rdfs:label ?label } .\n    FILTER (lang(?label) = "en")\n}\n```\nThis SPARQL query will retrieve all entities of type `main` and their English labels, assuming that the `rdfs:label` property with language tag \'en\' holds the English descriptions. Adjust prefix namespaces as needed for your specific schema. If you have more particular queries or need to target other classes within this schema, please specify which class or relationship you wish to query for additional examples.',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</si>
  <si>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xml
&lt;?xml version="1.0" encoding="UTF-8"?&gt;
&lt;rdf:RDF
    xmlns:rdf="http://www.w3.org/1999/02/22-rdf-syntax-ns#"
    xmlns:rdfs="http://www.w3.org/2000/01/rdf-schema#"
    xmlns:dc="http://purl.org/dc/elements/1.1/"
    xmlns:foaf="http://xmlns.com/foaf/0.1/"
    xmlns:ns1="http://dbkwik.webdatacommons.org/marvel.wikia.com/schema#"&gt;
    &lt;rdf:Description rdf:about="http://dbkwik.webdatacommons.org/marvel.wikia.com/resource/$_Cult_(Earth-93060)"&gt;
        &lt;rdfs:comment&gt;ru:Альбом с музыкальными альбомами Доктора Страс&lt;/rdfs:comment&gt;
    &lt;/rdf:Description&gt;
    &lt;!-- Additional RDF descriptions would be provided for each distinct entity here --&gt;
&lt;/rdf:RDF&gt;</t>
  </si>
  <si>
    <t>{
  "cq_text": "Who are all the bridge characters that are members of more than one team, and what are those team combinations?",
  "syntax_ok": false,
  "syntax_msg": "No SPARQL form found"
}</t>
  </si>
  <si>
    <t># Response
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
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
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
```sparql
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
```
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t>
  </si>
  <si>
    <t>model='granite3.3:latest' created_at='2025-11-19T23:08:48.159229618Z' done=True done_reason='stop' total_duration=323402942770 load_duration=723806157 prompt_eval_count=114340 prompt_eval_duration=293426131235 eval_count=497 eval_duration=28842274517 message=Message(role='assistant', content='# Response\n\nTo address the competency question regarding actors\' appearances in movies across different movie universes, we would need to construct a SPARQL query that identifies characters appearing in multiple films from various movie universes. However, with the provided schema, we don\'t have specific relations indicating film-universe connections between characters and their appearances across different universes (e.g., Marvel Cinematic Universe vs. DC Extended Universe). The given ontology does not specify cross-universe relations or character links between different movie franchises.\n\n\nWithout explicit links and character attributes connecting roles across diverse movie universes in the schema, a direct SPARQL query to list all characters appearing in multiple film universes as described is currently unfeasible. A proper schema would need additional properties or classes representing cross-franchise connections and character instances with specific film appearances indicated by their universe identifiers.\n\nHence, given current limitations of the provided schema, a SPARQL query to retrieve actors portraying characters across different movie universes cannot be formulated accurately without extending the ontology to explicitly support inter-universe relations and character participation in those realms. An example of what such an extended query might look like is illustrative but remains hypothetical:\n\n```sparql\nPREFIX marvel: &lt;http://dbkwik.webdatacommons.org/marvel.wikia.com/resource/&gt;\n\nSELECT DISTINCT ?character WHERE {\n  # Assuming characters have a property "hasAppearedIn" linking to movies they appeared in,\n  # and each movie has a property "universe" indicating its universe.\n\n  ?character marvel:hasAppearedIn ?movie .\n  ?movie marvel:universe ?uni .\n  \n  FILTER(EXISTS {\n    ?character2 marvel:hasAppearedIn ?otherMovie .\n    ?otherMovie marvel:universe ?differentUni .\n    FILTER(?uni != ?differentUni)\n  })\n}\n```\nThis query is illustrative and cannot be run as written due to non-existent properties, indicating the need for an expanded ontology that defines relationships between characters and their appearances in various movie universes. Until such details are provided in a comprehensive knowledge graph schema, generating a meaningful SPARQL query adhering to given specifications is not possible.',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</si>
  <si>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PREFIX marvel: &lt;http://dbkwik.webdatacommons.org/marvel.wikia.com/resource/&gt;
SELECT DISTINCT ?character WHERE {
  # Assuming characters have a property "hasAppearedIn" linking to movies they appeared in,
  # and each movie has a property "universe" indicating its universe.
  ?character marvel:hasAppearedIn ?movie .
  ?movie marvel:universe ?uni .
  FILTER(EXISTS {
    ?character2 marvel:hasAppearedIn ?otherMovie .
    ?otherMovie marvel:universe ?differentUni .
    FILTER(?uni != ?differentUni)
  })
}</t>
  </si>
  <si>
    <t>{
  "cq_text": "What are all the sets of characters that have been portrayed across all movies by each of the actors?",
  "syntax_ok": true,
  "satisfiable": false,
  "deterministic": true,
  "latency": {
    "p50_ms": 19.03,
    "p95_ms": 19.08,
    "mean_ms": 18.87
  },
  "rows": 0,
  "vars": 1,
  "always_unbound_vars": [
    "character"
  ],
  "lexical_query_overlap": 0.09,
  "semantic_similarity_to_CQ": 0.62,
  "semantic_soft_coverage_to_CQ": 0.82,
  "tuple_cohesion": null,
  "variables": [
    {
      "var": "character",
      "rows": 0,
      "distinct": 0,
      "null_rate": 1.0,
      "label_resolution_rate": 0.0,
      "diversity_entropy_norm": 0.0,
      "semantic_cohesion": 1.0,
      "dup_ratio": 0.0,
      "bound_rate": 0.0
    }
  ]
}</t>
  </si>
  <si>
    <t>["character"]</t>
  </si>
  <si>
    <t>[{"var": "character", "rows": 0, "distinct": 0, "null_rate": 1.0, "label_resolution_rate": 0.0, "diversity_entropy_norm": 0.0, "semantic_cohesion": 1.0, "dup_ratio": 0.0, "bound_rate": 0.0}]</t>
  </si>
  <si>
    <t>```json
{
  "query": "SELECT ?s ?p ?o WHERE { ?s ?p ?o . FILTER (regex(?p, \"^&lt;http://dbkwik.webdatacommons.org/marvel.wikia.com/class/.*\") . }",
  "results": [
    {
      "head": {
        "vars": [
          "s",
          "p",
          "o"
        ]
      },
      "results": {
        "bindings": [
          {
            "s": {
              "type": "uri",
              "value": "http://dbkwik.webdatacommons.org/marvel.wikia.com/class/appnote"
            },
            "p": {
              "type": "uri",
              "value": "&lt;http://dbkwik.webdatacommons.org/marvel.wikia.com/class/appnote&gt;"
            },
            "o": null
          },
          {
            "s": {
              "type": "uri",
              "value": "http://dbkwik.webdatacommons.org/marvel.wikia.com/class/apnm"
            },
            "p": {
              "type": "uri",
              "value": "&lt;http://dbkwik.webdatacommons.org/marvel.wikia.com/class/apnm&gt;"
            },
            "o": null
          },
          {
            "s": {
              "type": "uri",
              "value": "http://dbkwik.webdatacommons.org/marvel.wikia.com/class/arw2"
            },
            "p": {
              "type": "uri",
              "value": "&lt;http://dbkwik.webdatacommons.org/marvel.wikia.com/class/arw2&gt;"
            },
            "o": null
          },
          {
            "s": {
              "type": "uri",
              "value": "http://dbkwik.webdatacommons.org/marvel.wikia.com/class/ashadow"
            },
            "p": {
              "type": "uri",
              "value": "&lt;http://dbkwik.webdatacommons.org/marvel.wikia.com/class/shadow&gt;"
            },
            "o": null
          },
          {
            "s": {
              "type": "uri",
              "value": "http://dbkwik.webdatacommons.org/marvel.wikia.com/class/astronet"
            },
            "p": {
              "type": "uri",
              "value": "&lt;http://dbkwik.webdatacommons.org/marvel.wikia.com/class/astronet&gt;"
            },
            "o": null
          },
          {
            "s": {
              "type": "uri",
              "value": "http://dbkwik.webdatacommons.org/marvel.wikia.com/class/athub"
            },
            "p": {
              "type": "uri",
              "value": "&lt;http://dbkwik.webdatacommons.org/marvel.wikia.com/class/athub&gt;"
            },
            "o": null
          },
          {
            "s": {
              "type": "uri",
              "value": "http://dbkwik.webdatacommons.org/marvel.wikia.com/class/brclear"
            },
            "p": {
              "type": "uri",
              "value": "&lt;http://dbkwik.webdatacommons.org/marvel.wikia.com/class/brclear&gt;"
            },
            "o": null
          },
          {
            "s": {
              "type": "uri",
              "value": "http://dbkwik.webdatacommons.org/marvel.wikia.com/class/caution"
            },
            "p": {
              "type": "uri",
              "value": "&lt;http://dbkwik.webdatacommons.org/marvel.wikia.com/class/caution&gt;"
            },
            "o": null
          },
          {
            "s": {
              "type": "uri",
              "value": "http://dbkwik.webdatacommons.org/marvel.wikia.com/class/character"
            },
            "p": {
              "type": "uri",
              "value": "&lt;http://dbkwik.webdatacommons.org/marvel.wikia.com/class/character&gt;"
            },
            "o": null
          },
          {
            "s": {
              "type": "uri",
              "value": "http://dbkwik.webdatacommons.org/marvel.wikia.com/class/character_images"
            },
            "p": {
              "type": "uri",
              "value": "&lt;http://dbkwik.webdatacommons.org/marvel.wikia.com/class/character_images&gt;"
            },
            "o": null
          },
          {
            "s": {
              "type": "uri",
              "value": "http://dbkwik.webdatacommons.org/marvel.wikia.com/class/characterhub"
            },
            "p": {
              "type": "uri",
              "value": "&lt;http://dbkwik.webdatacommons.org/marvel.wikia.com/class/characterhub&gt;"
            },
            "o": null
          },
          {
            "s": {
              "type": "uri",
              "value": "http://dbkwik.webdatacommons.org/marvel.wikia.com/class/collection_page"
            },
            "p": {
              "type": "uri",
              "value": "&lt;http://dbkwik.webdatacommons.org/marvel.wikia.com/class/collection_page&gt;"
            },
            "o": null
          },
          {
            "s": {
              "type": "uri",
              "value": "http://dbkwik.webdatacommons.org/marvel.wikia.com/class/computer"
            },
            "p": {
              "type": "uri",
              "value": "&lt;http://dbkwik.webdatacommons.org/marvel.wikia.com/class/computer&gt;"
            },
            "o": null
          },
          {
            "s": {
              "type": "uri",
              "value": "http://dbkwik.webdatacommons.org/marvel.wikia.com/class/discordintegrator"
            },
            "p": {
              "type": "uri",
              "value": "&lt;http://dbkwik.webdatacommons.org/marvel.wikia.com/class/discordintegrator&gt;"
            },
            "o": null
          },
          {
            "s": {
              "type": "uri",
              "value": "http://dbkwik.webdatacommons.org/marvel.wikia.com/class/distinguish"
            },
            "p": {
              "type": "uri",
              "value": "&lt;http://dbkwik.webdatacommons.org/marvel.wikia.com/class/distinguish&gt;"
            },
            "o": null
          },
          {
            "s": {
              "type": "uri",
              "value": "http://dbkwik.webdatacommons.org/marvel.wikia.com/class/eventhub"
            },
            "p": {
              "type": "uri",
              "value": "&lt;http://dbkwik.webdatacommons.org/marvel.wikia.com/class/eventhub&gt;"
            },
            "o": null
          },
          {
            "s": {
              "type": "uri",
              "value": "http://dbkwik.webdatacommons.org/marvel.wikia.com/class/fact"
            },
            "p": {
              "type": "uri",
              "value": "&lt;http://dbkwik.webdatacommons.org/marvel.wikia.com/class/fact&gt;"
            },
            "o": null
          },
          {
            "s": {
              "type": "uri",
              "value": "http://dbkwik.webdatacommons.org/marvel.wikia.com/class/fluent"
            },
            "p": {
              "type": "uri",
              "value": "&lt;http://dbkwik.webdatacommons.org/marvel.wikia.com/class/fluent&gt;"
            },
            "o": null
          },
          {
            "s": {
              "type": "uri",
              "value": "http://dbkwik.webdatacommons.org/marvel.wikia.com/class/fram"&gt;</t>
  </si>
  <si>
    <t>model='granite3.3:latest' created_at='2025-11-19T23:15:39.006480155Z' done=True done_reason='stop' total_duration=410118055245 load_duration=426618420 prompt_eval_count=114343 prompt_eval_duration=293480149381 eval_count=1971 eval_duration=115342896192 message=Message(role='assistant', content='```json\n{\n  "query": "SELECT ?s ?p ?o WHERE { ?s ?p ?o . FILTER (regex(?p, \\"^&lt;http://dbkwik.webdatacommons.org/marvel.wikia.com/class/.*\\") . }",\n  "results": [\n    {\n      "head": {\n        "vars": [\n          "s",\n          "p",\n          "o"\n        ]\n      },\n      "results": {\n        "bindings": [\n          {\n            "s": {\n              "type": "uri",\n              "value": "http://dbkwik.webdatacommons.org/marvel.wikia.com/class/appnote"\n            },\n            "p": {\n              "type": "uri",\n              "value": "&lt;http://dbkwik.webdatacommons.org/marvel.wikia.com/class/appnote&gt;"\n            },\n            "o": null\n          },\n          {\n            "s": {\n              "type": "uri",\n              "value": "http://dbkwik.webdatacommons.org/marvel.wikia.com/class/apnm"\n            },\n            "p": {\n              "type": "uri",\n              "value": "&lt;http://dbkwik.webdatacommons.org/marvel.wikia.com/class/apnm&gt;"\n            },\n            "o": null\n          },\n          {\n            "s": {\n              "type": "uri",\n              "value": "http://dbkwik.webdatacommons.org/marvel.wikia.com/class/arw2"\n            },\n            "p": {\n              "type": "uri",\n              "value": "&lt;http://dbkwik.webdatacommons.org/marvel.wikia.com/class/arw2&gt;"\n            },\n            "o": null\n          },\n          {\n            "s": {\n              "type": "uri",\n              "value": "http://dbkwik.webdatacommons.org/marvel.wikia.com/class/ashadow"\n            },\n            "p": {\n              "type": "uri",\n              "value": "&lt;http://dbkwik.webdatacommons.org/marvel.wikia.com/class/shadow&gt;"\n            },\n            "o": null\n          },\n          {\n            "s": {\n              "type": "uri",\n              "value": "http://dbkwik.webdatacommons.org/marvel.wikia.com/class/astronet"\n            },\n            "p": {\n              "type": "uri",\n              "value": "&lt;http://dbkwik.webdatacommons.org/marvel.wikia.com/class/astronet&gt;"\n            },\n            "o": null\n          },\n          {\n            "s": {\n              "type": "uri",\n              "value": "http://dbkwik.webdatacommons.org/marvel.wikia.com/class/athub"\n            },\n            "p": {\n              "type": "uri",\n              "value": "&lt;http://dbkwik.webdatacommons.org/marvel.wikia.com/class/athub&gt;"\n            },\n            "o": null\n          },\n          {\n            "s": {\n              "type": "uri",\n              "value": "http://dbkwik.webdatacommons.org/marvel.wikia.com/class/brclear"\n            },\n            "p": {\n              "type": "uri",\n              "value": "&lt;http://dbkwik.webdatacommons.org/marvel.wikia.com/class/brclear&gt;"\n            },\n            "o": null\n          },\n          {\n            "s": {\n              "type": "uri",\n              "value": "http://dbkwik.webdatacommons.org/marvel.wikia.com/class/caution"\n            },\n            "p": {\n              "type": "uri",\n              "value": "&lt;http://dbkwik.webdatacommons.org/marvel.wikia.com/class/caution&gt;"\n            },\n            "o": null\n          },\n          {\n            "s": {\n              "type": "uri",\n              "value": "http://dbkwik.webdatacommons.org/marvel.wikia.com/class/character"\n            },\n            "p": {\n              "type": "uri",\n              "value": "&lt;http://dbkwik.webdatacommons.org/marvel.wikia.com/class/character&gt;"\n            },\n            "o": null\n          },\n          {\n            "s": {\n              "type": "uri",\n              "value": "http://dbkwik.webdatacommons.org/marvel.wikia.com/class/character_images"\n            },\n            "p": {\n              "type": "uri",\n              "value": "&lt;http://dbkwik.webdatacommons.org/marvel.wikia.com/class/character_images&gt;"\n            },\n            "o": null\n          },\n          {\n            "s": {\n              "type": "uri",\n              "value": "http://dbkwik.webdatacommons.org/marvel.wikia.com/class/characterhub"\n            },\n            "p": {\n              "type": "uri",\n              "value": "&lt;http://dbkwik.webdatacommons.org/marvel.wikia.com/class/characterhub&gt;"\n            },\n            "o": null\n          },\n          {\n            "s": {\n              "type": "uri",\n              "value": "http://dbkwik.webdatacommons.org/marvel.wikia.com/class/collection_page"\n            },\n            "p": {\n              "type": "uri",\n              "value": "&lt;http://dbkwik.webdatacommons.org/marvel.wikia.com/class/collection_page&gt;"\n            },\n            "o": null\n          },\n          {\n            "s": {\n              "type": "uri",\n              "value": "http://dbkwik.webdatacommons.org/marvel.wikia.com/class/computer"\n            },\n            "p": {\n              "type": "uri",\n              "value": "&lt;http://dbkwik.webdatacommons.org/marvel.wikia.com/class/computer&gt;"\n            },\n            "o": null\n          },\n          {\n            "s": {\n              "type": "uri",\n              "value": "http://dbkwik.webdatacommons.org/marvel.wikia.com/class/discordintegrator"\n            },\n            "p": {\n              "type": "uri",\n              "value": "&lt;http://dbkwik.webdatacommons.org/marvel.wikia.com/class/discordintegrator&gt;"\n            },\n            "o": null\n          },\n          {\n            "s": {\n              "type": "uri",\n              "value": "http://dbkwik.webdatacommons.org/marvel.wikia.com/class/distinguish"\n            },\n            "p": {\n              "type": "uri",\n              "value": "&lt;http://dbkwik.webdatacommons.org/marvel.wikia.com/class/distinguish&gt;"\n            },\n            "o": null\n          },\n          {\n            "s": {\n              "type": "uri",\n              "value": "http://dbkwik.webdatacommons.org/marvel.wikia.com/class/eventhub"\n            },\n            "p": {\n              "type": "uri",\n              "value": "&lt;http://dbkwik.webdatacommons.org/marvel.wikia.com/class/eventhub&gt;"\n            },\n            "o": null\n          },\n          {\n            "s": {\n              "type": "uri",\n              "value": "http://dbkwik.webdatacommons.org/marvel.wikia.com/class/fact"\n            },\n            "p": {\n              "type": "uri",\n              "value": "&lt;http://dbkwik.webdatacommons.org/marvel.wikia.com/class/fact&gt;"\n            },\n            "o": null\n          },\n          {\n            "s": {\n              "type": "uri",\n              "value": "http://dbkwik.webdatacommons.org/marvel.wikia.com/class/fluent"\n            },\n            "p": {\n              "type": "uri",\n              "value": "&lt;http://dbkwik.webdatacommons.org/marvel.wikia.com/class/fluent&gt;"\n            },\n            "o": null\n          },\n          {\n            "s": {\n              "type": "uri",\n              "value": "http://dbkwik.webdatacommons.org/marvel.wikia.com/class/fram"&gt;',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</si>
  <si>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?s ?p ?o WHERE { ?s ?p ?o . FILTER (regex(?p, \"^&lt;http://dbkwik.webdatacommons.org/marvel.wikia.com/class/.*\") . }",
  "results": [
    {
      "head": {
        "vars": [
          "s",
          "p",
          "o"
        ]
      },
      "results": {
        "bindings": [
          {
            "s": {
              "type": "uri",
              "value": "http://dbkwik.webdatacommons.org/marvel.wikia.com/class/appnote"
            },
            "p": {
              "type": "uri",
              "value": "&lt;http://dbkwik.webdatacommons.org/marvel.wikia.com/class/appnote&gt;"
            },
            "o": null
          },
          {
            "s": {
              "type": "uri",
              "value": "http://dbkwik.webdatacommons.org/marvel.wikia.com/class/apnm"
            },
            "p": {
              "type": "uri",
              "value": "&lt;http://dbkwik.webdatacommons.org/marvel.wikia.com/class/apnm&gt;"
            },
            "o": null
          },
          {
            "s": {
              "type": "uri",
              "value": "http://dbkwik.webdatacommons.org/marvel.wikia.com/class/arw2"
            },
            "p": {
              "type": "uri",
              "value": "&lt;http://dbkwik.webdatacommons.org/marvel.wikia.com/class/arw2&gt;"
            },
            "o": null
          },
          {
            "s": {
              "type": "uri",
              "value": "http://dbkwik.webdatacommons.org/marvel.wikia.com/class/ashadow"
            },
            "p": {
              "type": "uri",
              "value": "&lt;http://dbkwik.webdatacommons.org/marvel.wikia.com/class/shadow&gt;"
            },
            "o": null
          },
          {
            "s": {
              "type": "uri",
              "value": "http://dbkwik.webdatacommons.org/marvel.wikia.com/class/astronet"
            },
            "p": {
              "type": "uri",
              "value": "&lt;http://dbkwik.webdatacommons.org/marvel.wikia.com/class/astronet&gt;"
            },
            "o": null
          },
          {
            "s": {
              "type": "uri",
              "value": "http://dbkwik.webdatacommons.org/marvel.wikia.com/class/athub"
            },
            "p": {
              "type": "uri",
              "value": "&lt;http://dbkwik.webdatacommons.org/marvel.wikia.com/class/athub&gt;"
            },
            "o": null
          },
          {
            "s": {
              "type": "uri",
              "value": "http://dbkwik.webdatacommons.org/marvel.wikia.com/class/brclear"
            },
            "p": {
              "type": "uri",
              "value": "&lt;http://dbkwik.webdatacommons.org/marvel.wikia.com/class/brclear&gt;"
            },
            "o": null
          },
          {
            "s": {
              "type": "uri",
              "value": "http://dbkwik.webdatacommons.org/marvel.wikia.com/class/caution"
            },
            "p": {
              "type": "uri",
              "value": "&lt;http://dbkwik.webdatacommons.org/marvel.wikia.com/class/caution&gt;"
            },
            "o": null
          },
          {
            "s": {
              "type": "uri",
              "value": "http://dbkwik.webdatacommons.org/marvel.wikia.com/class/character"
            },
            "p": {
              "type": "uri",
              "value": "&lt;http://dbkwik.webdatacommons.org/marvel.wikia.com/class/character&gt;"
            },
            "o": null
          },
          {
            "s": {
              "type": "uri",
              "value": "http://dbkwik.webdatacommons.org/marvel.wikia.com/class/character_images"
            },
            "p": {
              "type": "uri",
              "value": "&lt;http://dbkwik.webdatacommons.org/marvel.wikia.com/class/character_images&gt;"
            },
            "o": null
          },
          {
            "s": {
              "type": "uri",
              "value": "http://dbkwik.webdatacommons.org/marvel.wikia.com/class/characterhub"
            },
            "p": {
              "type": "uri",
              "value": "&lt;http://dbkwik.webdatacommons.org/marvel.wikia.com/class/characterhub&gt;"
            },
            "o": null
          },
          {
            "s": {
              "type": "uri",
              "value": "http://dbkwik.webdatacommons.org/marvel.wikia.com/class/collection_page"
            },
            "p": {
              "type": "uri",
              "value": "&lt;http://dbkwik.webdatacommons.org/marvel.wikia.com/class/collection_page&gt;"
            },
            "o": null
          },
          {
            "s": {
              "type": "uri",
              "value": "http://dbkwik.webdatacommons.org/marvel.wikia.com/class/computer"
            },
            "p": {
              "type": "uri",
              "value": "&lt;http://dbkwik.webdatacommons.org/marvel.wikia.com/class/computer&gt;"
            },
            "o": null
          },
          {
            "s": {
              "type": "uri",
              "value": "http://dbkwik.webdatacommons.org/marvel.wikia.com/class/discordintegrator"
            },
            "p": {
              "type": "uri",
              "value": "&lt;http://dbkwik.webdatacommons.org/marvel.wikia.com/class/discordintegrator&gt;"
            },
            "o": null
          },
          {
            "s": {
              "type": "uri",
              "value": "http://dbkwik.webdatacommons.org/marvel.wikia.com/class/distinguish"
            },
            "p": {
              "type": "uri",
              "value": "&lt;http://dbkwik.webdatacommons.org/marvel.wikia.com/class/distinguish&gt;"
            },
            "o": null
          },
          {
            "s": {
              "type": "uri",
              "value": "http://dbkwik.webdatacommons.org/marvel.wikia.com/class/eventhub"
            },
            "p": {
              "type": "uri",
              "value": "&lt;http://dbkwik.webdatacommons.org/marvel.wikia.com/class/eventhub&gt;"
            },
            "o": null
          },
          {
            "s": {
              "type": "uri",
              "value": "http://dbkwik.webdatacommons.org/marvel.wikia.com/class/fact"
            },
            "p": {
              "type": "uri",
              "value": "&lt;http://dbkwik.webdatacommons.org/marvel.wikia.com/class/fact&gt;"
            },
            "o": null
          },
          {
            "s": {
              "type": "uri",
              "value": "http://dbkwik.webdatacommons.org/marvel.wikia.com/class/fluent"
            },
            "p": {
              "type": "uri",
              "value": "&lt;http://dbkwik.webdatacommons.org/marvel.wikia.com/class/fluent&gt;"
            },
            "o": null
          },
          {
            "s": {
              "type": "uri",
              "value": "http://dbkwik.webdatacommons.org/marvel.wikia.com/class/fram"&gt;</t>
  </si>
  <si>
    <t>{
  "cq_text": "What are all the locations used as settings or associated contexts for multiple movies and/or characters and the counts of those associations?",
  "syntax_ok": false,
  "syntax_msg": "Unbalanced braces"
}</t>
  </si>
  <si>
    <t>--query: SELECT ?movie WHERE {
  VALUES ?movie {&lt;http://dbkwik.webdatacommons.org/marvel.wikia.com/resource/Avengers_Confidential:_Black_Widow_&amp;_Punisher_Vol_1&gt;} .
}
&lt;/response&gt;</t>
  </si>
  <si>
    <t>model='granite3.3:latest' created_at='2025-11-19T23:20:37.988930558Z' done=True done_reason='stop' total_duration=298459010371 load_duration=876694350 prompt_eval_count=114342 prompt_eval_duration=293444266451 eval_count=68 eval_duration=3873894052 message=Message(role='assistant', content='--query: SELECT ?movie WHERE {\n  VALUES ?movie {&lt;http://dbkwik.webdatacommons.org/marvel.wikia.com/resource/Avengers_Confidential:_Black_Widow_&amp;_Punisher_Vol_1&gt;} .\n}\n&lt;/response&gt;',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</si>
  <si>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?movie WHERE {
  VALUES ?movie {&lt;http://dbkwik.webdatacommons.org/marvel.wikia.com/resource/Avengers_Confidential:_Black_Widow_&amp;_Punisher_Vol_1&gt;} .
}
&lt;/response&gt;</t>
  </si>
  <si>
    <t>ERROR: QueryBadFormed: A bad request has been sent to the endpoint: probably the SPARQL query is badly formed. 
Response:
b'Parse error: Encountered " &lt;IRIref&gt; "&lt;/response&gt; "" at line 16, column 1.\n'</t>
  </si>
  <si>
    <t>```json
{
  "query": "SELECT ?entity ?type WHERE { ?entity a ?type }",
  "results": [
    {
      "entity": "http://dbkwik.webdatacommons.org/marvel.wikia.com/resource/Hero",
      "type": "http://www.w3.org/2000/01/rdf-schema#Class"
    },
    {
      "entity": "http://dbkwik.webdatacommons.org/marvel.wikia.com/class/alphatoc",
      "type": "http://www.w3.org/2000/01/rdf-schema#Class"
    },
    {
      "entity": "http://dbkwik.webdatacommons.org/marvel.wikia.com/class/also_on_wikipedia",
      "type": "http://www.w3.org/2000/01/rdf-schema#Class"
    },
    {
      "entity": "http://dbkwik.webdatacommons.org/marvel.wikia.com/class/apnm",
      "type": "http://www.w3.org/2000/01/rdf-schema#Class"
    },
    {
      "entity": "http://dbkwik.webdatacommons.org/marvel.wikia.com/class/arw2",
      "type": "http://www.w3.org/2000/01/rdf-schema#Class"
    },
    {
      "entity": "http://dbkwik.webdatacommons.org/marvel.wikia.com/class/artwork",
      "type": "http://www.w3.org/2000/01/rdf-schema#Class"
    },
    {
      "entity": "http://dbkwik.webdatacommons.org/marvel.wikia.com/class/ashamed",
      "type": "http://www.w3.org/2000/01/rdf-schema#Class"
    },
    {
      "entity": "http://dbkwik.webdatacommons.org/marvel.wikia.com/class/ashmed",
      "type": "http://www.w3.org/2000/01/rdf-schema#Class"
    },
    {
      "entity": "http://dbkwik.webdatacommons.org/marvel.wikia.com/class/assumed_identity",
      "type": "http://www.w3.org/2000/01/rdf-schema#Class"
    },
    {
      "entity": "http://dbkwik.webdatacommons.org/marvel.wikia.com/class/background",
      "type": "http://www.w3.org/2000/01/rdf-schema#Class"
    },
    {
      "entity": "http://dbkwik.webdatacommons.org/marvel.wikia.com/class/baseofoperations",
      "type": "http://www.w3.org/2000/01/rdf-schema#Class"
    },
    {
      "entity": "http://dbkwik.webdatacommons.org/marvel.wikia.com/class/biocapabilities",
      "type": "http://www.w3.org/2000/01/rdf-schema#Class"
    },
    {
      "entity": "http://dbkwik.webdatacommons.org/marvel.wikia.com/class/body",
      "type": "http://www.w3.org/2000/01/rdf-schema#Class"
    },
    {
      "entity": "http://dbkwik.webdatacommons.org/marvel.wikia.com/class/birth_place",
      "type": "http://www.w3.org/2000/01/rdf-schema#Class"
    },
    {
      "entity": "http://dbkwik.webdatacommons.org/marvel.wikia.com/class/bodyguard",
      "type": "http://www.w3.org/2000/01/rdf-schema#Class"
    },
    {
      "entity": "http://dbkwik.webdatacommons.org/marvel.wikia.com/class/brothers_and_sisters",
      "type": "http://www.w3.org/2000/01/rdf-schema#Class"
    },
    {
      "entity": "http://dbkwik.webdatacommons.org/marvel.wikia.com/class/c",
      "type": "http://www.w3.org/2000/01/rdf-schema#Class"
    },
    {
      "entity": "http://dbkwik.webdatacommons.org/marvel.wikia.com/class/cardholder",
      "type": "http://www.w3.org/2000/01/rdf-schema#Class"
    },
    {
      "entity": "http://dbkwik.webdatacommons.org/marvel.wikia.com/class/category",
      "type": "http://www.w3.org/2000/01/rdf-schema#Class"
    },
    {
      "entity": "http://dbkwik.webdatacommons.org/marvel.wikia.com/class/character_images",
      "type": "http://www.w3.org/2000/01/rdf-schema#Class"
    },
    {
      "entity": "http://dbkwik.webdatacommons.org/marvel.wikia.com/class</t>
  </si>
  <si>
    <t>model='granite3.3:latest' created_at='2025-11-19T23:26:52.736427214Z' done=True done_reason='stop' total_duration=373877912167 load_duration=720699244 prompt_eval_count=114342 prompt_eval_duration=293436272956 eval_count=1354 eval_duration=79042600961 message=Message(role='assistant', content='```json\n{\n  "query": "SELECT ?entity ?type WHERE { ?entity a ?type }",\n  "results": [\n    {\n      "entity": "http://dbkwik.webdatacommons.org/marvel.wikia.com/resource/Hero",\n      "type": "http://www.w3.org/2000/01/rdf-schema#Class"\n    },\n    {\n      "entity": "http://dbkwik.webdatacommons.org/marvel.wikia.com/class/alphatoc",\n      "type": "http://www.w3.org/2000/01/rdf-schema#Class"\n    },\n    {\n      "entity": "http://dbkwik.webdatacommons.org/marvel.wikia.com/class/also_on_wikipedia",\n      "type": "http://www.w3.org/2000/01/rdf-schema#Class"\n    },\n    {\n      "entity": "http://dbkwik.webdatacommons.org/marvel.wikia.com/class/apnm",\n      "type": "http://www.w3.org/2000/01/rdf-schema#Class"\n    },\n    {\n      "entity": "http://dbkwik.webdatacommons.org/marvel.wikia.com/class/arw2",\n      "type": "http://www.w3.org/2000/01/rdf-schema#Class"\n    },\n    {\n      "entity": "http://dbkwik.webdatacommons.org/marvel.wikia.com/class/artwork",\n      "type": "http://www.w3.org/2000/01/rdf-schema#Class"\n    },\n    {\n      "entity": "http://dbkwik.webdatacommons.org/marvel.wikia.com/class/ashamed",\n      "type": "http://www.w3.org/2000/01/rdf-schema#Class"\n    },\n    {\n      "entity": "http://dbkwik.webdatacommons.org/marvel.wikia.com/class/ashmed",\n      "type": "http://www.w3.org/2000/01/rdf-schema#Class"\n    },\n    {\n      "entity": "http://dbkwik.webdatacommons.org/marvel.wikia.com/class/assumed_identity",\n      "type": "http://www.w3.org/2000/01/rdf-schema#Class"\n    },\n    {\n      "entity": "http://dbkwik.webdatacommons.org/marvel.wikia.com/class/background",\n      "type": "http://www.w3.org/2000/01/rdf-schema#Class"\n    },\n    {\n      "entity": "http://dbkwik.webdatacommons.org/marvel.wikia.com/class/baseofoperations",\n      "type": "http://www.w3.org/2000/01/rdf-schema#Class"\n    },\n    {\n      "entity": "http://dbkwik.webdatacommons.org/marvel.wikia.com/class/biocapabilities",\n      "type": "http://www.w3.org/2000/01/rdf-schema#Class"\n    },\n    {\n      "entity": "http://dbkwik.webdatacommons.org/marvel.wikia.com/class/body",\n      "type": "http://www.w3.org/2000/01/rdf-schema#Class"\n    },\n    {\n      "entity": "http://dbkwik.webdatacommons.org/marvel.wikia.com/class/birth_place",\n      "type": "http://www.w3.org/2000/01/rdf-schema#Class"\n    },\n    {\n      "entity": "http://dbkwik.webdatacommons.org/marvel.wikia.com/class/bodyguard",\n      "type": "http://www.w3.org/2000/01/rdf-schema#Class"\n    },\n    {\n      "entity": "http://dbkwik.webdatacommons.org/marvel.wikia.com/class/brothers_and_sisters",\n      "type": "http://www.w3.org/2000/01/rdf-schema#Class"\n    },\n    {\n      "entity": "http://dbkwik.webdatacommons.org/marvel.wikia.com/class/c",\n      "type": "http://www.w3.org/2000/01/rdf-schema#Class"\n    },\n    {\n      "entity": "http://dbkwik.webdatacommons.org/marvel.wikia.com/class/cardholder",\n      "type": "http://www.w3.org/2000/01/rdf-schema#Class"\n    },\n    {\n      "entity": "http://dbkwik.webdatacommons.org/marvel.wikia.com/class/category",\n      "type": "http://www.w3.org/2000/01/rdf-schema#Class"\n    },\n    {\n      "entity": "http://dbkwik.webdatacommons.org/marvel.wikia.com/class/character_images",\n      "type": "http://www.w3.org/2000/01/rdf-schema#Class"\n    },\n    {\n      "entity": "http://dbkwik.webdatacommons.org/marvel.wikia.com/class', thinking=None, images=None, tool_calls=None)</t>
  </si>
  <si>
    <t>PREFIX dc: &lt;http://purl.org/dc/elements/1.1/&gt;
PREFIX dcterms: &lt;http://purl.org/dc/terms/&gt;
PREFIX foaf: &lt;http://xmlns.com/foaf/0.1/&gt;
PREFIX ns1: &lt;http://dbkwik.webdatacommons.org/marvel.wikia.com/property/&gt;
PREFIX ns2: &lt;http://dbkwik.webdatacommons.org/ontology/&gt;
PREFIX ns3: &lt;http://dbkwik.webdatacommons.org/marvel.wikia.com/property/%3&gt;
PREFIX ns7: &lt;http://dbkwik.webdatacommons.org/marvel.wikia.com/property/alternate232%60&gt;
PREFIX owl: &lt;http://www.w3.org/2002/07/owl#&gt;
PREFIX rdf: &lt;http://www.w3.org/1999/02/22-rdf-syntax-ns#&gt;
PREFIX rdfs: &lt;http://www.w3.org/2000/01/rdf-schema#&gt;
PREFIX skos: &lt;http://www.w3.org/2004/02/skos/core#&gt;
PREFIX xsd: &lt;http://www.w3.org/2001/XMLSchema#&gt;
SELECT ?entity ?type WHERE { ?entity a ?type }",
  "results": [
    {
      "entity": "http://dbkwik.webdatacommons.org/marvel.wikia.com/resource/Hero",
      "type": "http://www.w3.org/2000/01/rdf-schema#Class"
    },
    {
      "entity": "http://dbkwik.webdatacommons.org/marvel.wikia.com/class/alphatoc",
      "type": "http://www.w3.org/2000/01/rdf-schema#Class"
    },
    {
      "entity": "http://dbkwik.webdatacommons.org/marvel.wikia.com/class/also_on_wikipedia",
      "type": "http://www.w3.org/2000/01/rdf-schema#Class"
    },
    {
      "entity": "http://dbkwik.webdatacommons.org/marvel.wikia.com/class/apnm",
      "type": "http://www.w3.org/2000/01/rdf-schema#Class"
    },
    {
      "entity": "http://dbkwik.webdatacommons.org/marvel.wikia.com/class/arw2",
      "type": "http://www.w3.org/2000/01/rdf-schema#Class"
    },
    {
      "entity": "http://dbkwik.webdatacommons.org/marvel.wikia.com/class/artwork",
      "type": "http://www.w3.org/2000/01/rdf-schema#Class"
    },
    {
      "entity": "http://dbkwik.webdatacommons.org/marvel.wikia.com/class/ashamed",
      "type": "http://www.w3.org/2000/01/rdf-schema#Class"
    },
    {
      "entity": "http://dbkwik.webdatacommons.org/marvel.wikia.com/class/ashmed",
      "type": "http://www.w3.org/2000/01/rdf-schema#Class"
    },
    {
      "entity": "http://dbkwik.webdatacommons.org/marvel.wikia.com/class/assumed_identity",
      "type": "http://www.w3.org/2000/01/rdf-schema#Class"
    },
    {
      "entity": "http://dbkwik.webdatacommons.org/marvel.wikia.com/class/background",
      "type": "http://www.w3.org/2000/01/rdf-schema#Class"
    },
    {
      "entity": "http://dbkwik.webdatacommons.org/marvel.wikia.com/class/baseofoperations",
      "type": "http://www.w3.org/2000/01/rdf-schema#Class"
    },
    {
      "entity": "http://dbkwik.webdatacommons.org/marvel.wikia.com/class/biocapabilities",
      "type": "http://www.w3.org/2000/01/rdf-schema#Class"
    },
    {
      "entity": "http://dbkwik.webdatacommons.org/marvel.wikia.com/class/body",
      "type": "http://www.w3.org/2000/01/rdf-schema#Class"
    },
    {
      "entity": "http://dbkwik.webdatacommons.org/marvel.wikia.com/class/birth_place",
      "type": "http://www.w3.org/2000/01/rdf-schema#Class"
    },
    {
      "entity": "http://dbkwik.webdatacommons.org/marvel.wikia.com/class/bodyguard",
      "type": "http://www.w3.org/2000/01/rdf-schema#Class"
    },
    {
      "entity": "http://dbkwik.webdatacommons.org/marvel.wikia.com/class/brothers_and_sisters",
      "type": "http://www.w3.org/2000/01/rdf-schema#Class"
    },
    {
      "entity": "http://dbkwik.webdatacommons.org/marvel.wikia.com/class/c",
      "type": "http://www.w3.org/2000/01/rdf-schema#Class"
    },
    {
      "entity": "http://dbkwik.webdatacommons.org/marvel.wikia.com/class/cardholder",
      "type": "http://www.w3.org/2000/01/rdf-schema#Class"
    },
    {
      "entity": "http://dbkwik.webdatacommons.org/marvel.wikia.com/class/category",
      "type": "http://www.w3.org/2000/01/rdf-schema#Class"
    },
    {
      "entity": "http://dbkwik.webdatacommons.org/marvel.wikia.com/class/character_images",
      "type": "http://www.w3.org/2000/01/rdf-schema#Class"
    },
    {
      "entity": "http://dbkwik.webdatacommons.org/marvel.wikia.com/class</t>
  </si>
  <si>
    <t>{
  "cq_text": "Who are all the other characters connected via shared movie appearances for each of the characters (character co-appearance network)?",
  "syntax_ok": false,
  "syntax_msg": "Unbalanced braces"
}</t>
  </si>
  <si>
    <t>```python
from SPARQLWrapper import SPARQLWrapper, JSON
query = """
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
"""
endpoint = SPARQLWrapper("http://dbpedia.org/sparql")
results = endpoint.query(query)
print(results.convert())
```</t>
  </si>
  <si>
    <t>model='granite3.3:latest' created_at='2025-11-19T23:32:07.623926394Z' done=True done_reason='stop' total_duration=314506776284 load_duration=461276115 prompt_eval_count=114356 prompt_eval_duration=293593022558 eval_count=347 eval_duration=20101472966 message=Message(role='assistant', content='```python\nfrom SPARQLWrapper import SPARQLWrapper, JSON\n\n\nquery = """\nPREFIX dc: &lt;http://purl.org/dc/elements/1.1/&gt;\nPREFIX dcterms: &lt;http://purl.org/dc/terms/&gt;\nPREFIX foaf: &lt;http://xmlns.com/foaf/0.1/&gt;\nPREFIX ns1: &lt;http://dbkwik.webdatacommons.org/marvel.wikia.com/property/&gt;\nPREFIX ns2: &lt;http://dbkwik.webdatacommons.org/marvel.wikia.com/property/&gt;\nPREFIX owl: &lt;http://www.w3.org/2002/07/owl#&gt;\nPREFIX rdf: &lt;http://www.w3.org/1999/02/22-rdf-syntax-ns#&gt;\nPREFIX rdfs: &lt;http://www.w3.org/2000/01/rdf-schema#&gt;\nPREFIX skos: &lt;http://www.w3.org/2004/02/skos/core#&gt;\nPREFIX xsd: &lt;http://www.w3.org/2001/XMLSchema#&gt;\n\n\nSELECT DISTINCT ?item ?label\nWHERE {\n   ?item a ns1:citation . \n   OPTIONAL { ?item ns1:cite_web ?label }\n}\n"""\n\n\nendpoint = SPARQLWrapper("http://dbpedia.org/sparql")\nresults = endpoint.query(query)\nprint(results.convert())\n```', thinking=None, images=None, tool_calls=None)</t>
  </si>
  <si>
    <t>PREFIX ns3: &lt;http://dbkwik.webdatacommons.org/marvel.wikia.com/property/%3&gt;
PREFIX ns7: &lt;http://dbkwik.webdatacommons.org/marvel.wikia.com/property/alternate232%60&gt;
python
from SPARQLWrapper import SPARQLWrapper, JSON
query = """
PREFIX dc: &lt;http://purl.org/dc/elements/1.1/&gt;
PREFIX dcterms: &lt;http://purl.org/dc/terms/&gt;
PREFIX foaf: &lt;http://xmlns.com/foaf/0.1/&gt;
PREFIX ns1: &lt;http://dbkwik.webdatacommons.org/marvel.wikia.com/property/&gt;
PREFIX ns2: &lt;http://dbkwik.webdatacommons.org/marvel.wikia.com/property/&gt;
PREFIX owl: &lt;http://www.w3.org/2002/07/owl#&gt;
PREFIX rdf: &lt;http://www.w3.org/1999/02/22-rdf-syntax-ns#&gt;
PREFIX rdfs: &lt;http://www.w3.org/2000/01/rdf-schema#&gt;
PREFIX skos: &lt;http://www.w3.org/2004/02/skos/core#&gt;
PREFIX xsd: &lt;http://www.w3.org/2001/XMLSchema#&gt;
SELECT DISTINCT ?item ?label
WHERE {
   ?item a ns1:citation . 
   OPTIONAL { ?item ns1:cite_web ?label }
}
"""
endpoint = SPARQLWrapper("http://dbpedia.org/sparql")
results = endpoint.query(query)
print(results.convert())</t>
  </si>
  <si>
    <t>ERROR: QueryBadFormed: A bad request has been sent to the endpoint: probably the SPARQL query is badly formed. 
Response:
b'Parse error: Lexical error at line 3, column 7.  Encountered: \'10\' (10), after prefix "python"\n'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</si>
</sst>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0" xfId="0" applyFont="1" applyAlignment="1">
      <alignment horizontal="center"/>
    </xf>
    <xf numFmtId="2" fontId="0" fillId="0" borderId="0" xfId="0" applyNumberFormat="1"/>
    <xf numFmtId="2"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4"/>
  <sheetViews>
    <sheetView tabSelected="1" workbookViewId="0">
      <selection activeCell="V2" sqref="V2:Y34"/>
    </sheetView>
  </sheetViews>
  <sheetFormatPr baseColWidth="10" defaultColWidth="8.83203125" defaultRowHeight="15" x14ac:dyDescent="0.2"/>
  <sheetData>
    <row r="1" spans="1:2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
      <c r="A2" t="s">
        <v>25</v>
      </c>
      <c r="B2" t="s">
        <v>26</v>
      </c>
      <c r="C2" t="s">
        <v>106</v>
      </c>
      <c r="D2" t="s">
        <v>107</v>
      </c>
      <c r="E2" t="s">
        <v>108</v>
      </c>
      <c r="F2" t="s">
        <v>109</v>
      </c>
      <c r="G2" t="b">
        <v>0</v>
      </c>
      <c r="H2" t="b">
        <v>0</v>
      </c>
      <c r="I2" t="b">
        <v>0</v>
      </c>
      <c r="J2">
        <v>0</v>
      </c>
      <c r="K2">
        <v>0</v>
      </c>
      <c r="O2">
        <v>0</v>
      </c>
      <c r="P2">
        <v>0</v>
      </c>
      <c r="Q2">
        <v>0</v>
      </c>
      <c r="R2">
        <v>0</v>
      </c>
      <c r="S2" t="s">
        <v>27</v>
      </c>
      <c r="T2" t="s">
        <v>27</v>
      </c>
      <c r="U2" t="s">
        <v>28</v>
      </c>
      <c r="V2">
        <v>0</v>
      </c>
      <c r="W2">
        <v>0</v>
      </c>
      <c r="X2">
        <v>0</v>
      </c>
      <c r="Y2">
        <v>0</v>
      </c>
    </row>
    <row r="3" spans="1:25" x14ac:dyDescent="0.2">
      <c r="A3" t="s">
        <v>29</v>
      </c>
      <c r="B3" t="s">
        <v>30</v>
      </c>
      <c r="C3" t="s">
        <v>110</v>
      </c>
      <c r="D3" t="s">
        <v>111</v>
      </c>
      <c r="E3" t="s">
        <v>112</v>
      </c>
      <c r="F3" t="s">
        <v>113</v>
      </c>
      <c r="G3" t="b">
        <v>0</v>
      </c>
      <c r="H3" t="b">
        <v>0</v>
      </c>
      <c r="I3" t="b">
        <v>0</v>
      </c>
      <c r="J3">
        <v>0</v>
      </c>
      <c r="K3">
        <v>0</v>
      </c>
      <c r="O3">
        <v>0</v>
      </c>
      <c r="P3">
        <v>0</v>
      </c>
      <c r="Q3">
        <v>0</v>
      </c>
      <c r="R3">
        <v>0</v>
      </c>
      <c r="S3" t="s">
        <v>27</v>
      </c>
      <c r="T3" t="s">
        <v>27</v>
      </c>
      <c r="U3" t="s">
        <v>28</v>
      </c>
      <c r="V3">
        <v>0</v>
      </c>
      <c r="W3">
        <v>0</v>
      </c>
      <c r="X3">
        <v>0</v>
      </c>
      <c r="Y3">
        <v>0</v>
      </c>
    </row>
    <row r="4" spans="1:25" x14ac:dyDescent="0.2">
      <c r="A4" t="s">
        <v>31</v>
      </c>
      <c r="B4" t="s">
        <v>32</v>
      </c>
      <c r="C4" t="s">
        <v>114</v>
      </c>
      <c r="D4" t="s">
        <v>115</v>
      </c>
      <c r="E4" t="s">
        <v>116</v>
      </c>
      <c r="F4" t="s">
        <v>117</v>
      </c>
      <c r="G4" t="b">
        <v>0</v>
      </c>
      <c r="H4" t="b">
        <v>0</v>
      </c>
      <c r="I4" t="b">
        <v>0</v>
      </c>
      <c r="J4">
        <v>0</v>
      </c>
      <c r="K4">
        <v>0</v>
      </c>
      <c r="O4">
        <v>0</v>
      </c>
      <c r="P4">
        <v>0</v>
      </c>
      <c r="Q4">
        <v>0</v>
      </c>
      <c r="R4">
        <v>0</v>
      </c>
      <c r="S4" t="s">
        <v>27</v>
      </c>
      <c r="T4" t="s">
        <v>27</v>
      </c>
      <c r="U4" t="s">
        <v>28</v>
      </c>
      <c r="V4">
        <v>0</v>
      </c>
      <c r="W4">
        <v>0</v>
      </c>
      <c r="X4">
        <v>0</v>
      </c>
      <c r="Y4">
        <v>0</v>
      </c>
    </row>
    <row r="5" spans="1:25" x14ac:dyDescent="0.2">
      <c r="A5" t="s">
        <v>33</v>
      </c>
      <c r="B5" t="s">
        <v>34</v>
      </c>
      <c r="C5" t="s">
        <v>118</v>
      </c>
      <c r="D5" t="s">
        <v>119</v>
      </c>
      <c r="E5" t="s">
        <v>120</v>
      </c>
      <c r="F5" t="s">
        <v>121</v>
      </c>
      <c r="G5" t="b">
        <v>1</v>
      </c>
      <c r="H5" t="b">
        <v>0</v>
      </c>
      <c r="I5" t="b">
        <v>1</v>
      </c>
      <c r="J5">
        <v>0</v>
      </c>
      <c r="K5">
        <v>2</v>
      </c>
      <c r="L5">
        <v>18.57</v>
      </c>
      <c r="M5">
        <v>18.71</v>
      </c>
      <c r="N5">
        <v>15.3</v>
      </c>
      <c r="O5">
        <v>0.06</v>
      </c>
      <c r="P5">
        <v>0.61</v>
      </c>
      <c r="Q5">
        <v>0.78</v>
      </c>
      <c r="S5" t="s">
        <v>122</v>
      </c>
      <c r="T5" t="s">
        <v>123</v>
      </c>
      <c r="U5" t="s">
        <v>28</v>
      </c>
      <c r="V5">
        <v>1</v>
      </c>
      <c r="W5">
        <v>0</v>
      </c>
      <c r="X5">
        <v>0.5</v>
      </c>
      <c r="Y5">
        <v>0.33333333333333331</v>
      </c>
    </row>
    <row r="6" spans="1:25" x14ac:dyDescent="0.2">
      <c r="A6" t="s">
        <v>35</v>
      </c>
      <c r="B6" t="s">
        <v>36</v>
      </c>
      <c r="C6" t="s">
        <v>124</v>
      </c>
      <c r="D6" t="s">
        <v>125</v>
      </c>
      <c r="E6" t="s">
        <v>126</v>
      </c>
      <c r="F6" t="s">
        <v>127</v>
      </c>
      <c r="G6" t="b">
        <v>0</v>
      </c>
      <c r="H6" t="b">
        <v>0</v>
      </c>
      <c r="I6" t="b">
        <v>0</v>
      </c>
      <c r="J6">
        <v>0</v>
      </c>
      <c r="K6">
        <v>0</v>
      </c>
      <c r="O6">
        <v>0</v>
      </c>
      <c r="P6">
        <v>0</v>
      </c>
      <c r="Q6">
        <v>0</v>
      </c>
      <c r="R6">
        <v>0</v>
      </c>
      <c r="S6" t="s">
        <v>27</v>
      </c>
      <c r="T6" t="s">
        <v>27</v>
      </c>
      <c r="U6" t="s">
        <v>28</v>
      </c>
      <c r="V6">
        <v>0</v>
      </c>
      <c r="W6">
        <v>0</v>
      </c>
      <c r="X6">
        <v>0</v>
      </c>
      <c r="Y6">
        <v>0</v>
      </c>
    </row>
    <row r="7" spans="1:25" x14ac:dyDescent="0.2">
      <c r="A7" t="s">
        <v>37</v>
      </c>
      <c r="B7" t="s">
        <v>38</v>
      </c>
      <c r="C7" t="s">
        <v>128</v>
      </c>
      <c r="D7" t="s">
        <v>129</v>
      </c>
      <c r="E7" t="s">
        <v>130</v>
      </c>
      <c r="F7" t="s">
        <v>131</v>
      </c>
      <c r="G7" t="b">
        <v>0</v>
      </c>
      <c r="H7" t="b">
        <v>0</v>
      </c>
      <c r="I7" t="b">
        <v>0</v>
      </c>
      <c r="J7">
        <v>0</v>
      </c>
      <c r="K7">
        <v>0</v>
      </c>
      <c r="O7">
        <v>0</v>
      </c>
      <c r="P7">
        <v>0</v>
      </c>
      <c r="Q7">
        <v>0</v>
      </c>
      <c r="R7">
        <v>0</v>
      </c>
      <c r="S7" t="s">
        <v>27</v>
      </c>
      <c r="T7" t="s">
        <v>27</v>
      </c>
      <c r="U7" t="s">
        <v>28</v>
      </c>
      <c r="V7">
        <v>0</v>
      </c>
      <c r="W7">
        <v>0</v>
      </c>
      <c r="X7">
        <v>0</v>
      </c>
      <c r="Y7">
        <v>0</v>
      </c>
    </row>
    <row r="8" spans="1:25" x14ac:dyDescent="0.2">
      <c r="A8" t="s">
        <v>39</v>
      </c>
      <c r="B8" t="s">
        <v>40</v>
      </c>
      <c r="C8" t="s">
        <v>132</v>
      </c>
      <c r="D8" t="s">
        <v>133</v>
      </c>
      <c r="E8" t="s">
        <v>134</v>
      </c>
      <c r="F8" t="s">
        <v>135</v>
      </c>
      <c r="G8" t="b">
        <v>1</v>
      </c>
      <c r="H8" t="b">
        <v>0</v>
      </c>
      <c r="I8" t="b">
        <v>1</v>
      </c>
      <c r="J8">
        <v>0</v>
      </c>
      <c r="K8">
        <v>1</v>
      </c>
      <c r="L8">
        <v>17.920000000000002</v>
      </c>
      <c r="M8">
        <v>18.920000000000002</v>
      </c>
      <c r="N8">
        <v>15.71</v>
      </c>
      <c r="O8">
        <v>0.03</v>
      </c>
      <c r="P8">
        <v>0.66</v>
      </c>
      <c r="Q8">
        <v>0.76</v>
      </c>
      <c r="S8" t="s">
        <v>62</v>
      </c>
      <c r="T8" t="s">
        <v>136</v>
      </c>
      <c r="U8" t="s">
        <v>28</v>
      </c>
      <c r="V8">
        <v>1</v>
      </c>
      <c r="W8">
        <v>0</v>
      </c>
      <c r="X8">
        <v>0.5</v>
      </c>
      <c r="Y8">
        <v>0.33333333333333331</v>
      </c>
    </row>
    <row r="9" spans="1:25" x14ac:dyDescent="0.2">
      <c r="A9" t="s">
        <v>41</v>
      </c>
      <c r="B9" t="s">
        <v>42</v>
      </c>
      <c r="C9" t="s">
        <v>137</v>
      </c>
      <c r="D9" t="s">
        <v>138</v>
      </c>
      <c r="E9" t="s">
        <v>139</v>
      </c>
      <c r="F9" t="s">
        <v>140</v>
      </c>
      <c r="G9" t="b">
        <v>1</v>
      </c>
      <c r="H9" t="b">
        <v>0</v>
      </c>
      <c r="I9" t="b">
        <v>1</v>
      </c>
      <c r="J9">
        <v>0</v>
      </c>
      <c r="K9">
        <v>4</v>
      </c>
      <c r="L9">
        <v>14.02</v>
      </c>
      <c r="M9">
        <v>17.559999999999999</v>
      </c>
      <c r="N9">
        <v>13.28</v>
      </c>
      <c r="O9">
        <v>0</v>
      </c>
      <c r="P9">
        <v>0.69</v>
      </c>
      <c r="Q9">
        <v>0.74</v>
      </c>
      <c r="S9" t="s">
        <v>141</v>
      </c>
      <c r="T9" t="s">
        <v>142</v>
      </c>
      <c r="U9" t="s">
        <v>28</v>
      </c>
      <c r="V9">
        <v>1</v>
      </c>
      <c r="W9">
        <v>0</v>
      </c>
      <c r="X9">
        <v>0.5</v>
      </c>
      <c r="Y9">
        <v>0.33333333333333331</v>
      </c>
    </row>
    <row r="10" spans="1:25" x14ac:dyDescent="0.2">
      <c r="A10" t="s">
        <v>43</v>
      </c>
      <c r="B10" t="s">
        <v>44</v>
      </c>
      <c r="C10" t="s">
        <v>143</v>
      </c>
      <c r="D10" t="s">
        <v>144</v>
      </c>
      <c r="E10" t="s">
        <v>145</v>
      </c>
      <c r="F10" t="s">
        <v>146</v>
      </c>
      <c r="G10" t="b">
        <v>0</v>
      </c>
      <c r="H10" t="b">
        <v>0</v>
      </c>
      <c r="I10" t="b">
        <v>0</v>
      </c>
      <c r="J10">
        <v>0</v>
      </c>
      <c r="K10">
        <v>0</v>
      </c>
      <c r="O10">
        <v>0</v>
      </c>
      <c r="P10">
        <v>0</v>
      </c>
      <c r="Q10">
        <v>0</v>
      </c>
      <c r="R10">
        <v>0</v>
      </c>
      <c r="S10" t="s">
        <v>27</v>
      </c>
      <c r="T10" t="s">
        <v>27</v>
      </c>
      <c r="U10" t="s">
        <v>28</v>
      </c>
      <c r="V10">
        <v>0</v>
      </c>
      <c r="W10">
        <v>0</v>
      </c>
      <c r="X10">
        <v>0</v>
      </c>
      <c r="Y10">
        <v>0</v>
      </c>
    </row>
    <row r="11" spans="1:25" x14ac:dyDescent="0.2">
      <c r="A11" t="s">
        <v>45</v>
      </c>
      <c r="B11" t="s">
        <v>46</v>
      </c>
      <c r="C11" t="s">
        <v>147</v>
      </c>
      <c r="D11" t="s">
        <v>148</v>
      </c>
      <c r="E11" t="s">
        <v>149</v>
      </c>
      <c r="F11" t="s">
        <v>150</v>
      </c>
      <c r="G11" t="b">
        <v>1</v>
      </c>
      <c r="H11" t="b">
        <v>1</v>
      </c>
      <c r="I11" t="b">
        <v>1</v>
      </c>
      <c r="J11">
        <v>1</v>
      </c>
      <c r="K11">
        <v>1</v>
      </c>
      <c r="L11">
        <v>9.31</v>
      </c>
      <c r="M11">
        <v>17.48</v>
      </c>
      <c r="N11">
        <v>11.88</v>
      </c>
      <c r="O11">
        <v>0</v>
      </c>
      <c r="P11">
        <v>0.68</v>
      </c>
      <c r="Q11">
        <v>0.75</v>
      </c>
      <c r="R11">
        <v>1</v>
      </c>
      <c r="S11" t="s">
        <v>151</v>
      </c>
      <c r="T11" t="s">
        <v>152</v>
      </c>
      <c r="U11" t="s">
        <v>28</v>
      </c>
      <c r="V11">
        <v>1</v>
      </c>
      <c r="W11">
        <v>0</v>
      </c>
      <c r="X11">
        <v>0.5</v>
      </c>
      <c r="Y11">
        <v>0.33333333333333331</v>
      </c>
    </row>
    <row r="12" spans="1:25" x14ac:dyDescent="0.2">
      <c r="A12" t="s">
        <v>47</v>
      </c>
      <c r="B12" t="s">
        <v>48</v>
      </c>
      <c r="C12" t="s">
        <v>153</v>
      </c>
      <c r="D12" t="s">
        <v>154</v>
      </c>
      <c r="E12" t="s">
        <v>155</v>
      </c>
      <c r="F12" t="s">
        <v>156</v>
      </c>
      <c r="G12" t="b">
        <v>1</v>
      </c>
      <c r="H12" t="b">
        <v>0</v>
      </c>
      <c r="I12" t="b">
        <v>1</v>
      </c>
      <c r="J12">
        <v>0</v>
      </c>
      <c r="K12">
        <v>2</v>
      </c>
      <c r="L12">
        <v>8.99</v>
      </c>
      <c r="M12">
        <v>84.76</v>
      </c>
      <c r="N12">
        <v>34.020000000000003</v>
      </c>
      <c r="O12">
        <v>0</v>
      </c>
      <c r="P12">
        <v>0.73</v>
      </c>
      <c r="Q12">
        <v>0.76</v>
      </c>
      <c r="S12" t="s">
        <v>157</v>
      </c>
      <c r="T12" t="s">
        <v>158</v>
      </c>
      <c r="U12" t="s">
        <v>28</v>
      </c>
      <c r="V12">
        <v>1</v>
      </c>
      <c r="W12">
        <v>0</v>
      </c>
      <c r="X12">
        <v>0.5</v>
      </c>
      <c r="Y12">
        <v>0.33333333333333331</v>
      </c>
    </row>
    <row r="13" spans="1:25" x14ac:dyDescent="0.2">
      <c r="A13" t="s">
        <v>49</v>
      </c>
      <c r="B13" t="s">
        <v>50</v>
      </c>
      <c r="C13" t="s">
        <v>159</v>
      </c>
      <c r="D13" t="s">
        <v>160</v>
      </c>
      <c r="E13" t="s">
        <v>161</v>
      </c>
      <c r="F13" t="s">
        <v>162</v>
      </c>
      <c r="G13" t="b">
        <v>0</v>
      </c>
      <c r="H13" t="b">
        <v>0</v>
      </c>
      <c r="I13" t="b">
        <v>0</v>
      </c>
      <c r="J13">
        <v>0</v>
      </c>
      <c r="K13">
        <v>0</v>
      </c>
      <c r="O13">
        <v>0</v>
      </c>
      <c r="P13">
        <v>0</v>
      </c>
      <c r="Q13">
        <v>0</v>
      </c>
      <c r="R13">
        <v>0</v>
      </c>
      <c r="S13" t="s">
        <v>27</v>
      </c>
      <c r="T13" t="s">
        <v>27</v>
      </c>
      <c r="U13" t="s">
        <v>28</v>
      </c>
      <c r="V13">
        <v>0</v>
      </c>
      <c r="W13">
        <v>0</v>
      </c>
      <c r="X13">
        <v>0</v>
      </c>
      <c r="Y13">
        <v>0</v>
      </c>
    </row>
    <row r="14" spans="1:25" x14ac:dyDescent="0.2">
      <c r="A14" t="s">
        <v>51</v>
      </c>
      <c r="B14" t="s">
        <v>52</v>
      </c>
      <c r="C14" t="s">
        <v>163</v>
      </c>
      <c r="D14" t="s">
        <v>164</v>
      </c>
      <c r="E14" t="s">
        <v>165</v>
      </c>
      <c r="F14" t="s">
        <v>166</v>
      </c>
      <c r="G14" t="b">
        <v>0</v>
      </c>
      <c r="H14" t="b">
        <v>0</v>
      </c>
      <c r="I14" t="b">
        <v>0</v>
      </c>
      <c r="J14">
        <v>0</v>
      </c>
      <c r="K14">
        <v>0</v>
      </c>
      <c r="O14">
        <v>0</v>
      </c>
      <c r="P14">
        <v>0</v>
      </c>
      <c r="Q14">
        <v>0</v>
      </c>
      <c r="R14">
        <v>0</v>
      </c>
      <c r="S14" t="s">
        <v>27</v>
      </c>
      <c r="T14" t="s">
        <v>27</v>
      </c>
      <c r="U14" t="s">
        <v>55</v>
      </c>
      <c r="V14">
        <v>0</v>
      </c>
      <c r="W14">
        <v>0</v>
      </c>
      <c r="X14">
        <v>0</v>
      </c>
      <c r="Y14">
        <v>0</v>
      </c>
    </row>
    <row r="15" spans="1:25" x14ac:dyDescent="0.2">
      <c r="A15" t="s">
        <v>53</v>
      </c>
      <c r="B15" t="s">
        <v>54</v>
      </c>
      <c r="C15" t="s">
        <v>167</v>
      </c>
      <c r="D15" t="s">
        <v>168</v>
      </c>
      <c r="E15" t="s">
        <v>169</v>
      </c>
      <c r="F15" t="s">
        <v>170</v>
      </c>
      <c r="G15" t="b">
        <v>0</v>
      </c>
      <c r="H15" t="b">
        <v>0</v>
      </c>
      <c r="I15" t="b">
        <v>0</v>
      </c>
      <c r="J15">
        <v>0</v>
      </c>
      <c r="K15">
        <v>0</v>
      </c>
      <c r="O15">
        <v>0</v>
      </c>
      <c r="P15">
        <v>0</v>
      </c>
      <c r="Q15">
        <v>0</v>
      </c>
      <c r="R15">
        <v>0</v>
      </c>
      <c r="S15" t="s">
        <v>27</v>
      </c>
      <c r="T15" t="s">
        <v>27</v>
      </c>
      <c r="U15" t="s">
        <v>55</v>
      </c>
      <c r="V15">
        <v>0</v>
      </c>
      <c r="W15">
        <v>0</v>
      </c>
      <c r="X15">
        <v>0</v>
      </c>
      <c r="Y15">
        <v>0</v>
      </c>
    </row>
    <row r="16" spans="1:25" x14ac:dyDescent="0.2">
      <c r="A16" t="s">
        <v>56</v>
      </c>
      <c r="B16" t="s">
        <v>57</v>
      </c>
      <c r="C16" t="s">
        <v>171</v>
      </c>
      <c r="D16" t="s">
        <v>172</v>
      </c>
      <c r="E16" t="s">
        <v>173</v>
      </c>
      <c r="F16" t="s">
        <v>174</v>
      </c>
      <c r="G16" t="b">
        <v>1</v>
      </c>
      <c r="H16" t="b">
        <v>0</v>
      </c>
      <c r="I16" t="b">
        <v>1</v>
      </c>
      <c r="J16">
        <v>0</v>
      </c>
      <c r="K16">
        <v>3</v>
      </c>
      <c r="L16">
        <v>12.03</v>
      </c>
      <c r="M16">
        <v>17.91</v>
      </c>
      <c r="N16">
        <v>13.8</v>
      </c>
      <c r="O16">
        <v>0.12</v>
      </c>
      <c r="P16">
        <v>0.7</v>
      </c>
      <c r="Q16">
        <v>0.86</v>
      </c>
      <c r="S16" t="s">
        <v>175</v>
      </c>
      <c r="T16" t="s">
        <v>176</v>
      </c>
      <c r="U16" t="s">
        <v>55</v>
      </c>
      <c r="V16">
        <v>1</v>
      </c>
      <c r="W16">
        <v>0</v>
      </c>
      <c r="X16">
        <v>0.5</v>
      </c>
      <c r="Y16">
        <v>0.33333333333333331</v>
      </c>
    </row>
    <row r="17" spans="1:25" x14ac:dyDescent="0.2">
      <c r="A17" t="s">
        <v>58</v>
      </c>
      <c r="B17" t="s">
        <v>59</v>
      </c>
      <c r="C17" t="s">
        <v>177</v>
      </c>
      <c r="D17" t="s">
        <v>178</v>
      </c>
      <c r="E17" t="s">
        <v>179</v>
      </c>
      <c r="F17" t="s">
        <v>180</v>
      </c>
      <c r="G17" t="b">
        <v>0</v>
      </c>
      <c r="H17" t="b">
        <v>0</v>
      </c>
      <c r="I17" t="b">
        <v>0</v>
      </c>
      <c r="J17">
        <v>0</v>
      </c>
      <c r="K17">
        <v>0</v>
      </c>
      <c r="O17">
        <v>0</v>
      </c>
      <c r="P17">
        <v>0</v>
      </c>
      <c r="Q17">
        <v>0</v>
      </c>
      <c r="R17">
        <v>0</v>
      </c>
      <c r="S17" t="s">
        <v>27</v>
      </c>
      <c r="T17" t="s">
        <v>27</v>
      </c>
      <c r="U17" t="s">
        <v>55</v>
      </c>
      <c r="V17">
        <v>0</v>
      </c>
      <c r="W17">
        <v>0</v>
      </c>
      <c r="X17">
        <v>0</v>
      </c>
      <c r="Y17">
        <v>0</v>
      </c>
    </row>
    <row r="18" spans="1:25" x14ac:dyDescent="0.2">
      <c r="A18" t="s">
        <v>60</v>
      </c>
      <c r="B18" t="s">
        <v>61</v>
      </c>
      <c r="C18" t="s">
        <v>181</v>
      </c>
      <c r="D18" t="s">
        <v>182</v>
      </c>
      <c r="E18" t="s">
        <v>183</v>
      </c>
      <c r="F18" t="s">
        <v>184</v>
      </c>
      <c r="G18" t="b">
        <v>0</v>
      </c>
      <c r="H18" t="b">
        <v>0</v>
      </c>
      <c r="I18" t="b">
        <v>0</v>
      </c>
      <c r="J18">
        <v>0</v>
      </c>
      <c r="K18">
        <v>0</v>
      </c>
      <c r="O18">
        <v>0</v>
      </c>
      <c r="P18">
        <v>0</v>
      </c>
      <c r="Q18">
        <v>0</v>
      </c>
      <c r="R18">
        <v>0</v>
      </c>
      <c r="S18" t="s">
        <v>27</v>
      </c>
      <c r="T18" t="s">
        <v>27</v>
      </c>
      <c r="U18" t="s">
        <v>55</v>
      </c>
      <c r="V18">
        <v>0</v>
      </c>
      <c r="W18">
        <v>0</v>
      </c>
      <c r="X18">
        <v>0</v>
      </c>
      <c r="Y18">
        <v>0</v>
      </c>
    </row>
    <row r="19" spans="1:25" x14ac:dyDescent="0.2">
      <c r="A19" t="s">
        <v>63</v>
      </c>
      <c r="B19" t="s">
        <v>64</v>
      </c>
      <c r="C19" t="s">
        <v>185</v>
      </c>
      <c r="D19" t="s">
        <v>186</v>
      </c>
      <c r="E19" t="s">
        <v>187</v>
      </c>
      <c r="F19" t="s">
        <v>188</v>
      </c>
      <c r="G19" t="b">
        <v>0</v>
      </c>
      <c r="H19" t="b">
        <v>0</v>
      </c>
      <c r="I19" t="b">
        <v>0</v>
      </c>
      <c r="J19">
        <v>0</v>
      </c>
      <c r="K19">
        <v>0</v>
      </c>
      <c r="O19">
        <v>0</v>
      </c>
      <c r="P19">
        <v>0</v>
      </c>
      <c r="Q19">
        <v>0</v>
      </c>
      <c r="R19">
        <v>0</v>
      </c>
      <c r="S19" t="s">
        <v>27</v>
      </c>
      <c r="T19" t="s">
        <v>27</v>
      </c>
      <c r="U19" t="s">
        <v>55</v>
      </c>
      <c r="V19">
        <v>0</v>
      </c>
      <c r="W19">
        <v>0</v>
      </c>
      <c r="X19">
        <v>0</v>
      </c>
      <c r="Y19">
        <v>0</v>
      </c>
    </row>
    <row r="20" spans="1:25" x14ac:dyDescent="0.2">
      <c r="A20" t="s">
        <v>65</v>
      </c>
      <c r="B20" t="s">
        <v>66</v>
      </c>
      <c r="C20" t="s">
        <v>189</v>
      </c>
      <c r="D20" t="s">
        <v>190</v>
      </c>
      <c r="E20" t="s">
        <v>191</v>
      </c>
      <c r="F20" t="s">
        <v>192</v>
      </c>
      <c r="G20" t="b">
        <v>1</v>
      </c>
      <c r="H20" t="b">
        <v>0</v>
      </c>
      <c r="I20" t="b">
        <v>1</v>
      </c>
      <c r="J20">
        <v>0</v>
      </c>
      <c r="K20">
        <v>2</v>
      </c>
      <c r="L20">
        <v>17.3</v>
      </c>
      <c r="M20">
        <v>17.32</v>
      </c>
      <c r="N20">
        <v>17.07</v>
      </c>
      <c r="O20">
        <v>0</v>
      </c>
      <c r="P20">
        <v>0.78</v>
      </c>
      <c r="Q20">
        <v>0.75</v>
      </c>
      <c r="S20" t="s">
        <v>67</v>
      </c>
      <c r="T20" t="s">
        <v>68</v>
      </c>
      <c r="U20" t="s">
        <v>55</v>
      </c>
      <c r="V20">
        <v>1</v>
      </c>
      <c r="W20">
        <v>0</v>
      </c>
      <c r="X20">
        <v>0.5</v>
      </c>
      <c r="Y20">
        <v>0.33333333333333331</v>
      </c>
    </row>
    <row r="21" spans="1:25" x14ac:dyDescent="0.2">
      <c r="A21" t="s">
        <v>69</v>
      </c>
      <c r="B21" t="s">
        <v>70</v>
      </c>
      <c r="C21" t="s">
        <v>193</v>
      </c>
      <c r="D21" t="s">
        <v>194</v>
      </c>
      <c r="E21" t="s">
        <v>195</v>
      </c>
      <c r="F21" t="s">
        <v>196</v>
      </c>
      <c r="G21" t="b">
        <v>1</v>
      </c>
      <c r="H21" t="b">
        <v>0</v>
      </c>
      <c r="I21" t="b">
        <v>1</v>
      </c>
      <c r="J21">
        <v>0</v>
      </c>
      <c r="K21">
        <v>2</v>
      </c>
      <c r="L21">
        <v>16.64</v>
      </c>
      <c r="M21">
        <v>16.72</v>
      </c>
      <c r="N21">
        <v>15.56</v>
      </c>
      <c r="O21">
        <v>0.04</v>
      </c>
      <c r="P21">
        <v>0.6</v>
      </c>
      <c r="Q21">
        <v>0.73</v>
      </c>
      <c r="S21" t="s">
        <v>197</v>
      </c>
      <c r="T21" t="s">
        <v>198</v>
      </c>
      <c r="U21" t="s">
        <v>55</v>
      </c>
      <c r="V21">
        <v>1</v>
      </c>
      <c r="W21">
        <v>0</v>
      </c>
      <c r="X21">
        <v>0.5</v>
      </c>
      <c r="Y21">
        <v>0.33333333333333331</v>
      </c>
    </row>
    <row r="22" spans="1:25" x14ac:dyDescent="0.2">
      <c r="A22" t="s">
        <v>71</v>
      </c>
      <c r="B22" t="s">
        <v>72</v>
      </c>
      <c r="C22" t="s">
        <v>199</v>
      </c>
      <c r="D22" t="s">
        <v>200</v>
      </c>
      <c r="E22" t="s">
        <v>201</v>
      </c>
      <c r="F22" t="s">
        <v>202</v>
      </c>
      <c r="G22" t="b">
        <v>1</v>
      </c>
      <c r="H22" t="b">
        <v>0</v>
      </c>
      <c r="I22" t="b">
        <v>1</v>
      </c>
      <c r="J22">
        <v>0</v>
      </c>
      <c r="K22">
        <v>2</v>
      </c>
      <c r="L22">
        <v>24.89</v>
      </c>
      <c r="M22">
        <v>26.56</v>
      </c>
      <c r="N22">
        <v>23.59</v>
      </c>
      <c r="O22">
        <v>0.12</v>
      </c>
      <c r="P22">
        <v>0.75</v>
      </c>
      <c r="Q22">
        <v>0.78</v>
      </c>
      <c r="S22" t="s">
        <v>203</v>
      </c>
      <c r="T22" t="s">
        <v>204</v>
      </c>
      <c r="U22" t="s">
        <v>55</v>
      </c>
      <c r="V22">
        <v>1</v>
      </c>
      <c r="W22">
        <v>0</v>
      </c>
      <c r="X22">
        <v>0.5</v>
      </c>
      <c r="Y22">
        <v>0.33333333333333331</v>
      </c>
    </row>
    <row r="23" spans="1:25" x14ac:dyDescent="0.2">
      <c r="A23" t="s">
        <v>73</v>
      </c>
      <c r="B23" t="s">
        <v>74</v>
      </c>
      <c r="C23" t="s">
        <v>205</v>
      </c>
      <c r="D23" t="s">
        <v>206</v>
      </c>
      <c r="E23" t="s">
        <v>207</v>
      </c>
      <c r="F23" t="s">
        <v>208</v>
      </c>
      <c r="G23" t="b">
        <v>0</v>
      </c>
      <c r="H23" t="b">
        <v>0</v>
      </c>
      <c r="I23" t="b">
        <v>0</v>
      </c>
      <c r="J23">
        <v>0</v>
      </c>
      <c r="K23">
        <v>0</v>
      </c>
      <c r="O23">
        <v>0</v>
      </c>
      <c r="P23">
        <v>0</v>
      </c>
      <c r="Q23">
        <v>0</v>
      </c>
      <c r="R23">
        <v>0</v>
      </c>
      <c r="S23" t="s">
        <v>27</v>
      </c>
      <c r="T23" t="s">
        <v>27</v>
      </c>
      <c r="U23" t="s">
        <v>55</v>
      </c>
      <c r="V23">
        <v>0</v>
      </c>
      <c r="W23">
        <v>0</v>
      </c>
      <c r="X23">
        <v>0</v>
      </c>
      <c r="Y23">
        <v>0</v>
      </c>
    </row>
    <row r="24" spans="1:25" x14ac:dyDescent="0.2">
      <c r="A24" t="s">
        <v>75</v>
      </c>
      <c r="B24" t="s">
        <v>76</v>
      </c>
      <c r="C24" t="s">
        <v>209</v>
      </c>
      <c r="D24" t="s">
        <v>210</v>
      </c>
      <c r="E24" t="s">
        <v>211</v>
      </c>
      <c r="F24" t="s">
        <v>212</v>
      </c>
      <c r="G24" t="b">
        <v>1</v>
      </c>
      <c r="H24" t="b">
        <v>0</v>
      </c>
      <c r="I24" t="b">
        <v>1</v>
      </c>
      <c r="J24">
        <v>0</v>
      </c>
      <c r="K24">
        <v>2</v>
      </c>
      <c r="L24">
        <v>18.2</v>
      </c>
      <c r="M24">
        <v>18.64</v>
      </c>
      <c r="N24">
        <v>18.32</v>
      </c>
      <c r="O24">
        <v>0.1</v>
      </c>
      <c r="P24">
        <v>0.62</v>
      </c>
      <c r="Q24">
        <v>0.86</v>
      </c>
      <c r="S24" t="s">
        <v>213</v>
      </c>
      <c r="T24" t="s">
        <v>214</v>
      </c>
      <c r="U24" t="s">
        <v>55</v>
      </c>
      <c r="V24">
        <v>1</v>
      </c>
      <c r="W24">
        <v>0</v>
      </c>
      <c r="X24">
        <v>0.5</v>
      </c>
      <c r="Y24">
        <v>0.33333333333333331</v>
      </c>
    </row>
    <row r="25" spans="1:25" x14ac:dyDescent="0.2">
      <c r="A25" t="s">
        <v>77</v>
      </c>
      <c r="B25" t="s">
        <v>78</v>
      </c>
      <c r="C25" t="s">
        <v>215</v>
      </c>
      <c r="D25" t="s">
        <v>216</v>
      </c>
      <c r="E25" t="s">
        <v>217</v>
      </c>
      <c r="F25" t="s">
        <v>218</v>
      </c>
      <c r="G25" t="b">
        <v>1</v>
      </c>
      <c r="H25" t="b">
        <v>1</v>
      </c>
      <c r="I25" t="b">
        <v>1</v>
      </c>
      <c r="J25">
        <v>35</v>
      </c>
      <c r="K25">
        <v>3</v>
      </c>
      <c r="L25">
        <v>21.13</v>
      </c>
      <c r="M25">
        <v>28.7</v>
      </c>
      <c r="N25">
        <v>20.81</v>
      </c>
      <c r="O25">
        <v>0.04</v>
      </c>
      <c r="P25">
        <v>0.65</v>
      </c>
      <c r="Q25">
        <v>0.82</v>
      </c>
      <c r="R25">
        <v>0.84</v>
      </c>
      <c r="S25" t="s">
        <v>62</v>
      </c>
      <c r="T25" t="s">
        <v>219</v>
      </c>
      <c r="U25" t="s">
        <v>83</v>
      </c>
      <c r="V25">
        <v>1</v>
      </c>
      <c r="W25">
        <v>0.66666666666666674</v>
      </c>
      <c r="X25">
        <v>0.83333333333333337</v>
      </c>
      <c r="Y25">
        <v>0.26444444444444448</v>
      </c>
    </row>
    <row r="26" spans="1:25" x14ac:dyDescent="0.2">
      <c r="A26" t="s">
        <v>79</v>
      </c>
      <c r="B26" t="s">
        <v>80</v>
      </c>
      <c r="C26" t="s">
        <v>220</v>
      </c>
      <c r="D26" t="s">
        <v>221</v>
      </c>
      <c r="E26" t="s">
        <v>222</v>
      </c>
      <c r="F26" t="s">
        <v>223</v>
      </c>
      <c r="G26" t="b">
        <v>0</v>
      </c>
      <c r="H26" t="b">
        <v>0</v>
      </c>
      <c r="I26" t="b">
        <v>0</v>
      </c>
      <c r="J26">
        <v>0</v>
      </c>
      <c r="K26">
        <v>0</v>
      </c>
      <c r="O26">
        <v>0</v>
      </c>
      <c r="P26">
        <v>0</v>
      </c>
      <c r="Q26">
        <v>0</v>
      </c>
      <c r="R26">
        <v>0</v>
      </c>
      <c r="S26" t="s">
        <v>27</v>
      </c>
      <c r="T26" t="s">
        <v>27</v>
      </c>
      <c r="U26" t="s">
        <v>83</v>
      </c>
      <c r="V26">
        <v>0</v>
      </c>
      <c r="W26">
        <v>0</v>
      </c>
      <c r="X26">
        <v>0</v>
      </c>
      <c r="Y26">
        <v>0</v>
      </c>
    </row>
    <row r="27" spans="1:25" x14ac:dyDescent="0.2">
      <c r="A27" t="s">
        <v>81</v>
      </c>
      <c r="B27" t="s">
        <v>82</v>
      </c>
      <c r="C27" t="s">
        <v>224</v>
      </c>
      <c r="D27" t="s">
        <v>225</v>
      </c>
      <c r="E27" t="s">
        <v>226</v>
      </c>
      <c r="F27" t="s">
        <v>227</v>
      </c>
      <c r="G27" t="b">
        <v>1</v>
      </c>
      <c r="H27" t="b">
        <v>0</v>
      </c>
      <c r="I27" t="b">
        <v>1</v>
      </c>
      <c r="J27">
        <v>0</v>
      </c>
      <c r="K27">
        <v>1</v>
      </c>
      <c r="L27">
        <v>16.940000000000001</v>
      </c>
      <c r="M27">
        <v>17.96</v>
      </c>
      <c r="N27">
        <v>17.28</v>
      </c>
      <c r="O27">
        <v>0.03</v>
      </c>
      <c r="P27">
        <v>0.7</v>
      </c>
      <c r="Q27">
        <v>0.75</v>
      </c>
      <c r="S27" t="s">
        <v>228</v>
      </c>
      <c r="T27" t="s">
        <v>229</v>
      </c>
      <c r="U27" t="s">
        <v>83</v>
      </c>
      <c r="V27">
        <v>1</v>
      </c>
      <c r="W27">
        <v>0</v>
      </c>
      <c r="X27">
        <v>0.5</v>
      </c>
      <c r="Y27">
        <v>0.33333333333333331</v>
      </c>
    </row>
    <row r="28" spans="1:25" x14ac:dyDescent="0.2">
      <c r="A28" t="s">
        <v>84</v>
      </c>
      <c r="B28" t="s">
        <v>85</v>
      </c>
      <c r="C28" t="s">
        <v>230</v>
      </c>
      <c r="D28" t="s">
        <v>231</v>
      </c>
      <c r="E28" t="s">
        <v>232</v>
      </c>
      <c r="F28" t="s">
        <v>233</v>
      </c>
      <c r="G28" t="b">
        <v>1</v>
      </c>
      <c r="H28" t="b">
        <v>0</v>
      </c>
      <c r="I28" t="b">
        <v>1</v>
      </c>
      <c r="J28">
        <v>0</v>
      </c>
      <c r="K28">
        <v>4</v>
      </c>
      <c r="L28">
        <v>16.86</v>
      </c>
      <c r="M28">
        <v>19.18</v>
      </c>
      <c r="N28">
        <v>17.54</v>
      </c>
      <c r="O28">
        <v>0.15</v>
      </c>
      <c r="P28">
        <v>0.71</v>
      </c>
      <c r="Q28">
        <v>0.79</v>
      </c>
      <c r="S28" t="s">
        <v>234</v>
      </c>
      <c r="T28" t="s">
        <v>235</v>
      </c>
      <c r="U28" t="s">
        <v>83</v>
      </c>
      <c r="V28">
        <v>1</v>
      </c>
      <c r="W28">
        <v>0</v>
      </c>
      <c r="X28">
        <v>0.5</v>
      </c>
      <c r="Y28">
        <v>0.33333333333333331</v>
      </c>
    </row>
    <row r="29" spans="1:25" x14ac:dyDescent="0.2">
      <c r="A29" t="s">
        <v>86</v>
      </c>
      <c r="B29" t="s">
        <v>87</v>
      </c>
      <c r="C29" t="s">
        <v>236</v>
      </c>
      <c r="D29" t="s">
        <v>237</v>
      </c>
      <c r="E29" t="s">
        <v>238</v>
      </c>
      <c r="F29" t="s">
        <v>239</v>
      </c>
      <c r="G29" t="b">
        <v>0</v>
      </c>
      <c r="H29" t="b">
        <v>0</v>
      </c>
      <c r="I29" t="b">
        <v>0</v>
      </c>
      <c r="J29">
        <v>0</v>
      </c>
      <c r="K29">
        <v>0</v>
      </c>
      <c r="O29">
        <v>0</v>
      </c>
      <c r="P29">
        <v>0</v>
      </c>
      <c r="Q29">
        <v>0</v>
      </c>
      <c r="R29">
        <v>0</v>
      </c>
      <c r="S29" t="s">
        <v>27</v>
      </c>
      <c r="T29" t="s">
        <v>27</v>
      </c>
      <c r="U29" t="s">
        <v>83</v>
      </c>
      <c r="V29">
        <v>0</v>
      </c>
      <c r="W29">
        <v>0</v>
      </c>
      <c r="X29">
        <v>0</v>
      </c>
      <c r="Y29">
        <v>0</v>
      </c>
    </row>
    <row r="30" spans="1:25" x14ac:dyDescent="0.2">
      <c r="A30" t="s">
        <v>88</v>
      </c>
      <c r="B30" t="s">
        <v>89</v>
      </c>
      <c r="C30" t="s">
        <v>240</v>
      </c>
      <c r="D30" t="s">
        <v>241</v>
      </c>
      <c r="E30" t="s">
        <v>242</v>
      </c>
      <c r="F30" t="s">
        <v>243</v>
      </c>
      <c r="G30" t="b">
        <v>1</v>
      </c>
      <c r="H30" t="b">
        <v>0</v>
      </c>
      <c r="I30" t="b">
        <v>1</v>
      </c>
      <c r="J30">
        <v>0</v>
      </c>
      <c r="K30">
        <v>1</v>
      </c>
      <c r="L30">
        <v>19.03</v>
      </c>
      <c r="M30">
        <v>19.079999999999998</v>
      </c>
      <c r="N30">
        <v>18.87</v>
      </c>
      <c r="O30">
        <v>0.09</v>
      </c>
      <c r="P30">
        <v>0.62</v>
      </c>
      <c r="Q30">
        <v>0.82</v>
      </c>
      <c r="S30" t="s">
        <v>244</v>
      </c>
      <c r="T30" t="s">
        <v>245</v>
      </c>
      <c r="U30" t="s">
        <v>83</v>
      </c>
      <c r="V30">
        <v>1</v>
      </c>
      <c r="W30">
        <v>0</v>
      </c>
      <c r="X30">
        <v>0.5</v>
      </c>
      <c r="Y30">
        <v>0.33333333333333331</v>
      </c>
    </row>
    <row r="31" spans="1:25" x14ac:dyDescent="0.2">
      <c r="A31" t="s">
        <v>90</v>
      </c>
      <c r="B31" t="s">
        <v>91</v>
      </c>
      <c r="C31" t="s">
        <v>246</v>
      </c>
      <c r="D31" t="s">
        <v>247</v>
      </c>
      <c r="E31" t="s">
        <v>248</v>
      </c>
      <c r="F31" t="s">
        <v>249</v>
      </c>
      <c r="G31" t="b">
        <v>0</v>
      </c>
      <c r="H31" t="b">
        <v>0</v>
      </c>
      <c r="I31" t="b">
        <v>0</v>
      </c>
      <c r="J31">
        <v>0</v>
      </c>
      <c r="K31">
        <v>0</v>
      </c>
      <c r="O31">
        <v>0</v>
      </c>
      <c r="P31">
        <v>0</v>
      </c>
      <c r="Q31">
        <v>0</v>
      </c>
      <c r="R31">
        <v>0</v>
      </c>
      <c r="S31" t="s">
        <v>27</v>
      </c>
      <c r="T31" t="s">
        <v>27</v>
      </c>
      <c r="U31" t="s">
        <v>83</v>
      </c>
      <c r="V31">
        <v>0</v>
      </c>
      <c r="W31">
        <v>0</v>
      </c>
      <c r="X31">
        <v>0</v>
      </c>
      <c r="Y31">
        <v>0</v>
      </c>
    </row>
    <row r="32" spans="1:25" x14ac:dyDescent="0.2">
      <c r="A32" t="s">
        <v>92</v>
      </c>
      <c r="B32" t="s">
        <v>93</v>
      </c>
      <c r="C32" t="s">
        <v>250</v>
      </c>
      <c r="D32" t="s">
        <v>251</v>
      </c>
      <c r="E32" t="s">
        <v>252</v>
      </c>
      <c r="F32" t="s">
        <v>253</v>
      </c>
      <c r="G32" t="b">
        <v>0</v>
      </c>
      <c r="H32" t="b">
        <v>0</v>
      </c>
      <c r="I32" t="b">
        <v>0</v>
      </c>
      <c r="J32">
        <v>0</v>
      </c>
      <c r="K32">
        <v>0</v>
      </c>
      <c r="O32">
        <v>0</v>
      </c>
      <c r="P32">
        <v>0</v>
      </c>
      <c r="Q32">
        <v>0</v>
      </c>
      <c r="R32">
        <v>0</v>
      </c>
      <c r="S32" t="s">
        <v>27</v>
      </c>
      <c r="T32" t="s">
        <v>27</v>
      </c>
      <c r="U32" t="s">
        <v>83</v>
      </c>
      <c r="V32">
        <v>0</v>
      </c>
      <c r="W32">
        <v>0</v>
      </c>
      <c r="X32">
        <v>0</v>
      </c>
      <c r="Y32">
        <v>0</v>
      </c>
    </row>
    <row r="33" spans="1:25" x14ac:dyDescent="0.2">
      <c r="A33" t="s">
        <v>94</v>
      </c>
      <c r="B33" t="s">
        <v>95</v>
      </c>
      <c r="C33" t="s">
        <v>254</v>
      </c>
      <c r="D33" t="s">
        <v>255</v>
      </c>
      <c r="E33" t="s">
        <v>256</v>
      </c>
      <c r="F33" t="s">
        <v>257</v>
      </c>
      <c r="G33" t="b">
        <v>0</v>
      </c>
      <c r="H33" t="b">
        <v>0</v>
      </c>
      <c r="I33" t="b">
        <v>0</v>
      </c>
      <c r="J33">
        <v>0</v>
      </c>
      <c r="K33">
        <v>0</v>
      </c>
      <c r="O33">
        <v>0</v>
      </c>
      <c r="P33">
        <v>0</v>
      </c>
      <c r="Q33">
        <v>0</v>
      </c>
      <c r="R33">
        <v>0</v>
      </c>
      <c r="S33" t="s">
        <v>27</v>
      </c>
      <c r="T33" t="s">
        <v>27</v>
      </c>
      <c r="U33" t="s">
        <v>83</v>
      </c>
      <c r="V33">
        <v>0</v>
      </c>
      <c r="W33">
        <v>0</v>
      </c>
      <c r="X33">
        <v>0</v>
      </c>
      <c r="Y33">
        <v>0</v>
      </c>
    </row>
    <row r="34" spans="1:25" x14ac:dyDescent="0.2">
      <c r="A34" t="s">
        <v>96</v>
      </c>
      <c r="B34" t="s">
        <v>97</v>
      </c>
      <c r="C34" t="s">
        <v>258</v>
      </c>
      <c r="D34" t="s">
        <v>259</v>
      </c>
      <c r="E34" t="s">
        <v>260</v>
      </c>
      <c r="F34" t="s">
        <v>261</v>
      </c>
      <c r="G34" t="b">
        <v>0</v>
      </c>
      <c r="H34" t="b">
        <v>0</v>
      </c>
      <c r="I34" t="b">
        <v>0</v>
      </c>
      <c r="J34">
        <v>0</v>
      </c>
      <c r="K34">
        <v>0</v>
      </c>
      <c r="O34">
        <v>0</v>
      </c>
      <c r="P34">
        <v>0</v>
      </c>
      <c r="Q34">
        <v>0</v>
      </c>
      <c r="R34">
        <v>0</v>
      </c>
      <c r="S34" t="s">
        <v>27</v>
      </c>
      <c r="T34" t="s">
        <v>27</v>
      </c>
      <c r="U34" t="s">
        <v>83</v>
      </c>
      <c r="V34">
        <v>0</v>
      </c>
      <c r="W34">
        <v>0</v>
      </c>
      <c r="X34">
        <v>0</v>
      </c>
      <c r="Y34">
        <v>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12B88-ECF1-FC4A-B0D4-0CD9DE9D5C8A}">
  <dimension ref="A1:D4"/>
  <sheetViews>
    <sheetView workbookViewId="0">
      <selection activeCell="B2" sqref="B2"/>
    </sheetView>
  </sheetViews>
  <sheetFormatPr baseColWidth="10" defaultRowHeight="15" x14ac:dyDescent="0.2"/>
  <sheetData>
    <row r="1" spans="1:4" x14ac:dyDescent="0.2">
      <c r="A1" s="2" t="s">
        <v>102</v>
      </c>
      <c r="B1" s="2" t="s">
        <v>103</v>
      </c>
      <c r="C1" s="2" t="s">
        <v>104</v>
      </c>
      <c r="D1" s="2" t="s">
        <v>105</v>
      </c>
    </row>
    <row r="2" spans="1:4" x14ac:dyDescent="0.2">
      <c r="A2" t="str" cm="1">
        <f t="array" ref="A2:A4">_xlfn.UNIQUE(All!U2:U34)</f>
        <v>simple</v>
      </c>
      <c r="B2">
        <f>COUNTIF(All!U2:U34,Filter!A2)</f>
        <v>12</v>
      </c>
      <c r="C2">
        <f>COUNTIFS(All!$G:$G, TRUE, All!$U:$U, A2)</f>
        <v>5</v>
      </c>
      <c r="D2">
        <f>COUNTIFS(All!$G:$G, TRUE,
          All!$H:$H, TRUE,
          All!$I:$I, TRUE,
          All!$U:$U, A2)</f>
        <v>1</v>
      </c>
    </row>
    <row r="3" spans="1:4" x14ac:dyDescent="0.2">
      <c r="A3" t="str">
        <v>moderate</v>
      </c>
      <c r="B3">
        <f>COUNTIF(All!U3:U35,Filter!A3)</f>
        <v>11</v>
      </c>
      <c r="C3">
        <f>COUNTIFS(All!$G:$G, TRUE, All!$U:$U, A3)</f>
        <v>5</v>
      </c>
      <c r="D3">
        <f>COUNTIFS(All!$G:$G, TRUE,
          All!$H:$H, TRUE,
          All!$I:$I, TRUE,
          All!$U:$U, A3)</f>
        <v>0</v>
      </c>
    </row>
    <row r="4" spans="1:4" x14ac:dyDescent="0.2">
      <c r="A4" t="str">
        <v>complex</v>
      </c>
      <c r="B4">
        <f>COUNTIF(All!U4:U36,Filter!A4)</f>
        <v>10</v>
      </c>
      <c r="C4">
        <f>COUNTIFS(All!$G:$G, TRUE, All!$U:$U, A4)</f>
        <v>4</v>
      </c>
      <c r="D4">
        <f>COUNTIFS(All!$G:$G, TRUE,
          All!$H:$H, TRUE,
          All!$I:$I, TRUE,
          All!$U:$U, A4)</f>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
  <sheetViews>
    <sheetView topLeftCell="E1" workbookViewId="0">
      <selection activeCell="I5" sqref="I5"/>
    </sheetView>
  </sheetViews>
  <sheetFormatPr baseColWidth="10" defaultColWidth="8.83203125" defaultRowHeight="15" x14ac:dyDescent="0.2"/>
  <cols>
    <col min="1" max="1" width="8.5"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1" t="s">
        <v>20</v>
      </c>
      <c r="B1" s="1" t="s">
        <v>9</v>
      </c>
      <c r="C1" s="1" t="s">
        <v>10</v>
      </c>
      <c r="D1" s="1" t="s">
        <v>11</v>
      </c>
      <c r="E1" s="1" t="s">
        <v>12</v>
      </c>
      <c r="F1" s="1" t="s">
        <v>13</v>
      </c>
      <c r="G1" s="1" t="s">
        <v>14</v>
      </c>
      <c r="H1" s="1" t="s">
        <v>15</v>
      </c>
      <c r="I1" s="1" t="s">
        <v>16</v>
      </c>
      <c r="J1" s="1" t="s">
        <v>17</v>
      </c>
      <c r="K1" s="1" t="s">
        <v>21</v>
      </c>
      <c r="L1" s="1" t="s">
        <v>22</v>
      </c>
      <c r="M1" s="1" t="s">
        <v>23</v>
      </c>
      <c r="N1" s="1" t="s">
        <v>24</v>
      </c>
      <c r="O1" s="1" t="s">
        <v>98</v>
      </c>
      <c r="P1" s="1" t="s">
        <v>99</v>
      </c>
      <c r="Q1" s="1" t="s">
        <v>100</v>
      </c>
    </row>
    <row r="2" spans="1:17" x14ac:dyDescent="0.2">
      <c r="A2" t="s">
        <v>28</v>
      </c>
      <c r="B2" s="3">
        <f>AVERAGEIFS(All!$J:$J,
            All!$G:$G, TRUE,
            All!$H:$H, TRUE,
            All!$I:$I, TRUE,
            All!$U:$U, A2)</f>
        <v>1</v>
      </c>
      <c r="C2" s="3">
        <f>AVERAGEIFS(All!K:K,
            All!$G:$G, TRUE,
            All!$H:$H, TRUE,
            All!$I:$I, TRUE,
            All!$U:$U, $A2)</f>
        <v>1</v>
      </c>
      <c r="D2" s="3">
        <f>AVERAGEIFS(All!L:L,
            All!$G:$G, TRUE,
            All!$H:$H, TRUE,
            All!$I:$I, TRUE,
            All!$U:$U, $A2)</f>
        <v>9.31</v>
      </c>
      <c r="E2" s="3">
        <f>AVERAGEIFS(All!M:M,
            All!$G:$G, TRUE,
            All!$H:$H, TRUE,
            All!$I:$I, TRUE,
            All!$U:$U, $A2)</f>
        <v>17.48</v>
      </c>
      <c r="F2" s="3">
        <f>AVERAGEIFS(All!N:N,
            All!$G:$G, TRUE,
            All!$H:$H, TRUE,
            All!$I:$I, TRUE,
            All!$U:$U, $A2)</f>
        <v>11.88</v>
      </c>
      <c r="G2" s="3">
        <f>AVERAGEIFS(All!O:O,
            All!$G:$G, TRUE,
            All!$H:$H, TRUE,
            All!$I:$I, TRUE,
            All!$U:$U, $A2)</f>
        <v>0</v>
      </c>
      <c r="H2" s="3">
        <f>AVERAGEIFS(All!P:P,
            All!$G:$G, TRUE,
            All!$H:$H, TRUE,
            All!$I:$I, TRUE,
            All!$U:$U, $A2)</f>
        <v>0.68</v>
      </c>
      <c r="I2" s="3">
        <f>AVERAGEIFS(All!Q:Q,
            All!$G:$G, TRUE,
            All!$H:$H, TRUE,
            All!$I:$I, TRUE,
            All!$U:$U, $A2)</f>
        <v>0.75</v>
      </c>
      <c r="J2" s="3">
        <f>AVERAGEIFS(All!R:R,
            All!$G:$G, TRUE,
            All!$H:$H, TRUE,
            All!$I:$I, TRUE,
            All!$U:$U, $A2)</f>
        <v>1</v>
      </c>
      <c r="K2" s="3">
        <f>AVERAGEIFS(All!V:V,
            All!$G:$G, TRUE,
            All!$H:$H, TRUE,
            All!$I:$I, TRUE,
            All!$U:$U, $A2)</f>
        <v>1</v>
      </c>
      <c r="L2" s="3">
        <f>AVERAGEIFS(All!W:W,
            All!$G:$G, TRUE,
            All!$H:$H, TRUE,
            All!$I:$I, TRUE,
            All!$U:$U, $A2)</f>
        <v>0</v>
      </c>
      <c r="M2" s="3">
        <f>AVERAGEIFS(All!X:X,
            All!$G:$G, TRUE,
            All!$H:$H, TRUE,
            All!$I:$I, TRUE,
            All!$U:$U, $A2)</f>
        <v>0.5</v>
      </c>
      <c r="N2" s="3">
        <f>AVERAGEIFS(All!Y:Y,
            All!$G:$G, TRUE,
            All!$H:$H, TRUE,
            All!$I:$I, TRUE,
            All!$U:$U, $A2)</f>
        <v>0.33333333333333331</v>
      </c>
      <c r="O2" s="3">
        <f>COUNTIFS(All!G:G,TRUE,All!$U:$U,$A2)/COUNTIF(All!$U2:$U34,Filter!$A2)</f>
        <v>0.41666666666666669</v>
      </c>
      <c r="P2" s="3">
        <f>COUNTIFS(All!H:H,TRUE,All!$U:$U,$A2)/COUNTIF(All!$U2:$U34,Filter!$A2)</f>
        <v>8.3333333333333329E-2</v>
      </c>
      <c r="Q2" s="3">
        <f>COUNTIFS(All!I:I,TRUE,All!$U:$U,$A2)/COUNTIF(All!$U2:$U34,Filter!$A2)</f>
        <v>0.41666666666666669</v>
      </c>
    </row>
    <row r="3" spans="1:17" x14ac:dyDescent="0.2">
      <c r="A3" t="s">
        <v>55</v>
      </c>
      <c r="B3" s="3" t="e">
        <f>AVERAGEIFS(All!$J:$J,
            All!$G:$G, TRUE,
            All!$H:$H, TRUE,
            All!$I:$I, TRUE,
            All!$U:$U, A3)</f>
        <v>#DIV/0!</v>
      </c>
      <c r="C3" s="3" t="e">
        <f>AVERAGEIFS(All!K:K,
            All!$G:$G, TRUE,
            All!$H:$H, TRUE,
            All!$I:$I, TRUE,
            All!$U:$U, $A3)</f>
        <v>#DIV/0!</v>
      </c>
      <c r="D3" s="3" t="e">
        <f>AVERAGEIFS(All!L:L,
            All!$G:$G, TRUE,
            All!$H:$H, TRUE,
            All!$I:$I, TRUE,
            All!$U:$U, $A3)</f>
        <v>#DIV/0!</v>
      </c>
      <c r="E3" s="3" t="e">
        <f>AVERAGEIFS(All!M:M,
            All!$G:$G, TRUE,
            All!$H:$H, TRUE,
            All!$I:$I, TRUE,
            All!$U:$U, $A3)</f>
        <v>#DIV/0!</v>
      </c>
      <c r="F3" s="3" t="e">
        <f>AVERAGEIFS(All!N:N,
            All!$G:$G, TRUE,
            All!$H:$H, TRUE,
            All!$I:$I, TRUE,
            All!$U:$U, $A3)</f>
        <v>#DIV/0!</v>
      </c>
      <c r="G3" s="3" t="e">
        <f>AVERAGEIFS(All!O:O,
            All!$G:$G, TRUE,
            All!$H:$H, TRUE,
            All!$I:$I, TRUE,
            All!$U:$U, $A3)</f>
        <v>#DIV/0!</v>
      </c>
      <c r="H3" s="3" t="e">
        <f>AVERAGEIFS(All!P:P,
            All!$G:$G, TRUE,
            All!$H:$H, TRUE,
            All!$I:$I, TRUE,
            All!$U:$U, $A3)</f>
        <v>#DIV/0!</v>
      </c>
      <c r="I3" s="3" t="e">
        <f>AVERAGEIFS(All!Q:Q,
            All!$G:$G, TRUE,
            All!$H:$H, TRUE,
            All!$I:$I, TRUE,
            All!$U:$U, $A3)</f>
        <v>#DIV/0!</v>
      </c>
      <c r="J3" s="3" t="e">
        <f>AVERAGEIFS(All!R:R,
            All!$G:$G, TRUE,
            All!$H:$H, TRUE,
            All!$I:$I, TRUE,
            All!$U:$U, $A3)</f>
        <v>#DIV/0!</v>
      </c>
      <c r="K3" s="3" t="e">
        <f>AVERAGEIFS(All!V:V,
            All!$G:$G, TRUE,
            All!$H:$H, TRUE,
            All!$I:$I, TRUE,
            All!$U:$U, $A3)</f>
        <v>#DIV/0!</v>
      </c>
      <c r="L3" s="3" t="e">
        <f>AVERAGEIFS(All!W:W,
            All!$G:$G, TRUE,
            All!$H:$H, TRUE,
            All!$I:$I, TRUE,
            All!$U:$U, $A3)</f>
        <v>#DIV/0!</v>
      </c>
      <c r="M3" s="3" t="e">
        <f>AVERAGEIFS(All!X:X,
            All!$G:$G, TRUE,
            All!$H:$H, TRUE,
            All!$I:$I, TRUE,
            All!$U:$U, $A3)</f>
        <v>#DIV/0!</v>
      </c>
      <c r="N3" s="3" t="e">
        <f>AVERAGEIFS(All!Y:Y,
            All!$G:$G, TRUE,
            All!$H:$H, TRUE,
            All!$I:$I, TRUE,
            All!$U:$U, $A3)</f>
        <v>#DIV/0!</v>
      </c>
      <c r="O3" s="3">
        <f>COUNTIFS(All!G:G,TRUE,All!$U:$U,$A3)/COUNTIF(All!$U3:$U35,Filter!$A3)</f>
        <v>0.45454545454545453</v>
      </c>
      <c r="P3" s="3">
        <f>COUNTIFS(All!H:H,TRUE,All!$U:$U,$A3)/COUNTIF(All!$U3:$U35,Filter!$A3)</f>
        <v>0</v>
      </c>
      <c r="Q3" s="3">
        <f>COUNTIFS(All!I:I,TRUE,All!$U:$U,$A3)/COUNTIF(All!$U3:$U35,Filter!$A3)</f>
        <v>0.45454545454545453</v>
      </c>
    </row>
    <row r="4" spans="1:17" x14ac:dyDescent="0.2">
      <c r="A4" t="s">
        <v>83</v>
      </c>
      <c r="B4" s="3">
        <f>AVERAGEIFS(All!$J:$J,
            All!$G:$G, TRUE,
            All!$H:$H, TRUE,
            All!$I:$I, TRUE,
            All!$U:$U, A4)</f>
        <v>35</v>
      </c>
      <c r="C4" s="3">
        <f>AVERAGEIFS(All!K:K,
            All!$G:$G, TRUE,
            All!$H:$H, TRUE,
            All!$I:$I, TRUE,
            All!$U:$U, $A4)</f>
        <v>3</v>
      </c>
      <c r="D4" s="3">
        <f>AVERAGEIFS(All!L:L,
            All!$G:$G, TRUE,
            All!$H:$H, TRUE,
            All!$I:$I, TRUE,
            All!$U:$U, $A4)</f>
        <v>21.13</v>
      </c>
      <c r="E4" s="3">
        <f>AVERAGEIFS(All!M:M,
            All!$G:$G, TRUE,
            All!$H:$H, TRUE,
            All!$I:$I, TRUE,
            All!$U:$U, $A4)</f>
        <v>28.7</v>
      </c>
      <c r="F4" s="3">
        <f>AVERAGEIFS(All!N:N,
            All!$G:$G, TRUE,
            All!$H:$H, TRUE,
            All!$I:$I, TRUE,
            All!$U:$U, $A4)</f>
        <v>20.81</v>
      </c>
      <c r="G4" s="3">
        <f>AVERAGEIFS(All!O:O,
            All!$G:$G, TRUE,
            All!$H:$H, TRUE,
            All!$I:$I, TRUE,
            All!$U:$U, $A4)</f>
        <v>0.04</v>
      </c>
      <c r="H4" s="3">
        <f>AVERAGEIFS(All!P:P,
            All!$G:$G, TRUE,
            All!$H:$H, TRUE,
            All!$I:$I, TRUE,
            All!$U:$U, $A4)</f>
        <v>0.65</v>
      </c>
      <c r="I4" s="3">
        <f>AVERAGEIFS(All!Q:Q,
            All!$G:$G, TRUE,
            All!$H:$H, TRUE,
            All!$I:$I, TRUE,
            All!$U:$U, $A4)</f>
        <v>0.82</v>
      </c>
      <c r="J4" s="3">
        <f>AVERAGEIFS(All!R:R,
            All!$G:$G, TRUE,
            All!$H:$H, TRUE,
            All!$I:$I, TRUE,
            All!$U:$U, $A4)</f>
        <v>0.84</v>
      </c>
      <c r="K4" s="3">
        <f>AVERAGEIFS(All!V:V,
            All!$G:$G, TRUE,
            All!$H:$H, TRUE,
            All!$I:$I, TRUE,
            All!$U:$U, $A4)</f>
        <v>1</v>
      </c>
      <c r="L4" s="3">
        <f>AVERAGEIFS(All!W:W,
            All!$G:$G, TRUE,
            All!$H:$H, TRUE,
            All!$I:$I, TRUE,
            All!$U:$U, $A4)</f>
        <v>0.66666666666666674</v>
      </c>
      <c r="M4" s="3">
        <f>AVERAGEIFS(All!X:X,
            All!$G:$G, TRUE,
            All!$H:$H, TRUE,
            All!$I:$I, TRUE,
            All!$U:$U, $A4)</f>
        <v>0.83333333333333337</v>
      </c>
      <c r="N4" s="3">
        <f>AVERAGEIFS(All!Y:Y,
            All!$G:$G, TRUE,
            All!$H:$H, TRUE,
            All!$I:$I, TRUE,
            All!$U:$U, $A4)</f>
        <v>0.26444444444444448</v>
      </c>
      <c r="O4" s="3">
        <f>COUNTIFS(All!G:G,TRUE,All!$U:$U,$A4)/COUNTIF(All!$U4:$U36,Filter!$A4)</f>
        <v>0.4</v>
      </c>
      <c r="P4" s="3">
        <f>COUNTIFS(All!H:H,TRUE,All!$U:$U,$A4)/COUNTIF(All!$U4:$U36,Filter!$A4)</f>
        <v>0.1</v>
      </c>
      <c r="Q4" s="3">
        <f>COUNTIFS(All!I:I,TRUE,All!$U:$U,$A4)/COUNTIF(All!$U4:$U36,Filter!$A4)</f>
        <v>0.4</v>
      </c>
    </row>
  </sheetData>
  <sortState xmlns:xlrd2="http://schemas.microsoft.com/office/spreadsheetml/2017/richdata2" ref="A2:Q7">
    <sortCondition descending="1" ref="A1:A7"/>
  </sortSt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workbookViewId="0">
      <selection activeCell="P9" sqref="P9"/>
    </sheetView>
  </sheetViews>
  <sheetFormatPr baseColWidth="10" defaultColWidth="8.83203125" defaultRowHeight="15" x14ac:dyDescent="0.2"/>
  <cols>
    <col min="1" max="1" width="8" bestFit="1" customWidth="1"/>
    <col min="2" max="2" width="8.6640625" bestFit="1" customWidth="1"/>
    <col min="3" max="3" width="4.6640625" bestFit="1" customWidth="1"/>
    <col min="4" max="5" width="13.6640625" bestFit="1" customWidth="1"/>
    <col min="6" max="6" width="15" bestFit="1" customWidth="1"/>
    <col min="7" max="7" width="18.33203125" bestFit="1" customWidth="1"/>
    <col min="8" max="8" width="22.1640625" bestFit="1" customWidth="1"/>
    <col min="9" max="9" width="25.6640625" bestFit="1" customWidth="1"/>
    <col min="10" max="10" width="13.1640625" bestFit="1" customWidth="1"/>
    <col min="11" max="11" width="16.33203125" bestFit="1" customWidth="1"/>
    <col min="12" max="12" width="22.33203125" bestFit="1" customWidth="1"/>
    <col min="13" max="13" width="9.33203125" bestFit="1" customWidth="1"/>
    <col min="14" max="14" width="20.83203125" bestFit="1" customWidth="1"/>
    <col min="15" max="15" width="12.6640625" bestFit="1" customWidth="1"/>
    <col min="16" max="16" width="12.83203125" bestFit="1" customWidth="1"/>
    <col min="17" max="17" width="15.6640625" bestFit="1" customWidth="1"/>
  </cols>
  <sheetData>
    <row r="1" spans="1:17" x14ac:dyDescent="0.2">
      <c r="A1" s="4" t="s">
        <v>20</v>
      </c>
      <c r="B1" s="4" t="s">
        <v>9</v>
      </c>
      <c r="C1" s="4" t="s">
        <v>10</v>
      </c>
      <c r="D1" s="4" t="s">
        <v>11</v>
      </c>
      <c r="E1" s="4" t="s">
        <v>12</v>
      </c>
      <c r="F1" s="4" t="s">
        <v>13</v>
      </c>
      <c r="G1" s="4" t="s">
        <v>14</v>
      </c>
      <c r="H1" s="4" t="s">
        <v>15</v>
      </c>
      <c r="I1" s="4" t="s">
        <v>16</v>
      </c>
      <c r="J1" s="4" t="s">
        <v>17</v>
      </c>
      <c r="K1" s="4" t="s">
        <v>21</v>
      </c>
      <c r="L1" s="4" t="s">
        <v>22</v>
      </c>
      <c r="M1" s="4" t="s">
        <v>23</v>
      </c>
      <c r="N1" s="4" t="s">
        <v>24</v>
      </c>
      <c r="O1" s="4" t="s">
        <v>98</v>
      </c>
      <c r="P1" s="4" t="s">
        <v>99</v>
      </c>
      <c r="Q1" s="4" t="s">
        <v>100</v>
      </c>
    </row>
    <row r="2" spans="1:17" x14ac:dyDescent="0.2">
      <c r="A2" s="3" t="s">
        <v>101</v>
      </c>
      <c r="B2" s="3">
        <f>AVERAGEIFS(All!J:J,All!$G:$G, TRUE,All!$H:$H, TRUE,All!$I:$I, TRUE)</f>
        <v>18</v>
      </c>
      <c r="C2" s="3">
        <f>AVERAGEIFS(All!K:K,All!$G:$G, TRUE,All!$H:$H, TRUE,All!$I:$I, TRUE)</f>
        <v>2</v>
      </c>
      <c r="D2" s="3">
        <f>AVERAGEIFS(All!L:L,All!$G:$G, TRUE,All!$H:$H, TRUE,All!$I:$I, TRUE)</f>
        <v>15.219999999999999</v>
      </c>
      <c r="E2" s="3">
        <f>AVERAGEIFS(All!M:M,All!$G:$G, TRUE,All!$H:$H, TRUE,All!$I:$I, TRUE)</f>
        <v>23.09</v>
      </c>
      <c r="F2" s="3">
        <f>AVERAGEIFS(All!N:N,All!$G:$G, TRUE,All!$H:$H, TRUE,All!$I:$I, TRUE)</f>
        <v>16.344999999999999</v>
      </c>
      <c r="G2" s="3">
        <f>AVERAGEIFS(All!O:O,All!$G:$G, TRUE,All!$H:$H, TRUE,All!$I:$I, TRUE)</f>
        <v>0.02</v>
      </c>
      <c r="H2" s="3">
        <f>AVERAGEIFS(All!P:P,All!$G:$G, TRUE,All!$H:$H, TRUE,All!$I:$I, TRUE)</f>
        <v>0.66500000000000004</v>
      </c>
      <c r="I2" s="3">
        <f>AVERAGEIFS(All!Q:Q,All!$G:$G, TRUE,All!$H:$H, TRUE,All!$I:$I, TRUE)</f>
        <v>0.78499999999999992</v>
      </c>
      <c r="J2" s="3">
        <f>AVERAGEIFS(All!R:R,All!$G:$G, TRUE,All!$H:$H, TRUE,All!$I:$I, TRUE)</f>
        <v>0.91999999999999993</v>
      </c>
      <c r="K2" s="3">
        <f>AVERAGEIFS(All!V:V,All!$G:$G, TRUE,All!$H:$H, TRUE,All!$I:$I, TRUE)</f>
        <v>1</v>
      </c>
      <c r="L2" s="3">
        <f>AVERAGEIFS(All!W:W,All!$G:$G, TRUE,All!$H:$H, TRUE,All!$I:$I, TRUE)</f>
        <v>0.33333333333333337</v>
      </c>
      <c r="M2" s="3">
        <f>AVERAGEIFS(All!X:X,All!$G:$G, TRUE,All!$H:$H, TRUE,All!$I:$I, TRUE)</f>
        <v>0.66666666666666674</v>
      </c>
      <c r="N2" s="3">
        <f>AVERAGEIFS(All!Y:Y,All!$G:$G, TRUE,All!$H:$H, TRUE,All!$I:$I, TRUE)</f>
        <v>0.29888888888888887</v>
      </c>
      <c r="O2" s="3">
        <f>COUNTIFS(All!G:G,TRUE)/COUNTA(All!$U2:$U34)</f>
        <v>0.42424242424242425</v>
      </c>
      <c r="P2" s="3">
        <f>COUNTIFS(All!H:H,TRUE)/COUNTA(All!$U2:$U34)</f>
        <v>6.0606060606060608E-2</v>
      </c>
      <c r="Q2" s="3">
        <f>COUNTIFS(All!I:I,TRUE)/COUNTA(All!$U2:$U34)</f>
        <v>0.42424242424242425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All</vt:lpstr>
      <vt:lpstr>Filter</vt:lpstr>
      <vt:lpstr>By-CQ-Level</vt:lpstr>
      <vt:lpstr>Overall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Jaldi, Chris Davis</cp:lastModifiedBy>
  <dcterms:created xsi:type="dcterms:W3CDTF">2025-11-25T21:05:31Z</dcterms:created>
  <dcterms:modified xsi:type="dcterms:W3CDTF">2025-11-27T18:55:04Z</dcterms:modified>
</cp:coreProperties>
</file>