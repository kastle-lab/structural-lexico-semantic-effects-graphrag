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13_ncr:1_{FF6A6C86-84B0-8A44-ADC5-BA63A59B60AC}" xr6:coauthVersionLast="47" xr6:coauthVersionMax="47" xr10:uidLastSave="{00000000-0000-0000-0000-000000000000}"/>
  <bookViews>
    <workbookView xWindow="0" yWindow="680" windowWidth="29400" windowHeight="17160"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<sst xmlns="http://schemas.openxmlformats.org/spreadsheetml/2006/main" count="364" uniqueCount="273">
  <si>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</si>
  <si>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</si>
  <si>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</si>
  <si>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</si>
  <si>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</si>
  <si>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</si>
  <si>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</si>
  <si>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</si>
  <si>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</si>
  <si>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</si>
  <si>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</si>
  <si>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</si>
  <si>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</si>
  <si>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</si>
  <si>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</si>
  <si>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</si>
  <si>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</si>
  <si>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</si>
  <si>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</si>
  <si>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</si>
  <si>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</si>
  <si>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</si>
  <si>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</si>
  <si>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</si>
  <si>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</si>
  <si>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</si>
  <si>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</si>
  <si>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```sparql
PREFIX ns1: &lt;http://dbkwik.webdatacommons.org/marvel.wikia.com/property/&gt;
PREFIX rdf: &lt;http://www.w3.org/1999/02/22-rdf-syntax-ns#&gt;
SELECT DISTINCT ?character
WHERE {
  ?character rdf:type ?type .
  FILTER(CONTAINS(str(?type), "/class/"))
}
```</t>
  </si>
  <si>
    <t>"MessageBatchIndividualResponse(custom_id='cq-0', result=MessageBatchSucceededResult(message=Message(id='msg_013z51oNLwHKJovqsUwmwUnW', content=[TextBlock(citations=None, text='```sparql\\nPREFIX ns1: &lt;http://dbkwik.webdatacommons.org/marvel.wikia.com/property/&gt;\\nPREFIX rdf: &lt;http://www.w3.org/1999/02/22-rdf-syntax-ns#&gt;\\n\\nSELECT DISTINCT ?character\\nWHERE {\\n  ?character rdf:type ?type .\\n  FILTER(CONTAINS(str(?type), \"/class/\"))\\n}\\n```', type='text')], model='claude-sonnet-4-5-20250929', role='assistant', stop_reason='end_turn', stop_sequence=None, type='message', usage=Usage(cache_creation_input_tokens=0, cache_read_input_tokens=0, input_tokens=113752, output_tokens=106,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</si>
  <si>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rdfs: &lt;http://www.w3.org/2000/01/rdf-schema#&gt;
PREFIX skos: &lt;http://www.w3.org/2004/02/skos/core#&gt;
PREFIX xsd: &lt;http://www.w3.org/2001/XMLSchema#&gt;
PREFIX ns1: &lt;http://dbkwik.webdatacommons.org/marvel.wikia.com/property/&gt;
PREFIX rdf: &lt;http://www.w3.org/1999/02/22-rdf-syntax-ns#&gt;
SELECT DISTINCT ?character
WHERE {
  ?character rdf:type ?type .
  FILTER(CONTAINS(str(?type), "/class/"))
}</t>
  </si>
  <si>
    <t>{
  "cq_text": "Who are all the characters available?",
  "syntax_ok": true,
  "satisfiable": true,
  "deterministic": true,
  "latency": {
    "p50_ms": 2296.96,
    "p95_ms": 2472.9,
    "mean_ms": 2332.83
  },
  "rows": 117495,
  "vars": 1,
  "always_unbound_vars": [],
  "lexical_query_overlap": 0.0,
  "semantic_similarity_to_CQ": 0.66,
  "semantic_soft_coverage_to_CQ": 0.74,
  "tuple_cohesion": 0.86,
  "variables": [
    {
      "var": "character",
      "rows": 117495,
      "distinct": 101199,
      "null_rate": 0.0,
      "label_resolution_rate": 1.0,
      "diversity_entropy_norm": 0.98,
      "semantic_cohesion": 0.86,
      "dup_ratio": 0.14,
      "bound_rate": 1.0
    }
  ]
}</t>
  </si>
  <si>
    <t>[]</t>
  </si>
  <si>
    <t>[{"var": "character", "rows": 117495, "distinct": 101199, "null_rate": 0.0, "label_resolution_rate": 1.0, "diversity_entropy_norm": 0.98, "semantic_cohesion": 0.86, "dup_ratio": 0.14, "bound_rate": 1.0}]</t>
  </si>
  <si>
    <t>simple</t>
  </si>
  <si>
    <t>What are all the movies (and/or TV shows) available?</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</si>
  <si>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</si>
  <si>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```sparql
PREFIX ns1: &lt;http://dbkwik.webdatacommons.org/marvel.wikia.com/property/&gt;
PREFIX rdfs: &lt;http://www.w3.org/2000/01/rdf-schema#&gt;
SELECT DISTINCT ?movie
WHERE {
  ?movie ns1:movies ?o .
}
```</t>
  </si>
  <si>
    <t>"MessageBatchIndividualResponse(custom_id='cq-1', result=MessageBatchSucceededResult(message=Message(id='msg_01Uxen9GjmzbeMyzBbQyVpuQ', content=[TextBlock(citations=None, text='```sparql\\nPREFIX ns1: &lt;http://dbkwik.webdatacommons.org/marvel.wikia.com/property/&gt;\\nPREFIX rdfs: &lt;http://www.w3.org/2000/01/rdf-schema#&gt;\\n\\nSELECT DISTINCT ?movie\\nWHERE {\\n  ?movie ns1:movies ?o .\\n}\\n```', type='text')], model='claude-sonnet-4-5-20250929', role='assistant', stop_reason='end_turn', stop_sequence=None, type='message', usage=Usage(cache_creation_input_tokens=0, cache_read_input_tokens=0, input_tokens=113759, output_tokens=86,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</si>
  <si>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DISTINCT ?movie
WHERE {
  ?movie ns1:movies ?o .
}</t>
  </si>
  <si>
    <t>{
  "cq_text": "What are all the movies (and/or TV shows) available?",
  "syntax_ok": true,
  "satisfiable": true,
  "deterministic": true,
  "latency": {
    "p50_ms": 29.17,
    "p95_ms": 29.33,
    "mean_ms": 28.62
  },
  "rows": 736,
  "vars": 1,
  "always_unbound_vars": [],
  "lexical_query_overlap": 0.0,
  "semantic_similarity_to_CQ": 0.73,
  "semantic_soft_coverage_to_CQ": 0.74,
  "tuple_cohesion": 0.64,
  "variables": [
    {
      "var": "movie",
      "rows": 736,
      "distinct": 413,
      "null_rate": 0.0,
      "label_resolution_rate": 1.0,
      "diversity_entropy_norm": 0.91,
      "semantic_cohesion": 0.64,
      "dup_ratio": 0.44,
      "bound_rate": 1.0
    }
  ]
}</t>
  </si>
  <si>
    <t>[{"var": "movie", "rows": 736, "distinct": 413, "null_rate": 0.0, "label_resolution_rate": 1.0, "diversity_entropy_norm": 0.91, "semantic_cohesion": 0.64, "dup_ratio": 0.44, "bound_rate": 1.0}]</t>
  </si>
  <si>
    <t>What are the real names and/or primary aliases for each of the characters?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</si>
  <si>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</si>
  <si>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```sparql
PREFIX ns1: &lt;http://dbkwik.webdatacommons.org/marvel.wikia.com/property/&gt;
PREFIX rdfs: &lt;http://www.w3.org/2000/01/rdf-schema#&gt;
SELECT ?character ?realName ?alias
WHERE {
  ?character ns1:realname ?realName .
  OPTIONAL { ?character rdfs:label ?alias . }
}
```</t>
  </si>
  <si>
    <t>"MessageBatchIndividualResponse(custom_id='cq-2', result=MessageBatchSucceededResult(message=Message(id='msg_01F86YFuJQjdYrXeD5q2mUtf', content=[TextBlock(citations=None, text='```sparql\\nPREFIX ns1: &lt;http://dbkwik.webdatacommons.org/marvel.wikia.com/property/&gt;\\nPREFIX rdfs: &lt;http://www.w3.org/2000/01/rdf-schema#&gt;\\n\\nSELECT ?character ?realName ?alias\\nWHERE {\\n  ?character ns1:realname ?realName .\\n  OPTIONAL { ?character rdfs:label ?alias . }\\n}\\n```', type='text')], model='claude-sonnet-4-5-20250929', role='assistant', stop_reason='end_turn', stop_sequence=None, type='message', usage=Usage(cache_creation_input_tokens=0, cache_read_input_tokens=0, input_tokens=113761, output_tokens=106,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</si>
  <si>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?character ?realName ?alias
WHERE {
  ?character ns1:realname ?realName .
  OPTIONAL { ?character rdfs:label ?alias . }
}</t>
  </si>
  <si>
    <t>{
  "cq_text": "What are the real names and/or primary aliases for each of the characters?",
  "syntax_ok": true,
  "satisfiable": true,
  "deterministic": true,
  "latency": {
    "p50_ms": 16.6,
    "p95_ms": 16.81,
    "mean_ms": 13.79
  },
  "rows": 1,
  "vars": 3,
  "always_unbound_vars": [],
  "lexical_query_overlap": 0.04,
  "semantic_similarity_to_CQ": 0.76,
  "semantic_soft_coverage_to_CQ": 0.78,
  "tuple_cohesion": 1.0,
  "variables": [
    {
      "var": "character",
      "rows": 1,
      "distinct": 1,
      "null_rate": 0.0,
      "label_resolution_rate": 1.0,
      "diversity_entropy_norm": -1.0,
      "semantic_cohesion": 1.0,
      "dup_ratio": 0.0,
      "bound_rate": 1.0
    },
    {
      "var": "realName",
      "rows": 1,
      "distinct": 1,
      "null_rate": 0.0,
      "label_resolution_rate": 1.0,
      "diversity_entropy_norm": -1.0,
      "semantic_cohesion": 1.0,
      "dup_ratio": 0.0,
      "bound_rate": 1.0
    },
    {
      "var": "alias",
      "rows": 1,
      "distinct": 1,
      "null_rate": 0.0,
      "label_resolution_rate": 1.0,
      "diversity_entropy_norm": -1.0,
      "semantic_cohesion": 1.0,
      "dup_ratio": 0.0,
      "bound_rate": 1.0
    }
  ]
}</t>
  </si>
  <si>
    <t>[{"var": "character", "rows": 1, "distinct": 1, "null_rate": 0.0, "label_resolution_rate": 1.0, "diversity_entropy_norm": -1.0, "semantic_cohesion": 1.0, "dup_ratio": 0.0, "bound_rate": 1.0}, {"var": "realName", "rows": 1, "distinct": 1, "null_rate": 0.0, "label_resolution_rate": 1.0, "diversity_entropy_norm": -1.0, "semantic_cohesion": 1.0, "dup_ratio": 0.0, "bound_rate": 1.0}, {"var": "alias", "rows": 1, "distinct": 1, "null_rate": 0.0, "label_resolution_rate": 1.0, "diversity_entropy_norm": -1.0, "semantic_cohesion": 1.0, "dup_ratio": 0.0, "bound_rate": 1.0}]</t>
  </si>
  <si>
    <t>What are all the associated species or types (e.g., human, Asgardian, AI) for each of the characters?</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</si>
  <si>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</si>
  <si>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```sparql
PREFIX ns1: &lt;http://dbkwik.webdatacommons.org/marvel.wikia.com/property/&gt;
PREFIX rdfs: &lt;http://www.w3.org/2000/01/rdf-schema#&gt;
SELECT ?character ?species
WHERE {
  ?character ns1:origin ?species .
}
```</t>
  </si>
  <si>
    <t>"MessageBatchIndividualResponse(custom_id='cq-3', result=MessageBatchSucceededResult(message=Message(id='msg_01LTEvysmrd9PjtXoTC2bc4Z', content=[TextBlock(citations=None, text='```sparql\\nPREFIX ns1: &lt;http://dbkwik.webdatacommons.org/marvel.wikia.com/property/&gt;\\nPREFIX rdfs: &lt;http://www.w3.org/2000/01/rdf-schema#&gt;\\n\\nSELECT ?character ?species\\nWHERE {\\n  ?character ns1:origin ?species .\\n}\\n```', type='text')], model='claude-sonnet-4-5-20250929', role='assistant', stop_reason='end_turn', stop_sequence=None, type='message', usage=Usage(cache_creation_input_tokens=0, cache_read_input_tokens=0, input_tokens=113774, output_tokens=86,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</si>
  <si>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?character ?species
WHERE {
  ?character ns1:origin ?species .
}</t>
  </si>
  <si>
    <t>{
  "cq_text": "What are all the associated species or types (e.g., human, Asgardian, AI) for each of the characters?",
  "syntax_ok": true,
  "satisfiable": true,
  "deterministic": true,
  "latency": {
    "p50_ms": 7.56,
    "p95_ms": 7.69,
    "mean_ms": 7.58
  },
  "rows": 1,
  "vars": 2,
  "always_unbound_vars": [],
  "lexical_query_overlap": 0.05,
  "semantic_similarity_to_CQ": 0.66,
  "semantic_soft_coverage_to_CQ": 0.75,
  "tuple_cohesion": 1.0,
  "variables": [
    {
      "var": "character",
      "rows": 1,
      "distinct": 1,
      "null_rate": 0.0,
      "label_resolution_rate": 1.0,
      "diversity_entropy_norm": -1.0,
      "semantic_cohesion": 1.0,
      "dup_ratio": 0.0,
      "bound_rate": 1.0
    },
    {
      "var": "species",
      "rows": 1,
      "distinct": 1,
      "null_rate": 0.0,
      "label_resolution_rate": 1.0,
      "diversity_entropy_norm": -1.0,
      "semantic_cohesion": 1.0,
      "dup_ratio": 0.0,
      "bound_rate": 1.0
    }
  ]
}</t>
  </si>
  <si>
    <t>[{"var": "character", "rows": 1, "distinct": 1, "null_rate": 0.0, "label_resolution_rate": 1.0, "diversity_entropy_norm": -1.0, "semantic_cohesion": 1.0, "dup_ratio": 0.0, "bound_rate": 1.0}, {"var": "species", "rows": 1, "distinct": 1, "null_rate": 0.0, "label_resolution_rate": 1.0, "diversity_entropy_norm": -1.0, "semantic_cohesion": 1.0, "dup_ratio": 0.0, "bound_rate": 1.0}]</t>
  </si>
  <si>
    <t>What are all the origin locations (e.g., homeworld, birthplace, base) for each of the characters?</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</si>
  <si>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</si>
  <si>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```sparql
PREFIX ns1: &lt;http://dbkwik.webdatacommons.org/marvel.wikia.com/property/&gt;
PREFIX rdfs: &lt;http://www.w3.org/2000/01/rdf-schema#&gt;
PREFIX rdf: &lt;http://www.w3.org/1999/02/22-rdf-syntax-ns#&gt;
SELECT DISTINCT ?character ?characterLabel ?originLocation ?originLocationLabel
WHERE {
  # Identify characters - they would have typical character properties
  ?character a ?characterType .
  # Get character label
  OPTIONAL { ?character rdfs:label ?characterLabel . }
  # Match origin-related properties
  {
    ?character ns1:placeofbirth ?originLocation .
  }
  UNION
  {
    ?character ns1:baseofoperations ?originLocation .
  }
  UNION
  {
    ?character ns1:origin ?originLocation .
  }
  # Get origin location label
  OPTIONAL { ?originLocation rdfs:label ?originLocationLabel . }
  # Filter out non-character types if needed
  FILTER(?characterType != &lt;http://www.w3.org/2002/07/owl#Thing&gt;)
}
ORDER BY ?characterLabel
```</t>
  </si>
  <si>
    <t>"MessageBatchIndividualResponse(custom_id='cq-4', result=MessageBatchSucceededResult(message=Message(id='msg_017kgL6KhSWbMXEpjBzwFXjM', content=[TextBlock(citations=None, text='```sparql\\nPREFIX ns1: &lt;http://dbkwik.webdatacommons.org/marvel.wikia.com/property/&gt;\\nPREFIX rdfs: &lt;http://www.w3.org/2000/01/rdf-schema#&gt;\\nPREFIX rdf: &lt;http://www.w3.org/1999/02/22-rdf-syntax-ns#&gt;\\n\\nSELECT DISTINCT ?character ?characterLabel ?originLocation ?originLocationLabel\\nWHERE {\\n  # Identify characters - they would have typical character properties\\n  ?character a ?characterType .\\n  \\n  # Get character label\\n  OPTIONAL { ?character rdfs:label ?characterLabel . }\\n  \\n  # Match origin-related properties\\n  {\\n    ?character ns1:placeofbirth ?originLocation .\\n  }\\n  UNION\\n  {\\n    ?character ns1:baseofoperations ?originLocation .\\n  }\\n  UNION\\n  {\\n    ?character ns1:origin ?originLocation .\\n  }\\n  \\n  # Get origin location label\\n  OPTIONAL { ?originLocation rdfs:label ?originLocationLabel . }\\n  \\n  # Filter out non-character types if needed\\n  FILTER(?characterType != &lt;http://www.w3.org/2002/07/owl#Thing&gt;)\\n}\\nORDER BY ?characterLabel\\n```', type='text')], model='claude-sonnet-4-5-20250929', role='assistant', stop_reason='end_turn', stop_sequence=None, type='message', usage=Usage(cache_creation_input_tokens=0, cache_read_input_tokens=0, input_tokens=113770, output_tokens=314,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</si>
  <si>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ns1: &lt;http://dbkwik.webdatacommons.org/marvel.wikia.com/property/&gt;
PREFIX rdfs: &lt;http://www.w3.org/2000/01/rdf-schema#&gt;
PREFIX rdf: &lt;http://www.w3.org/1999/02/22-rdf-syntax-ns#&gt;
SELECT DISTINCT ?character ?characterLabel ?originLocation ?originLocationLabel
WHERE {
  # Identify characters - they would have typical character properties
  ?character a ?characterType .
  # Get character label
  OPTIONAL { ?character rdfs:label ?characterLabel . }
  # Match origin-related properties
  {
    ?character ns1:placeofbirth ?originLocation .
  }
  UNION
  {
    ?character ns1:baseofoperations ?originLocation .
  }
  UNION
  {
    ?character ns1:origin ?originLocation .
  }
  # Get origin location label
  OPTIONAL { ?originLocation rdfs:label ?originLocationLabel . }
  # Filter out non-character types if needed
  FILTER(?characterType != &lt;http://www.w3.org/2002/07/owl#Thing&gt;)
}
ORDER BY ?characterLabel</t>
  </si>
  <si>
    <t>{
  "cq_text": "What are all the origin locations (e.g., homeworld, birthplace, base) for each of the characters?",
  "syntax_ok": true,
  "satisfiable": true,
  "deterministic": true,
  "latency": {
    "p50_ms": 24489.05,
    "p95_ms": 25702.74,
    "mean_ms": 23588.26
  },
  "rows": 2,
  "vars": 4,
  "always_unbound_vars": [],
  "lexical_query_overlap": 0.06,
  "semantic_similarity_to_CQ": 0.64,
  "semantic_soft_coverage_to_CQ": 0.81,
  "tuple_cohesion": 0.81,
  "variables": [
    {
      "var": "character",
      "rows": 2,
      "distinct": 1,
      "null_rate": 0.0,
      "label_resolution_rate": 1.0,
      "diversity_entropy_norm": -1.0,
      "semantic_cohesion": 1.0,
      "dup_ratio": 0.5,
      "bound_rate": 1.0
    },
    {
      "var": "characterLabel",
      "rows": 2,
      "distinct": 1,
      "null_rate": 0.0,
      "label_resolution_rate": 1.0,
      "diversity_entropy_norm": -1.0,
      "semantic_cohesion": 1.0,
      "dup_ratio": 0.5,
      "bound_rate": 1.0
    },
    {
      "var": "originLocation",
      "rows": 2,
      "distinct": 1,
      "null_rate": 0.0,
      "label_resolution_rate": 1.0,
      "diversity_entropy_norm": -1.0,
      "semantic_cohesion": 1.0,
      "dup_ratio": 0.5,
      "bound_rate": 1.0
    },
    {
      "var": "originLocationLabel",
      "rows": 2,
      "distinct": 2,
      "null_rate": 0.0,
      "label_resolution_rate": 1.0,
      "diversity_entropy_norm": 1.0,
      "semantic_cohesion": 0.19,
      "dup_ratio": 0.0,
      "bound_rate": 1.0
    }
  ]
}</t>
  </si>
  <si>
    <t>[{"var": "character", "rows": 2, "distinct": 1, "null_rate": 0.0, "label_resolution_rate": 1.0, "diversity_entropy_norm": -1.0, "semantic_cohesion": 1.0, "dup_ratio": 0.5, "bound_rate": 1.0}, {"var": "characterLabel", "rows": 2, "distinct": 1, "null_rate": 0.0, "label_resolution_rate": 1.0, "diversity_entropy_norm": -1.0, "semantic_cohesion": 1.0, "dup_ratio": 0.5, "bound_rate": 1.0}, {"var": "originLocation", "rows": 2, "distinct": 1, "null_rate": 0.0, "label_resolution_rate": 1.0, "diversity_entropy_norm": -1.0, "semantic_cohesion": 1.0, "dup_ratio": 0.5, "bound_rate": 1.0}, {"var": "originLocationLabel", "rows": 2, "distinct": 2, "null_rate": 0.0, "label_resolution_rate": 1.0, "diversity_entropy_norm": 1.0, "semantic_cohesion": 0.19, "dup_ratio": 0.0, "bound_rate": 1.0}]</t>
  </si>
  <si>
    <t>What are all the release dates (or years), if available, for each of the movies?</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</si>
  <si>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</si>
  <si>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```sparql
PREFIX ns1: &lt;http://dbkwik.webdatacommons.org/marvel.wikia.com/property/&gt;
PREFIX xsd: &lt;http://www.w3.org/2001/XMLSchema#&gt;
SELECT ?movie ?releaseDate
WHERE {
  ?movie ns1:releasedate ?releaseDate .
}
```</t>
  </si>
  <si>
    <t>"MessageBatchIndividualResponse(custom_id='cq-5', result=MessageBatchSucceededResult(message=Message(id='msg_01KBV9mFXqnvcJtXKeSXFdwQ', content=[TextBlock(citations=None, text='```sparql\\nPREFIX ns1: &lt;http://dbkwik.webdatacommons.org/marvel.wikia.com/property/&gt;\\nPREFIX xsd: &lt;http://www.w3.org/2001/XMLSchema#&gt;\\n\\nSELECT ?movie ?releaseDate\\nWHERE {\\n  ?movie ns1:releasedate ?releaseDate .\\n}\\n```', type='text')], model='claude-sonnet-4-5-20250929', role='assistant', stop_reason='end_turn', stop_sequence=None, type='message', usage=Usage(cache_creation_input_tokens=0, cache_read_input_tokens=0, input_tokens=113764, output_tokens=88,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</si>
  <si>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ns1: &lt;http://dbkwik.webdatacommons.org/marvel.wikia.com/property/&gt;
PREFIX xsd: &lt;http://www.w3.org/2001/XMLSchema#&gt;
SELECT ?movie ?releaseDate
WHERE {
  ?movie ns1:releasedate ?releaseDate .
}</t>
  </si>
  <si>
    <t>{
  "cq_text": "What are all the release dates (or years), if available, for each of the movies?",
  "syntax_ok": true,
  "satisfiable": true,
  "deterministic": true,
  "latency": {
    "p50_ms": 55.56,
    "p95_ms": 58.33,
    "mean_ms": 56.16
  },
  "rows": 1287,
  "vars": 2,
  "always_unbound_vars": [],
  "lexical_query_overlap": 0.06,
  "semantic_similarity_to_CQ": 0.71,
  "semantic_soft_coverage_to_CQ": 0.78,
  "tuple_cohesion": 0.96,
  "variables": [
    {
      "var": "movie",
      "rows": 1287,
      "distinct": 267,
      "null_rate": 0.0,
      "label_resolution_rate": 1.0,
      "diversity_entropy_norm": 0.91,
      "semantic_cohesion": 0.68,
      "dup_ratio": 0.79,
      "bound_rate": 1.0
    },
    {
      "var": "releaseDate",
      "rows": 1287,
      "distinct": 234,
      "null_rate": 0.0,
      "label_resolution_rate": 1.0,
      "diversity_entropy_norm": 0.83,
      "semantic_cohesion": 0.98,
      "dup_ratio": 0.82,
      "bound_rate": 1.0
    }
  ]
}</t>
  </si>
  <si>
    <t>[{"var": "movie", "rows": 1287, "distinct": 267, "null_rate": 0.0, "label_resolution_rate": 1.0, "diversity_entropy_norm": 0.91, "semantic_cohesion": 0.68, "dup_ratio": 0.79, "bound_rate": 1.0}, {"var": "releaseDate", "rows": 1287, "distinct": 234, "null_rate": 0.0, "label_resolution_rate": 1.0, "diversity_entropy_norm": 0.83, "semantic_cohesion": 0.98, "dup_ratio": 0.82, "bound_rate": 1.0}]</t>
  </si>
  <si>
    <t>Who are all the director(s) for each of the movies?</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</si>
  <si>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</si>
  <si>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```sparql
PREFIX ns1: &lt;http://dbkwik.webdatacommons.org/marvel.wikia.com/property/&gt;
PREFIX rdf: &lt;http://www.w3.org/1999/02/22-rdf-syntax-ns#&gt;
SELECT DISTINCT ?movie ?director
WHERE {
  ?movie rdf:type ?type ;
         ns1:id ?director .
  FILTER(CONTAINS(STR(?type), "film") || CONTAINS(STR(?type), "movie"))
}
```</t>
  </si>
  <si>
    <t>"MessageBatchIndividualResponse(custom_id='cq-6', result=MessageBatchSucceededResult(message=Message(id='msg_01EkyqsPxgq73oVqGWDFhM6N', content=[TextBlock(citations=None, text='```sparql\\nPREFIX ns1: &lt;http://dbkwik.webdatacommons.org/marvel.wikia.com/property/&gt;\\nPREFIX rdf: &lt;http://www.w3.org/1999/02/22-rdf-syntax-ns#&gt;\\n\\nSELECT DISTINCT ?movie ?director\\nWHERE {\\n  ?movie rdf:type ?type ;\\n         ns1:id ?director .\\n  FILTER(CONTAINS(STR(?type), \"film\") || CONTAINS(STR(?type), \"movie\"))\\n}\\n```', type='text')], model='claude-sonnet-4-5-20250929', role='assistant', stop_reason='end_turn', stop_sequence=None, type='message', usage=Usage(cache_creation_input_tokens=0, cache_read_input_tokens=0, input_tokens=113759, output_tokens=129,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</si>
  <si>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rdfs: &lt;http://www.w3.org/2000/01/rdf-schema#&gt;
PREFIX skos: &lt;http://www.w3.org/2004/02/skos/core#&gt;
PREFIX xsd: &lt;http://www.w3.org/2001/XMLSchema#&gt;
PREFIX ns1: &lt;http://dbkwik.webdatacommons.org/marvel.wikia.com/property/&gt;
PREFIX rdf: &lt;http://www.w3.org/1999/02/22-rdf-syntax-ns#&gt;
SELECT DISTINCT ?movie ?director
WHERE {
  ?movie rdf:type ?type ;
         ns1:id ?director .
  FILTER(CONTAINS(STR(?type), "film") || CONTAINS(STR(?type), "movie"))
}</t>
  </si>
  <si>
    <t>{
  "cq_text": "Who are all the director(s) for each of the movies?",
  "syntax_ok": true,
  "satisfiable": true,
  "deterministic": true,
  "latency": {
    "p50_ms": 885.83,
    "p95_ms": 913.28,
    "mean_ms": 893.26
  },
  "rows": 1,
  "vars": 2,
  "always_unbound_vars": [],
  "lexical_query_overlap": 0.08,
  "semantic_similarity_to_CQ": 0.7,
  "semantic_soft_coverage_to_CQ": 0.77,
  "tuple_cohesion": 1.0,
  "variables": [
    {
      "var": "movie",
      "rows": 1,
      "distinct": 1,
      "null_rate": 0.0,
      "label_resolution_rate": 1.0,
      "diversity_entropy_norm": -1.0,
      "semantic_cohesion": 1.0,
      "dup_ratio": 0.0,
      "bound_rate": 1.0
    },
    {
      "var": "director",
      "rows": 1,
      "distinct": 1,
      "null_rate": 0.0,
      "label_resolution_rate": 1.0,
      "diversity_entropy_norm": -1.0,
      "semantic_cohesion": 1.0,
      "dup_ratio": 0.0,
      "bound_rate": 1.0
    }
  ]
}</t>
  </si>
  <si>
    <t>[{"var": "movie", "rows": 1, "distinct": 1, "null_rate": 0.0, "label_resolution_rate": 1.0, "diversity_entropy_norm": -1.0, "semantic_cohesion": 1.0, "dup_ratio": 0.0, "bound_rate": 1.0}, {"var": "director", "rows": 1, "distinct": 1, "null_rate": 0.0, "label_resolution_rate": 1.0, "diversity_entropy_norm": -1.0, "semantic_cohesion": 1.0, "dup_ratio": 0.0, "bound_rate": 1.0}]</t>
  </si>
  <si>
    <t>What are all the listed powers or abilities for each of the characters?</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</si>
  <si>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</si>
  <si>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```sparql
PREFIX ns1: &lt;http://dbkwik.webdatacommons.org/marvel.wikia.com/property/&gt;
PREFIX rdf: &lt;http://www.w3.org/1999/02/22-rdf-syntax-ns#&gt;
PREFIX rdfs: &lt;http://www.w3.org/2000/01/rdf-schema#&gt;
SELECT ?character ?power
WHERE {
  ?character ns1:powers ?power .
}
```</t>
  </si>
  <si>
    <t>"MessageBatchIndividualResponse(custom_id='cq-7', result=MessageBatchSucceededResult(message=Message(id='msg_01LMtSKf9w8ZK45ha9WeoKMw', content=[TextBlock(citations=None, text='```sparql\\nPREFIX ns1: &lt;http://dbkwik.webdatacommons.org/marvel.wikia.com/property/&gt;\\nPREFIX rdf: &lt;http://www.w3.org/1999/02/22-rdf-syntax-ns#&gt;\\nPREFIX rdfs: &lt;http://www.w3.org/2000/01/rdf-schema#&gt;\\n\\nSELECT ?character ?power\\nWHERE {\\n  ?character ns1:powers ?power .\\n}\\n```', type='text')], model='claude-sonnet-4-5-20250929', role='assistant', stop_reason='end_turn', stop_sequence=None, type='message', usage=Usage(cache_creation_input_tokens=0, cache_read_input_tokens=0, input_tokens=113759, output_tokens=116,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</si>
  <si>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ns1: &lt;http://dbkwik.webdatacommons.org/marvel.wikia.com/property/&gt;
PREFIX rdf: &lt;http://www.w3.org/1999/02/22-rdf-syntax-ns#&gt;
PREFIX rdfs: &lt;http://www.w3.org/2000/01/rdf-schema#&gt;
SELECT ?character ?power
WHERE {
  ?character ns1:powers ?power .
}</t>
  </si>
  <si>
    <t>{
  "cq_text": "What are all the listed powers or abilities for each of the characters?",
  "syntax_ok": true,
  "satisfiable": true,
  "deterministic": true,
  "latency": {
    "p50_ms": 7.94,
    "p95_ms": 8.09,
    "mean_ms": 7.86
  },
  "rows": 1,
  "vars": 2,
  "always_unbound_vars": [],
  "lexical_query_overlap": 0.0,
  "semantic_similarity_to_CQ": 0.77,
  "semantic_soft_coverage_to_CQ": 0.77,
  "tuple_cohesion": 1.0,
  "variables": [
    {
      "var": "character",
      "rows": 1,
      "distinct": 1,
      "null_rate": 0.0,
      "label_resolution_rate": 1.0,
      "diversity_entropy_norm": -1.0,
      "semantic_cohesion": 1.0,
      "dup_ratio": 0.0,
      "bound_rate": 1.0
    },
    {
      "var": "power",
      "rows": 1,
      "distinct": 1,
      "null_rate": 0.0,
      "label_resolution_rate": 1.0,
      "diversity_entropy_norm": -1.0,
      "semantic_cohesion": 1.0,
      "dup_ratio": 0.0,
      "bound_rate": 1.0
    }
  ]
}</t>
  </si>
  <si>
    <t>[{"var": "character", "rows": 1, "distinct": 1, "null_rate": 0.0, "label_resolution_rate": 1.0, "diversity_entropy_norm": -1.0, "semantic_cohesion": 1.0, "dup_ratio": 0.0, "bound_rate": 1.0}, {"var": "power", "rows": 1, "distinct": 1, "null_rate": 0.0, "label_resolution_rate": 1.0, "diversity_entropy_norm": -1.0, "semantic_cohesion": 1.0, "dup_ratio": 0.0, "bound_rate": 1.0}]</t>
  </si>
  <si>
    <t>What are all the team or organization affiliations for each of the characters?</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</si>
  <si>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</si>
  <si>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```sparql
PREFIX ns1: &lt;http://dbkwik.webdatacommons.org/marvel.wikia.com/property/&gt;
PREFIX rdf: &lt;http://www.w3.org/1999/02/22-rdf-syntax-ns#&gt;
PREFIX rdfs: &lt;http://www.w3.org/2000/01/rdf-schema#&gt;
SELECT ?character ?characterLabel ?affiliation ?affiliationLabel
WHERE {
  ?character rdf:type ?type .
  ?character ns1:teams ?affiliation .
  OPTIONAL { ?character rdfs:label ?characterLabel }
  OPTIONAL { ?affiliation rdfs:label ?affiliationLabel }
}
```</t>
  </si>
  <si>
    <t>"MessageBatchIndividualResponse(custom_id='cq-8', result=MessageBatchSucceededResult(message=Message(id='msg_018J2BPBZoj6afFWckWx5xLD', content=[TextBlock(citations=None, text='```sparql\\nPREFIX ns1: &lt;http://dbkwik.webdatacommons.org/marvel.wikia.com/property/&gt;\\nPREFIX rdf: &lt;http://www.w3.org/1999/02/22-rdf-syntax-ns#&gt;\\nPREFIX rdfs: &lt;http://www.w3.org/2000/01/rdf-schema#&gt;\\n\\nSELECT ?character ?characterLabel ?affiliation ?affiliationLabel\\nWHERE {\\n  ?character rdf:type ?type .\\n  ?character ns1:teams ?affiliation .\\n  \\n  OPTIONAL { ?character rdfs:label ?characterLabel }\\n  OPTIONAL { ?affiliation rdfs:label ?affiliationLabel }\\n}\\n```', type='text')], model='claude-sonnet-4-5-20250929', role='assistant', stop_reason='end_turn', stop_sequence=None, type='message', usage=Usage(cache_creation_input_tokens=0, cache_read_input_tokens=0, input_tokens=113760, output_tokens=170,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</si>
  <si>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ns1: &lt;http://dbkwik.webdatacommons.org/marvel.wikia.com/property/&gt;
PREFIX rdf: &lt;http://www.w3.org/1999/02/22-rdf-syntax-ns#&gt;
PREFIX rdfs: &lt;http://www.w3.org/2000/01/rdf-schema#&gt;
SELECT ?character ?characterLabel ?affiliation ?affiliationLabel
WHERE {
  ?character rdf:type ?type .
  ?character ns1:teams ?affiliation .
  OPTIONAL { ?character rdfs:label ?characterLabel }
  OPTIONAL { ?affiliation rdfs:label ?affiliationLabel }
}</t>
  </si>
  <si>
    <t>{
  "cq_text": "What are all the team or organization affiliations for each of the characters?",
  "syntax_ok": true,
  "satisfiable": true,
  "deterministic": true,
  "latency": {
    "p50_ms": 48.03,
    "p95_ms": 51.71,
    "mean_ms": 48.97
  },
  "rows": 399,
  "vars": 4,
  "always_unbound_vars": [],
  "lexical_query_overlap": 0.0,
  "semantic_similarity_to_CQ": 0.76,
  "semantic_soft_coverage_to_CQ": 0.78,
  "tuple_cohesion": 0.71,
  "variables": [
    {
      "var": "character",
      "rows": 399,
      "distinct": 181,
      "null_rate": 0.0,
      "label_resolution_rate": 1.0,
      "diversity_entropy_norm": 0.87,
      "semantic_cohesion": 0.61,
      "dup_ratio": 0.55,
      "bound_rate": 1.0
    },
    {
      "var": "characterLabel",
      "rows": 399,
      "distinct": 249,
      "null_rate": 0.0,
      "label_resolution_rate": 1.0,
      "diversity_entropy_norm": 0.96,
      "semantic_cohesion": 0.56,
      "dup_ratio": 0.38,
      "bound_rate": 1.0
    },
    {
      "var": "affiliation",
      "rows": 399,
      "distinct": 319,
      "null_rate": 0.0,
      "label_resolution_rate": 1.0,
      "diversity_entropy_norm": 0.98,
      "semantic_cohesion": 0.6,
      "dup_ratio": 0.2,
      "bound_rate": 1.0
    },
    {
      "var": "affiliationLabel",
      "rows": 399,
      "distinct": 323,
      "null_rate": 0.10526315789473684,
      "label_resolution_rate": 1.0,
      "diversity_entropy_norm": 0.99,
      "semantic_cohesion": 0.68,
      "dup_ratio": 0.1,
      "bound_rate": 0.8947368421052632
    }
  ]
}</t>
  </si>
  <si>
    <t>[{"var": "character", "rows": 399, "distinct": 181, "null_rate": 0.0, "label_resolution_rate": 1.0, "diversity_entropy_norm": 0.87, "semantic_cohesion": 0.61, "dup_ratio": 0.55, "bound_rate": 1.0}, {"var": "characterLabel", "rows": 399, "distinct": 249, "null_rate": 0.0, "label_resolution_rate": 1.0, "diversity_entropy_norm": 0.96, "semantic_cohesion": 0.56, "dup_ratio": 0.38, "bound_rate": 1.0}, {"var": "affiliation", "rows": 399, "distinct": 319, "null_rate": 0.0, "label_resolution_rate": 1.0, "diversity_entropy_norm": 0.98, "semantic_cohesion": 0.6, "dup_ratio": 0.2, "bound_rate": 1.0}, {"var": "affiliationLabel", "rows": 399, "distinct": 323, "null_rate": 0.10526315789473684, "label_resolution_rate": 1.0, "diversity_entropy_norm": 0.99, "semantic_cohesion": 0.68, "dup_ratio": 0.1, "bound_rate": 0.8947368421052632}]</t>
  </si>
  <si>
    <t>What are all the locations (places) available?</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</si>
  <si>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</si>
  <si>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```sparql
PREFIX rdfs: &lt;http://www.w3.org/2000/01/rdf-schema#&gt;
PREFIX ns1: &lt;http://dbkwik.webdatacommons.org/marvel.wikia.com/property/&gt;
PREFIX skos: &lt;http://www.w3.org/2004/02/skos/core#&gt;
SELECT DISTINCT ?location
WHERE {
  {
    ?location a ?type .
    ?type rdfs:subClassOf* &lt;http://www.w3.org/2002/07/owl#Thing&gt; .
    FILTER(
      CONTAINS(LCASE(STR(?location)), "city") || 
      CONTAINS(LCASE(STR(?location)), "town") || 
      CONTAINS(LCASE(STR(?location)), "country") || 
      CONTAINS(LCASE(STR(?location)), "island") || 
      CONTAINS(LCASE(STR(?location)), "continent") || 
      CONTAINS(LCASE(STR(?location)), "ocean") || 
      CONTAINS(LCASE(STR(?location)), "mountain") || 
      CONTAINS(LCASE(STR(?location)), "base") || 
      CONTAINS(LCASE(STR(?location)), "realm") || 
      CONTAINS(LCASE(STR(?location)), "dimension")
    )
  }
  UNION
  {
    ?location ns1:placeofbirth ?birthplace .
  }
  UNION
  {
    ?location ns1:baseofoperations ?base .
  }
}
```</t>
  </si>
  <si>
    <t>"MessageBatchIndividualResponse(custom_id='cq-9', result=MessageBatchSucceededResult(message=Message(id='msg_019TsBxmYgzofZrPWq5ZTTnK', content=[TextBlock(citations=None, text='```sparql\\nPREFIX rdfs: &lt;http://www.w3.org/2000/01/rdf-schema#&gt;\\nPREFIX ns1: &lt;http://dbkwik.webdatacommons.org/marvel.wikia.com/property/&gt;\\nPREFIX skos: &lt;http://www.w3.org/2004/02/skos/core#&gt;\\n\\nSELECT DISTINCT ?location\\nWHERE {\\n  {\\n    ?location a ?type .\\n    ?type rdfs:subClassOf* &lt;http://www.w3.org/2002/07/owl#Thing&gt; .\\n    FILTER(\\n      CONTAINS(LCASE(STR(?location)), \"city\") || \\n      CONTAINS(LCASE(STR(?location)), \"town\") || \\n      CONTAINS(LCASE(STR(?location)), \"country\") || \\n      CONTAINS(LCASE(STR(?location)), \"island\") || \\n      CONTAINS(LCASE(STR(?location)), \"continent\") || \\n      CONTAINS(LCASE(STR(?location)), \"ocean\") || \\n      CONTAINS(LCASE(STR(?location)), \"mountain\") || \\n      CONTAINS(LCASE(STR(?location)), \"base\") || \\n      CONTAINS(LCASE(STR(?location)), \"realm\") || \\n      CONTAINS(LCASE(STR(?location)), \"dimension\")\\n    )\\n  }\\n  UNION\\n  {\\n    ?location ns1:placeofbirth ?birthplace .\\n  }\\n  UNION\\n  {\\n    ?location ns1:baseofoperations ?base .\\n  }\\n}\\n```', type='text')], model='claude-sonnet-4-5-20250929', role='assistant', stop_reason='end_turn', stop_sequence=None, type='message', usage=Usage(cache_creation_input_tokens=0, cache_read_input_tokens=0, input_tokens=113755, output_tokens=392,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</si>
  <si>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xsd: &lt;http://www.w3.org/2001/XMLSchema#&gt;
PREFIX rdfs: &lt;http://www.w3.org/2000/01/rdf-schema#&gt;
PREFIX ns1: &lt;http://dbkwik.webdatacommons.org/marvel.wikia.com/property/&gt;
PREFIX skos: &lt;http://www.w3.org/2004/02/skos/core#&gt;
SELECT DISTINCT ?location
WHERE {
  {
    ?location a ?type .
    ?type rdfs:subClassOf* &lt;http://www.w3.org/2002/07/owl#Thing&gt; .
    FILTER(
      CONTAINS(LCASE(STR(?location)), "city") || 
      CONTAINS(LCASE(STR(?location)), "town") || 
      CONTAINS(LCASE(STR(?location)), "country") || 
      CONTAINS(LCASE(STR(?location)), "island") || 
      CONTAINS(LCASE(STR(?location)), "continent") || 
      CONTAINS(LCASE(STR(?location)), "ocean") || 
      CONTAINS(LCASE(STR(?location)), "mountain") || 
      CONTAINS(LCASE(STR(?location)), "base") || 
      CONTAINS(LCASE(STR(?location)), "realm") || 
      CONTAINS(LCASE(STR(?location)), "dimension")
    )
  }
  UNION
  {
    ?location ns1:placeofbirth ?birthplace .
  }
  UNION
  {
    ?location ns1:baseofoperations ?base .
  }
}</t>
  </si>
  <si>
    <t>{
  "cq_text": "What are all the locations (places) available?",
  "syntax_ok": true,
  "satisfiable": true,
  "deterministic": true,
  "latency": {
    "p50_ms": 14801.49,
    "p95_ms": 15001.04,
    "mean_ms": 14555.39
  },
  "rows": 596,
  "vars": 1,
  "always_unbound_vars": [],
  "lexical_query_overlap": 0.0,
  "semantic_similarity_to_CQ": 0.66,
  "semantic_soft_coverage_to_CQ": 0.77,
  "tuple_cohesion": 0.79,
  "variables": [
    {
      "var": "location",
      "rows": 596,
      "distinct": 596,
      "null_rate": 0.0,
      "label_resolution_rate": 1.0,
      "diversity_entropy_norm": 1.0,
      "semantic_cohesion": 0.79,
      "dup_ratio": 0.0,
      "bound_rate": 1.0
    }
  ]
}</t>
  </si>
  <si>
    <t>[{"var": "location", "rows": 596, "distinct": 596, "null_rate": 0.0, "label_resolution_rate": 1.0, "diversity_entropy_norm": 1.0, "semantic_cohesion": 0.79, "dup_ratio": 0.0, "bound_rate": 1.0}]</t>
  </si>
  <si>
    <t>What are all the available movies and their directors?</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</si>
  <si>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</si>
  <si>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```sparql
PREFIX ns1: &lt;http://dbkwik.webdatacommons.org/marvel.wikia.com/property/&gt;
PREFIX rdfs: &lt;http://www.w3.org/2000/01/rdf-schema#&gt;
SELECT ?movie ?movieLabel ?director ?directorLabel
WHERE {
  # Match movies (items that have the director property)
  ?movie ns1:director ?director .
  # Get the label for the movie
  OPTIONAL { ?movie rdfs:label ?movieLabel }
  # Get the label for the director
  OPTIONAL { ?director rdfs:label ?directorLabel }
}
```</t>
  </si>
  <si>
    <t>"MessageBatchIndividualResponse(custom_id='cq-10', result=MessageBatchSucceededResult(message=Message(id='msg_01Aof8W4RMqWBTtMC5R8Rm6p', content=[TextBlock(citations=None, text='```sparql\\nPREFIX ns1: &lt;http://dbkwik.webdatacommons.org/marvel.wikia.com/property/&gt;\\nPREFIX rdfs: &lt;http://www.w3.org/2000/01/rdf-schema#&gt;\\n\\nSELECT ?movie ?movieLabel ?director ?directorLabel\\nWHERE {\\n  # Match movies (items that have the director property)\\n  ?movie ns1:director ?director .\\n  \\n  # Get the label for the movie\\n  OPTIONAL { ?movie rdfs:label ?movieLabel }\\n  \\n  # Get the label for the director\\n  OPTIONAL { ?director rdfs:label ?directorLabel }\\n}\\n```', type='text')], model='claude-sonnet-4-5-20250929', role='assistant', stop_reason='end_turn', stop_sequence=None, type='message', usage=Usage(cache_creation_input_tokens=0, cache_read_input_tokens=0, input_tokens=113755, output_tokens=159,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</si>
  <si>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?movie ?movieLabel ?director ?directorLabel
WHERE {
  # Match movies (items that have the director property)
  ?movie ns1:director ?director .
  # Get the label for the movie
  OPTIONAL { ?movie rdfs:label ?movieLabel }
  # Get the label for the director
  OPTIONAL { ?director rdfs:label ?directorLabel }
}</t>
  </si>
  <si>
    <t>{
  "cq_text": "What are all the available movies and their directors?",
  "syntax_ok": true,
  "satisfiable": false,
  "deterministic": true,
  "latency": {
    "p50_ms": 8.34,
    "p95_ms": 8.42,
    "mean_ms": 8.31
  },
  "rows": 0,
  "vars": 4,
  "always_unbound_vars": [
    "movie",
    "movieLabel",
    "director",
    "directorLabel"
  ],
  "lexical_query_overlap": 0.07,
  "semantic_similarity_to_CQ": 0.68,
  "semantic_soft_coverage_to_CQ": 0.82,
  "tuple_cohesion": null,
  "variables": [
    {
      "var": "movie",
      "rows": 0,
      "distinct": 0,
      "null_rate": 1.0,
      "label_resolution_rate": 0.0,
      "diversity_entropy_norm": 0.0,
      "semantic_cohesion": 1.0,
      "dup_ratio": 0.0,
      "bound_rate": 0.0
    },
    {
      "var": "movieLabel",
      "rows": 0,
      "distinct": 0,
      "null_rate": 1.0,
      "label_resolution_rate": 0.0,
      "diversity_entropy_norm": 0.0,
      "semantic_cohesion": 1.0,
      "dup_ratio": 0.0,
      "bound_rate": 0.0
    },
    {
      "var": "director",
      "rows": 0,
      "distinct": 0,
      "null_rate": 1.0,
      "label_resolution_rate": 0.0,
      "diversity_entropy_norm": 0.0,
      "semantic_cohesion": 1.0,
      "dup_ratio": 0.0,
      "bound_rate": 0.0
    },
    {
      "var": "directorLabel",
      "rows": 0,
      "distinct": 0,
      "null_rate": 1.0,
      "label_resolution_rate": 0.0,
      "diversity_entropy_norm": 0.0,
      "semantic_cohesion": 1.0,
      "dup_ratio": 0.0,
      "bound_rate": 0.0
    }
  ]
}</t>
  </si>
  <si>
    <t>["movie", "movieLabel", "director", "directorLabel"]</t>
  </si>
  <si>
    <t>[{"var": "movie", "rows": 0, "distinct": 0, "null_rate": 1.0, "label_resolution_rate": 0.0, "diversity_entropy_norm": 0.0, "semantic_cohesion": 1.0, "dup_ratio": 0.0, "bound_rate": 0.0}, {"var": "movieLabel", "rows": 0, "distinct": 0, "null_rate": 1.0, "label_resolution_rate": 0.0, "diversity_entropy_norm": 0.0, "semantic_cohesion": 1.0, "dup_ratio": 0.0, "bound_rate": 0.0}, {"var": "director", "rows": 0, "distinct": 0, "null_rate": 1.0, "label_resolution_rate": 0.0, "diversity_entropy_norm": 0.0, "semantic_cohesion": 1.0, "dup_ratio": 0.0, "bound_rate": 0.0}, {"var": "directorLabel", "rows": 0, "distinct": 0, "null_rate": 1.0, "label_resolution_rate": 0.0, "diversity_entropy_norm": 0.0, "semantic_cohesion": 1.0, "dup_ratio": 0.0, "bound_rate": 0.0}]</t>
  </si>
  <si>
    <t>What are all the available characters and their primary alias/real name?</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</si>
  <si>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</si>
  <si>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```sparql
PREFIX ns1: &lt;http://dbkwik.webdatacommons.org/marvel.wikia.com/property/&gt;
PREFIX rdfs: &lt;http://www.w3.org/2000/01/rdf-schema#&gt;
SELECT DISTINCT ?character ?realName
WHERE {
  ?character ns1:realname ?realName .
}
```</t>
  </si>
  <si>
    <t>"MessageBatchIndividualResponse(custom_id='cq-11', result=MessageBatchSucceededResult(message=Message(id='msg_01D3hNFfAvwG7VMSCuJnDogt', content=[TextBlock(citations=None, text='```sparql\\nPREFIX ns1: &lt;http://dbkwik.webdatacommons.org/marvel.wikia.com/property/&gt;\\nPREFIX rdfs: &lt;http://www.w3.org/2000/01/rdf-schema#&gt;\\n\\nSELECT DISTINCT ?character ?realName\\nWHERE {\\n  ?character ns1:realname ?realName .\\n}\\n```', type='text')], model='claude-sonnet-4-5-20250929', role='assistant', stop_reason='end_turn', stop_sequence=None, type='message', usage=Usage(cache_creation_input_tokens=0, cache_read_input_tokens=0, input_tokens=113759, output_tokens=91,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</si>
  <si>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DISTINCT ?character ?realName
WHERE {
  ?character ns1:realname ?realName .
}</t>
  </si>
  <si>
    <t>{
  "cq_text": "What are all the available characters and their primary alias/real name?",
  "syntax_ok": true,
  "satisfiable": true,
  "deterministic": true,
  "latency": {
    "p50_ms": 7.8,
    "p95_ms": 8.87,
    "mean_ms": 8.06
  },
  "rows": 1,
  "vars": 2,
  "always_unbound_vars": [],
  "lexical_query_overlap": 0.07,
  "semantic_similarity_to_CQ": 0.75,
  "semantic_soft_coverage_to_CQ": 0.75,
  "tuple_cohesion": 1.0,
  "variables": [
    {
      "var": "character",
      "rows": 1,
      "distinct": 1,
      "null_rate": 0.0,
      "label_resolution_rate": 1.0,
      "diversity_entropy_norm": -1.0,
      "semantic_cohesion": 1.0,
      "dup_ratio": 0.0,
      "bound_rate": 1.0
    },
    {
      "var": "realName",
      "rows": 1,
      "distinct": 1,
      "null_rate": 0.0,
      "label_resolution_rate": 1.0,
      "diversity_entropy_norm": -1.0,
      "semantic_cohesion": 1.0,
      "dup_ratio": 0.0,
      "bound_rate": 1.0
    }
  ]
}</t>
  </si>
  <si>
    <t>[{"var": "character", "rows": 1, "distinct": 1, "null_rate": 0.0, "label_resolution_rate": 1.0, "diversity_entropy_norm": -1.0, "semantic_cohesion": 1.0, "dup_ratio": 0.0, "bound_rate": 1.0}, {"var": "realName", "rows": 1, "distinct": 1, "null_rate": 0.0, "label_resolution_rate": 1.0, "diversity_entropy_norm": -1.0, "semantic_cohesion": 1.0, "dup_ratio": 0.0, "bound_rate": 1.0}]</t>
  </si>
  <si>
    <t>What are all the character–movie appearance pairs (which characters appear in which movies) available?</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</si>
  <si>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</si>
  <si>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```sparql
PREFIX ns1: &lt;http://dbkwik.webdatacommons.org/marvel.wikia.com/property/&gt;
PREFIX rdf: &lt;http://www.w3.org/1999/02/22-rdf-syntax-ns#&gt;
SELECT DISTINCT ?character ?movie
WHERE {
  ?character ns1:movies ?movie .
}
```</t>
  </si>
  <si>
    <t>"MessageBatchIndividualResponse(custom_id='cq-12', result=MessageBatchSucceededResult(message=Message(id='msg_013VX7ZmCfmJADeJnSTAf9de', content=[TextBlock(citations=None, text='```sparql\\nPREFIX ns1: &lt;http://dbkwik.webdatacommons.org/marvel.wikia.com/property/&gt;\\nPREFIX rdf: &lt;http://www.w3.org/1999/02/22-rdf-syntax-ns#&gt;\\n\\nSELECT DISTINCT ?character ?movie\\nWHERE {\\n  ?character ns1:movies ?movie .\\n}\\n```', type='text')], model='claude-sonnet-4-5-20250929', role='assistant', stop_reason='end_turn', stop_sequence=None, type='message', usage=Usage(cache_creation_input_tokens=0, cache_read_input_tokens=0, input_tokens=113764, output_tokens=92,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</si>
  <si>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rdfs: &lt;http://www.w3.org/2000/01/rdf-schema#&gt;
PREFIX skos: &lt;http://www.w3.org/2004/02/skos/core#&gt;
PREFIX xsd: &lt;http://www.w3.org/2001/XMLSchema#&gt;
PREFIX ns1: &lt;http://dbkwik.webdatacommons.org/marvel.wikia.com/property/&gt;
PREFIX rdf: &lt;http://www.w3.org/1999/02/22-rdf-syntax-ns#&gt;
SELECT DISTINCT ?character ?movie
WHERE {
  ?character ns1:movies ?movie .
}</t>
  </si>
  <si>
    <t>{
  "cq_text": "What are all the character\u2013movie appearance pairs (which characters appear in which movies) available?",
  "syntax_ok": true,
  "satisfiable": true,
  "deterministic": true,
  "latency": {
    "p50_ms": 52.24,
    "p95_ms": 53.49,
    "mean_ms": 52.37
  },
  "rows": 1033,
  "vars": 2,
  "always_unbound_vars": [],
  "lexical_query_overlap": 0.13,
  "semantic_similarity_to_CQ": 0.7,
  "semantic_soft_coverage_to_CQ": 0.79,
  "tuple_cohesion": 0.79,
  "variables": [
    {
      "var": "character",
      "rows": 1033,
      "distinct": 413,
      "null_rate": 0.0,
      "label_resolution_rate": 1.0,
      "diversity_entropy_norm": 0.86,
      "semantic_cohesion": 0.64,
      "dup_ratio": 0.6,
      "bound_rate": 1.0
    },
    {
      "var": "movie",
      "rows": 1033,
      "distinct": 345,
      "null_rate": 0.0,
      "label_resolution_rate": 0.9636871508379888,
      "diversity_entropy_norm": 0.73,
      "semantic_cohesion": 0.61,
      "dup_ratio": 0.67,
      "bound_rate": 1.0
    }
  ]
}</t>
  </si>
  <si>
    <t>[{"var": "character", "rows": 1033, "distinct": 413, "null_rate": 0.0, "label_resolution_rate": 1.0, "diversity_entropy_norm": 0.86, "semantic_cohesion": 0.64, "dup_ratio": 0.6, "bound_rate": 1.0}, {"var": "movie", "rows": 1033, "distinct": 345, "null_rate": 0.0, "label_resolution_rate": 0.9636871508379888, "diversity_entropy_norm": 0.73, "semantic_cohesion": 0.61, "dup_ratio": 0.67, "bound_rate": 1.0}]</t>
  </si>
  <si>
    <t>What are all the actor–character pairs (which actors portray which characters) available?</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</si>
  <si>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</si>
  <si>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```sparql
PREFIX ns1: &lt;http://dbkwik.webdatacommons.org/marvel.wikia.com/property/&gt;
PREFIX rdfs: &lt;http://www.w3.org/2000/01/rdf-schema#&gt;
SELECT ?actor ?character
WHERE {
  ?character a ?type ;
             ns1:body ?actor .
  FILTER(CONTAINS(STR(?type), "marvel.wikia.com/class/"))
}
```</t>
  </si>
  <si>
    <t>"MessageBatchIndividualResponse(custom_id='cq-13', result=MessageBatchSucceededResult(message=Message(id='msg_01L1umLzwcp1H8jj8vHmLfVR', content=[TextBlock(citations=None, text='```sparql\\nPREFIX ns1: &lt;http://dbkwik.webdatacommons.org/marvel.wikia.com/property/&gt;\\nPREFIX rdfs: &lt;http://www.w3.org/2000/01/rdf-schema#&gt;\\n\\nSELECT ?actor ?character\\nWHERE {\\n  ?character a ?type ;\\n             ns1:body ?actor .\\n  \\n  FILTER(CONTAINS(STR(?type), \"marvel.wikia.com/class/\"))\\n}\\n```', type='text')], model='claude-sonnet-4-5-20250929', role='assistant', stop_reason='end_turn', stop_sequence=None, type='message', usage=Usage(cache_creation_input_tokens=0, cache_read_input_tokens=0, input_tokens=113763, output_tokens=118,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</si>
  <si>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?actor ?character
WHERE {
  ?character a ?type ;
             ns1:body ?actor .
  FILTER(CONTAINS(STR(?type), "marvel.wikia.com/class/"))
}</t>
  </si>
  <si>
    <t>{
  "cq_text": "What are all the actor\u2013character pairs (which actors portray which characters) available?",
  "syntax_ok": true,
  "satisfiable": true,
  "deterministic": true,
  "latency": {
    "p50_ms": 1109.13,
    "p95_ms": 1131.88,
    "mean_ms": 1083.53
  },
  "rows": 3380,
  "vars": 2,
  "always_unbound_vars": [],
  "lexical_query_overlap": 0.07,
  "semantic_similarity_to_CQ": 0.65,
  "semantic_soft_coverage_to_CQ": 0.78,
  "tuple_cohesion": 0.71,
  "variables": [
    {
      "var": "actor",
      "rows": 3380,
      "distinct": 2760,
      "null_rate": 0.0,
      "label_resolution_rate": 0.9896004378762999,
      "diversity_entropy_norm": 0.98,
      "semantic_cohesion": 0.66,
      "dup_ratio": 0.18,
      "bound_rate": 1.0
    },
    {
      "var": "character",
      "rows": 3380,
      "distinct": 504,
      "null_rate": 0.0,
      "label_resolution_rate": 1.0,
      "diversity_entropy_norm": 0.83,
      "semantic_cohesion": 0.58,
      "dup_ratio": 0.85,
      "bound_rate": 1.0
    }
  ]
}</t>
  </si>
  <si>
    <t>[{"var": "actor", "rows": 3380, "distinct": 2760, "null_rate": 0.0, "label_resolution_rate": 0.9896004378762999, "diversity_entropy_norm": 0.98, "semantic_cohesion": 0.66, "dup_ratio": 0.18, "bound_rate": 1.0}, {"var": "character", "rows": 3380, "distinct": 504, "null_rate": 0.0, "label_resolution_rate": 1.0, "diversity_entropy_norm": 0.83, "semantic_cohesion": 0.58, "dup_ratio": 0.85, "bound_rate": 1.0}]</t>
  </si>
  <si>
    <t>moderate</t>
  </si>
  <si>
    <t>What are all the character–team–movie triples available where a character is a member of a team and appears in a movie?</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</si>
  <si>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</si>
  <si>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```sparql
PREFIX ns1: &lt;http://dbkwik.webdatacommons.org/marvel.wikia.com/property/&gt;
PREFIX rdfs: &lt;http://www.w3.org/2000/01/rdf-schema#&gt;
SELECT ?character ?team ?movie
WHERE {
  ?character ns1:teams ?team .
  ?character ns1:movies ?movie .
}
```</t>
  </si>
  <si>
    <t>"MessageBatchIndividualResponse(custom_id='cq-14', result=MessageBatchSucceededResult(message=Message(id='msg_01SLtbpDJdbAW4DT4fhZVL6S', content=[TextBlock(citations=None, text='```sparql\\nPREFIX ns1: &lt;http://dbkwik.webdatacommons.org/marvel.wikia.com/property/&gt;\\nPREFIX rdfs: &lt;http://www.w3.org/2000/01/rdf-schema#&gt;\\n\\nSELECT ?character ?team ?movie\\nWHERE {\\n  ?character ns1:teams ?team .\\n  ?character ns1:movies ?movie .\\n}\\n```', type='text')], model='claude-sonnet-4-5-20250929', role='assistant', stop_reason='end_turn', stop_sequence=None, type='message', usage=Usage(cache_creation_input_tokens=0, cache_read_input_tokens=0, input_tokens=113772, output_tokens=99,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</si>
  <si>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?character ?team ?movie
WHERE {
  ?character ns1:teams ?team .
  ?character ns1:movies ?movie .
}</t>
  </si>
  <si>
    <t>{
  "cq_text": "What are all the character\u2013team\u2013movie triples available where a character is a member of a team and appears in a movie?",
  "syntax_ok": true,
  "satisfiable": true,
  "deterministic": true,
  "latency": {
    "p50_ms": 40.03,
    "p95_ms": 44.49,
    "mean_ms": 41.21
  },
  "rows": 432,
  "vars": 3,
  "always_unbound_vars": [],
  "lexical_query_overlap": 0.16,
  "semantic_similarity_to_CQ": 0.75,
  "semantic_soft_coverage_to_CQ": 0.82,
  "tuple_cohesion": 0.92,
  "variables": [
    {
      "var": "character",
      "rows": 432,
      "distinct": 33,
      "null_rate": 0.0,
      "label_resolution_rate": 1.0,
      "diversity_entropy_norm": 0.56,
      "semantic_cohesion": 0.73,
      "dup_ratio": 0.92,
      "bound_rate": 1.0
    },
    {
      "var": "team",
      "rows": 432,
      "distinct": 127,
      "null_rate": 0.0,
      "label_resolution_rate": 1.0,
      "diversity_entropy_norm": 0.95,
      "semantic_cohesion": 0.56,
      "dup_ratio": 0.71,
      "bound_rate": 1.0
    },
    {
      "var": "movie",
      "rows": 432,
      "distinct": 68,
      "null_rate": 0.0,
      "label_resolution_rate": 1.0,
      "diversity_entropy_norm": 0.84,
      "semantic_cohesion": 0.63,
      "dup_ratio": 0.84,
      "bound_rate": 1.0
    }
  ]
}</t>
  </si>
  <si>
    <t>[{"var": "character", "rows": 432, "distinct": 33, "null_rate": 0.0, "label_resolution_rate": 1.0, "diversity_entropy_norm": 0.56, "semantic_cohesion": 0.73, "dup_ratio": 0.92, "bound_rate": 1.0}, {"var": "team", "rows": 432, "distinct": 127, "null_rate": 0.0, "label_resolution_rate": 1.0, "diversity_entropy_norm": 0.95, "semantic_cohesion": 0.56, "dup_ratio": 0.71, "bound_rate": 1.0}, {"var": "movie", "rows": 432, "distinct": 68, "null_rate": 0.0, "label_resolution_rate": 1.0, "diversity_entropy_norm": 0.84, "semantic_cohesion": 0.63, "dup_ratio": 0.84, "bound_rate": 1.0}]</t>
  </si>
  <si>
    <t>What are all the character–power–movie triples available with respect to characters with specific powers and the movies they appear in?</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</si>
  <si>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</si>
  <si>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```sparql
PREFIX ns1: &lt;http://dbkwik.webdatacommons.org/marvel.wikia.com/property/&gt;
PREFIX rdfs: &lt;http://www.w3.org/2000/01/rdf-schema#&gt;
SELECT ?character ?power ?movie
WHERE {
  ?character ns1:powers ?power .
  ?character ns1:movies ?movie .
}
```</t>
  </si>
  <si>
    <t>"MessageBatchIndividualResponse(custom_id='cq-15', result=MessageBatchSucceededResult(message=Message(id='msg_01MzFP9DQ8nLFP5wiqaeHzKv', content=[TextBlock(citations=None, text='```sparql\\nPREFIX ns1: &lt;http://dbkwik.webdatacommons.org/marvel.wikia.com/property/&gt;\\nPREFIX rdfs: &lt;http://www.w3.org/2000/01/rdf-schema#&gt;\\n\\nSELECT ?character ?power ?movie\\nWHERE {\\n  ?character ns1:powers ?power .\\n  ?character ns1:movies ?movie .\\n}\\n```', type='text')], model='claude-sonnet-4-5-20250929', role='assistant', stop_reason='end_turn', stop_sequence=None, type='message', usage=Usage(cache_creation_input_tokens=0, cache_read_input_tokens=0, input_tokens=113771, output_tokens=99,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</si>
  <si>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?character ?power ?movie
WHERE {
  ?character ns1:powers ?power .
  ?character ns1:movies ?movie .
}</t>
  </si>
  <si>
    <t>{
  "cq_text": "What are all the character\u2013power\u2013movie triples available with respect to characters with specific powers and the movies they appear in?",
  "syntax_ok": true,
  "satisfiable": false,
  "deterministic": true,
  "latency": {
    "p50_ms": 7.58,
    "p95_ms": 7.74,
    "mean_ms": 7.61
  },
  "rows": 0,
  "vars": 3,
  "always_unbound_vars": [
    "character",
    "power",
    "movie"
  ],
  "lexical_query_overlap": 0.14,
  "semantic_similarity_to_CQ": 0.73,
  "semantic_soft_coverage_to_CQ": 0.78,
  "tuple_cohesion": null,
  "variables": [
    {
      "var": "character",
      "rows": 0,
      "distinct": 0,
      "null_rate": 1.0,
      "label_resolution_rate": 0.0,
      "diversity_entropy_norm": 0.0,
      "semantic_cohesion": 1.0,
      "dup_ratio": 0.0,
      "bound_rate": 0.0
    },
    {
      "var": "power",
      "rows": 0,
      "distinct": 0,
      "null_rate": 1.0,
      "label_resolution_rate": 0.0,
      "diversity_entropy_norm": 0.0,
      "semantic_cohesion": 1.0,
      "dup_ratio": 0.0,
      "bound_rate": 0.0
    },
    {
      "var": "movie",
      "rows": 0,
      "distinct": 0,
      "null_rate": 1.0,
      "label_resolution_rate": 0.0,
      "diversity_entropy_norm": 0.0,
      "semantic_cohesion": 1.0,
      "dup_ratio": 0.0,
      "bound_rate": 0.0
    }
  ]
}</t>
  </si>
  <si>
    <t>["character", "power", "movie"]</t>
  </si>
  <si>
    <t>[{"var": "character", "rows": 0, "distinct": 0, "null_rate": 1.0, "label_resolution_rate": 0.0, "diversity_entropy_norm": 0.0, "semantic_cohesion": 1.0, "dup_ratio": 0.0, "bound_rate": 0.0}, {"var": "power", "rows": 0, "distinct": 0, "null_rate": 1.0, "label_resolution_rate": 0.0, "diversity_entropy_norm": 0.0, "semantic_cohesion": 1.0, "dup_ratio": 0.0, "bound_rate": 0.0}, {"var": "movie", "rows": 0, "distinct": 0, "null_rate": 1.0, "label_resolution_rate": 0.0, "diversity_entropy_norm": 0.0, "semantic_cohesion": 1.0, "dup_ratio": 0.0, "bound_rate": 0.0}]</t>
  </si>
  <si>
    <t>What are all the pairs of characters that are linked through movies and co-appear in at least two movies?</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</si>
  <si>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</si>
  <si>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```sparql
PREFIX ns1: &lt;http://dbkwik.webdatacommons.org/marvel.wikia.com/property/&gt;
PREFIX rdfs: &lt;http://www.w3.org/2000/01/rdf-schema#&gt;
SELECT DISTINCT ?char1 ?char2 (COUNT(?movie) as ?coAppearances)
WHERE {
  ?char1 ns1:movies ?movie .
  ?char2 ns1:movies ?movie .
  FILTER(?char1 != ?char2)
  FILTER(STR(?char1) &lt; STR(?char2))
}
GROUP BY ?char1 ?char2
HAVING (COUNT(?movie) &gt;= 2)
ORDER BY DESC(?coAppearances)
```</t>
  </si>
  <si>
    <t>"MessageBatchIndividualResponse(custom_id='cq-16', result=MessageBatchSucceededResult(message=Message(id='msg_017tXkDB9nN51d4rr6Z5jDjE', content=[TextBlock(citations=None, text='```sparql\\nPREFIX ns1: &lt;http://dbkwik.webdatacommons.org/marvel.wikia.com/property/&gt;\\nPREFIX rdfs: &lt;http://www.w3.org/2000/01/rdf-schema#&gt;\\n\\nSELECT DISTINCT ?char1 ?char2 (COUNT(?movie) as ?coAppearances)\\nWHERE {\\n  ?char1 ns1:movies ?movie .\\n  ?char2 ns1:movies ?movie .\\n  FILTER(?char1 != ?char2)\\n  FILTER(STR(?char1) &lt; STR(?char2))\\n}\\nGROUP BY ?char1 ?char2\\nHAVING (COUNT(?movie) &gt;= 2)\\nORDER BY DESC(?coAppearances)\\n```', type='text')], model='claude-sonnet-4-5-20250929', role='assistant', stop_reason='end_turn', stop_sequence=None, type='message', usage=Usage(cache_creation_input_tokens=0, cache_read_input_tokens=0, input_tokens=113767, output_tokens=182,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</si>
  <si>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DISTINCT ?char1 ?char2 (COUNT(?movie) as ?coAppearances)
WHERE {
  ?char1 ns1:movies ?movie .
  ?char2 ns1:movies ?movie .
  FILTER(?char1 != ?char2)
  FILTER(STR(?char1) &lt; STR(?char2))
}
GROUP BY ?char1 ?char2
HAVING (COUNT(?movie) &gt;= 2)
ORDER BY DESC(?coAppearances)</t>
  </si>
  <si>
    <t>{
  "cq_text": "What are all the pairs of characters that are linked through movies and co-appear in at least two movies?",
  "syntax_ok": true,
  "satisfiable": true,
  "deterministic": true,
  "latency": {
    "p50_ms": 268.4,
    "p95_ms": 297.79,
    "mean_ms": 273.73
  },
  "rows": 502,
  "vars": 4,
  "always_unbound_vars": [
    "movie"
  ],
  "lexical_query_overlap": 0.0,
  "semantic_similarity_to_CQ": 0.75,
  "semantic_soft_coverage_to_CQ": 0.75,
  "tuple_cohesion": 0.98,
  "variables": [
    {
      "var": "char1",
      "rows": 502,
      "distinct": 50,
      "null_rate": 0.0,
      "label_resolution_rate": 1.0,
      "diversity_entropy_norm": 0.77,
      "semantic_cohesion": 0.75,
      "dup_ratio": 0.9,
      "bound_rate": 1.0
    },
    {
      "var": "char2",
      "rows": 502,
      "distinct": 44,
      "null_rate": 0.0,
      "label_resolution_rate": 1.0,
      "diversity_entropy_norm": 0.78,
      "semantic_cohesion": 0.74,
      "dup_ratio": 0.91,
      "bound_rate": 1.0
    },
    {
      "var": "movie",
      "rows": 502,
      "distinct": 0,
      "null_rate": 1.0,
      "label_resolution_rate": 0.0,
      "diversity_entropy_norm": 0.0,
      "semantic_cohesion": 1.0,
      "dup_ratio": 0.0,
      "bound_rate": 0.0
    },
    {
      "var": "coAppearances",
      "rows": 502,
      "distinct": 4,
      "null_rate": 0.0,
      "label_resolution_rate": 1.0,
      "diversity_entropy_norm": 0.44,
      "semantic_cohesion": 0.95,
      "dup_ratio": 0.99,
      "bound_rate": 1.0
    }
  ]
}</t>
  </si>
  <si>
    <t>["movie"]</t>
  </si>
  <si>
    <t>[{"var": "char1", "rows": 502, "distinct": 50, "null_rate": 0.0, "label_resolution_rate": 1.0, "diversity_entropy_norm": 0.77, "semantic_cohesion": 0.75, "dup_ratio": 0.9, "bound_rate": 1.0}, {"var": "char2", "rows": 502, "distinct": 44, "null_rate": 0.0, "label_resolution_rate": 1.0, "diversity_entropy_norm": 0.78, "semantic_cohesion": 0.74, "dup_ratio": 0.91, "bound_rate": 1.0}, {"var": "movie", "rows": 502, "distinct": 0, "null_rate": 1.0, "label_resolution_rate": 0.0, "diversity_entropy_norm": 0.0, "semantic_cohesion": 1.0, "dup_ratio": 0.0, "bound_rate": 0.0}, {"var": "coAppearances", "rows": 502, "distinct": 4, "null_rate": 0.0, "label_resolution_rate": 1.0, "diversity_entropy_norm": 0.44, "semantic_cohesion": 0.95, "dup_ratio": 0.99, "bound_rate": 1.0}]</t>
  </si>
  <si>
    <t>What are all the teams and the set of members for each team available?</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</si>
  <si>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</si>
  <si>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```sparql
PREFIX ns1: &lt;http://dbkwik.webdatacommons.org/marvel.wikia.com/property/&gt;
PREFIX rdfs: &lt;http://www.w3.org/2000/01/rdf-schema#&gt;
SELECT ?team ?member
WHERE {
  ?team a ?teamClass ;
        rdfs:label ?teamLabel .
  {
    ?team ns1:body ?member .
  }
  UNION
  {
    ?team ns1:title ?member .
  }
  UNION
  {
    ?team ns1:box ?member .
  }
  FILTER(CONTAINS(STR(?teamClass), "team") || 
         CONTAINS(LCASE(?teamLabel), "team") ||
         CONTAINS(LCASE(?teamLabel), "squad") ||
         CONTAINS(LCASE(?teamLabel), "force") ||
         CONTAINS(LCASE(?teamLabel), "initiative") ||
         CONTAINS(LCASE(?teamLabel), "alliance"))
}
ORDER BY ?team ?member
```</t>
  </si>
  <si>
    <t>"MessageBatchIndividualResponse(custom_id='cq-17', result=MessageBatchSucceededResult(message=Message(id='msg_018GxdWW3e9cyRgE3zZF35oC', content=[TextBlock(citations=None, text='```sparql\\nPREFIX ns1: &lt;http://dbkwik.webdatacommons.org/marvel.wikia.com/property/&gt;\\nPREFIX rdfs: &lt;http://www.w3.org/2000/01/rdf-schema#&gt;\\n\\nSELECT ?team ?member\\nWHERE {\\n  ?team a ?teamClass ;\\n        rdfs:label ?teamLabel .\\n  \\n  {\\n    ?team ns1:body ?member .\\n  }\\n  UNION\\n  {\\n    ?team ns1:title ?member .\\n  }\\n  UNION\\n  {\\n    ?team ns1:box ?member .\\n  }\\n  \\n  FILTER(CONTAINS(STR(?teamClass), \"team\") || \\n         CONTAINS(LCASE(?teamLabel), \"team\") ||\\n         CONTAINS(LCASE(?teamLabel), \"squad\") ||\\n         CONTAINS(LCASE(?teamLabel), \"force\") ||\\n         CONTAINS(LCASE(?teamLabel), \"initiative\") ||\\n         CONTAINS(LCASE(?teamLabel), \"alliance\"))\\n}\\nORDER BY ?team ?member\\n```', type='text')], model='claude-sonnet-4-5-20250929', role='assistant', stop_reason='end_turn', stop_sequence=None, type='message', usage=Usage(cache_creation_input_tokens=0, cache_read_input_tokens=0, input_tokens=113760, output_tokens=262,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</si>
  <si>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?team ?member
WHERE {
  ?team a ?teamClass ;
        rdfs:label ?teamLabel .
  {
    ?team ns1:body ?member .
  }
  UNION
  {
    ?team ns1:title ?member .
  }
  UNION
  {
    ?team ns1:box ?member .
  }
  FILTER(CONTAINS(STR(?teamClass), "team") || 
         CONTAINS(LCASE(?teamLabel), "team") ||
         CONTAINS(LCASE(?teamLabel), "squad") ||
         CONTAINS(LCASE(?teamLabel), "force") ||
         CONTAINS(LCASE(?teamLabel), "initiative") ||
         CONTAINS(LCASE(?teamLabel), "alliance"))
}
ORDER BY ?team ?member</t>
  </si>
  <si>
    <t>{
  "cq_text": "What are all the teams and the set of members for each team available?",
  "syntax_ok": true,
  "satisfiable": true,
  "deterministic": true,
  "latency": {
    "p50_ms": 3791.85,
    "p95_ms": 5638.14,
    "mean_ms": 4387.3
  },
  "rows": 431,
  "vars": 2,
  "always_unbound_vars": [],
  "lexical_query_overlap": 0.03,
  "semantic_similarity_to_CQ": 0.72,
  "semantic_soft_coverage_to_CQ": 0.77,
  "tuple_cohesion": 0.79,
  "variables": [
    {
      "var": "team",
      "rows": 431,
      "distinct": 25,
      "null_rate": 0.0,
      "label_resolution_rate": 1.0,
      "diversity_entropy_norm": 0.6,
      "semantic_cohesion": 0.71,
      "dup_ratio": 0.94,
      "bound_rate": 1.0
    },
    {
      "var": "member",
      "rows": 431,
      "distinct": 424,
      "null_rate": 0.0,
      "label_resolution_rate": 1.0,
      "diversity_entropy_norm": 1.0,
      "semantic_cohesion": 0.68,
      "dup_ratio": 0.02,
      "bound_rate": 1.0
    }
  ]
}</t>
  </si>
  <si>
    <t>[{"var": "team", "rows": 431, "distinct": 25, "null_rate": 0.0, "label_resolution_rate": 1.0, "diversity_entropy_norm": 0.6, "semantic_cohesion": 0.71, "dup_ratio": 0.94, "bound_rate": 1.0}, {"var": "member", "rows": 431, "distinct": 424, "null_rate": 0.0, "label_resolution_rate": 1.0, "diversity_entropy_norm": 1.0, "semantic_cohesion": 0.68, "dup_ratio": 0.02, "bound_rate": 1.0}]</t>
  </si>
  <si>
    <t>What are all the movies and the set of teams that have at least one member appearing in them?</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</si>
  <si>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</si>
  <si>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```sparql
PREFIX ns1: &lt;http://dbkwik.webdatacommons.org/marvel.wikia.com/property/&gt;
PREFIX rdfs: &lt;http://www.w3.org/2000/01/rdf-schema#&gt;
SELECT DISTINCT ?movie ?team
WHERE {
  ?movie ns1:appearing ?member .
  ?team ns1:body ?member .
}
```</t>
  </si>
  <si>
    <t>"MessageBatchIndividualResponse(custom_id='cq-18', result=MessageBatchSucceededResult(message=Message(id='msg_01NaRLEYFNcQSCowTiFUpL5Q', content=[TextBlock(citations=None, text='```sparql\\nPREFIX ns1: &lt;http://dbkwik.webdatacommons.org/marvel.wikia.com/property/&gt;\\nPREFIX rdfs: &lt;http://www.w3.org/2000/01/rdf-schema#&gt;\\n\\nSELECT DISTINCT ?movie ?team\\nWHERE {\\n  ?movie ns1:appearing ?member .\\n  ?team ns1:body ?member .\\n}\\n```', type='text')], model='claude-sonnet-4-5-20250929', role='assistant', stop_reason='end_turn', stop_sequence=None, type='message', usage=Usage(cache_creation_input_tokens=0, cache_read_input_tokens=0, input_tokens=113765, output_tokens=99,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</si>
  <si>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DISTINCT ?movie ?team
WHERE {
  ?movie ns1:appearing ?member .
  ?team ns1:body ?member .
}</t>
  </si>
  <si>
    <t>{
  "cq_text": "What are all the movies and the set of teams that have at least one member appearing in them?",
  "syntax_ok": true,
  "satisfiable": false,
  "deterministic": true,
  "latency": {
    "p50_ms": 7.78,
    "p95_ms": 7.85,
    "mean_ms": 7.76
  },
  "rows": 0,
  "vars": 2,
  "always_unbound_vars": [
    "movie",
    "team"
  ],
  "lexical_query_overlap": 0.05,
  "semantic_similarity_to_CQ": 0.68,
  "semantic_soft_coverage_to_CQ": 0.77,
  "tuple_cohesion": null,
  "variables": [
    {
      "var": "movie",
      "rows": 0,
      "distinct": 0,
      "null_rate": 1.0,
      "label_resolution_rate": 0.0,
      "diversity_entropy_norm": 0.0,
      "semantic_cohesion": 1.0,
      "dup_ratio": 0.0,
      "bound_rate": 0.0
    },
    {
      "var": "team",
      "rows": 0,
      "distinct": 0,
      "null_rate": 1.0,
      "label_resolution_rate": 0.0,
      "diversity_entropy_norm": 0.0,
      "semantic_cohesion": 1.0,
      "dup_ratio": 0.0,
      "bound_rate": 0.0
    }
  ]
}</t>
  </si>
  <si>
    <t>["movie", "team"]</t>
  </si>
  <si>
    <t>[{"var": "movie", "rows": 0, "distinct": 0, "null_rate": 1.0, "label_resolution_rate": 0.0, "diversity_entropy_norm": 0.0, "semantic_cohesion": 1.0, "dup_ratio": 0.0, "bound_rate": 0.0}, {"var": "team", "rows": 0, "distinct": 0, "null_rate": 1.0, "label_resolution_rate": 0.0, "diversity_entropy_norm": 0.0, "semantic_cohesion": 1.0, "dup_ratio": 0.0, "bound_rate": 0.0}]</t>
  </si>
  <si>
    <t>What are all locations that are associated with at least one character appearance (e.g., origin or major setting)?</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</si>
  <si>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</si>
  <si>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```sparql
PREFIX ns1: &lt;http://dbkwik.webdatacommons.org/marvel.wikia.com/property/&gt;
PREFIX rdfs: &lt;http://www.w3.org/2000/01/rdf-schema#&gt;
SELECT DISTINCT ?location
WHERE {
  {
    ?character ns1:origin ?location .
  }
  UNION
  {
    ?character ns1:placeofbirth ?location .
  }
  UNION
  {
    ?character ns1:baseofoperations ?location .
  }
  UNION
  {
    ?team ns1:baseofoperations ?location .
  }
  UNION
  {
    ?team ns1:placeofbirth ?location .
  }
  UNION
  {
    ?team ns1:origin ?location .
  }
}
```</t>
  </si>
  <si>
    <t>"MessageBatchIndividualResponse(custom_id='cq-19', result=MessageBatchSucceededResult(message=Message(id='msg_01UJR6nb9qJDcAmYsc3uZTDF', content=[TextBlock(citations=None, text='```sparql\\nPREFIX ns1: &lt;http://dbkwik.webdatacommons.org/marvel.wikia.com/property/&gt;\\nPREFIX rdfs: &lt;http://www.w3.org/2000/01/rdf-schema#&gt;\\n\\nSELECT DISTINCT ?location\\nWHERE {\\n  {\\n    ?character ns1:origin ?location .\\n  }\\n  UNION\\n  {\\n    ?character ns1:placeofbirth ?location .\\n  }\\n  UNION\\n  {\\n    ?character ns1:baseofoperations ?location .\\n  }\\n  UNION\\n  {\\n    ?team ns1:baseofoperations ?location .\\n  }\\n  UNION\\n  {\\n    ?team ns1:placeofbirth ?location .\\n  }\\n  UNION\\n  {\\n    ?team ns1:origin ?location .\\n  }\\n}\\n```', type='text')], model='claude-sonnet-4-5-20250929', role='assistant', stop_reason='end_turn', stop_sequence=None, type='message', usage=Usage(cache_creation_input_tokens=0, cache_read_input_tokens=0, input_tokens=113768, output_tokens=211,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</si>
  <si>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DISTINCT ?location
WHERE {
  {
    ?character ns1:origin ?location .
  }
  UNION
  {
    ?character ns1:placeofbirth ?location .
  }
  UNION
  {
    ?character ns1:baseofoperations ?location .
  }
  UNION
  {
    ?team ns1:baseofoperations ?location .
  }
  UNION
  {
    ?team ns1:placeofbirth ?location .
  }
  UNION
  {
    ?team ns1:origin ?location .
  }
}</t>
  </si>
  <si>
    <t>{
  "cq_text": "What are all locations that are associated with at least one character appearance (e.g., origin or major setting)?",
  "syntax_ok": true,
  "satisfiable": true,
  "deterministic": true,
  "latency": {
    "p50_ms": 9.18,
    "p95_ms": 9.46,
    "mean_ms": 9.1
  },
  "rows": 2,
  "vars": 1,
  "always_unbound_vars": [],
  "lexical_query_overlap": 0.04,
  "semantic_similarity_to_CQ": 0.62,
  "semantic_soft_coverage_to_CQ": 0.77,
  "tuple_cohesion": 1.0,
  "variables": [
    {
      "var": "location",
      "rows": 2,
      "distinct": 1,
      "null_rate": 0.0,
      "label_resolution_rate": 1.0,
      "diversity_entropy_norm": -1.0,
      "semantic_cohesion": 1.0,
      "dup_ratio": 0.5,
      "bound_rate": 1.0
    }
  ]
}</t>
  </si>
  <si>
    <t>[{"var": "location", "rows": 2, "distinct": 1, "null_rate": 0.0, "label_resolution_rate": 1.0, "diversity_entropy_norm": -1.0, "semantic_cohesion": 1.0, "dup_ratio": 0.5, "bound_rate": 1.0}]</t>
  </si>
  <si>
    <t>What are all the director–actor pairs linked through movies available?</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</si>
  <si>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</si>
  <si>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```sparql
PREFIX ns1: &lt;http://dbkwik.webdatacommons.org/marvel.wikia.com/property/&gt;
PREFIX rdf: &lt;http://www.w3.org/1999/02/22-rdf-syntax-ns#&gt;
SELECT DISTINCT ?director ?actor
WHERE {
  ?movie ns1:writer ?director .
  ?movie ns1:penciler ?actor .
}
```</t>
  </si>
  <si>
    <t>"MessageBatchIndividualResponse(custom_id='cq-20', result=MessageBatchSucceededResult(message=Message(id='msg_013wtxQoauXifv4hs9gnyyS7', content=[TextBlock(citations=None, text='```sparql\\nPREFIX ns1: &lt;http://dbkwik.webdatacommons.org/marvel.wikia.com/property/&gt;\\nPREFIX rdf: &lt;http://www.w3.org/1999/02/22-rdf-syntax-ns#&gt;\\n\\nSELECT DISTINCT ?director ?actor\\nWHERE {\\n  ?movie ns1:writer ?director .\\n  ?movie ns1:penciler ?actor .\\n}\\n```', type='text')], model='claude-sonnet-4-5-20250929', role='assistant', stop_reason='end_turn', stop_sequence=None, type='message', usage=Usage(cache_creation_input_tokens=0, cache_read_input_tokens=0, input_tokens=113758, output_tokens=104,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</si>
  <si>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rdfs: &lt;http://www.w3.org/2000/01/rdf-schema#&gt;
PREFIX skos: &lt;http://www.w3.org/2004/02/skos/core#&gt;
PREFIX xsd: &lt;http://www.w3.org/2001/XMLSchema#&gt;
PREFIX ns1: &lt;http://dbkwik.webdatacommons.org/marvel.wikia.com/property/&gt;
PREFIX rdf: &lt;http://www.w3.org/1999/02/22-rdf-syntax-ns#&gt;
SELECT DISTINCT ?director ?actor
WHERE {
  ?movie ns1:writer ?director .
  ?movie ns1:penciler ?actor .
}</t>
  </si>
  <si>
    <t>{
  "cq_text": "What are all the director\u2013actor pairs linked through movies available?",
  "syntax_ok": true,
  "satisfiable": true,
  "deterministic": true,
  "latency": {
    "p50_ms": 8.85,
    "p95_ms": 18.29,
    "mean_ms": 11.89
  },
  "rows": 16,
  "vars": 2,
  "always_unbound_vars": [],
  "lexical_query_overlap": 0.14,
  "semantic_similarity_to_CQ": 0.69,
  "semantic_soft_coverage_to_CQ": 0.77,
  "tuple_cohesion": 0.75,
  "variables": [
    {
      "var": "director",
      "rows": 16,
      "distinct": 4,
      "null_rate": 0.0,
      "label_resolution_rate": 1.0,
      "diversity_entropy_norm": 1.0,
      "semantic_cohesion": 0.37,
      "dup_ratio": 0.75,
      "bound_rate": 1.0
    },
    {
      "var": "actor",
      "rows": 16,
      "distinct": 4,
      "null_rate": 0.0,
      "label_resolution_rate": 1.0,
      "diversity_entropy_norm": 1.0,
      "semantic_cohesion": 0.36,
      "dup_ratio": 0.75,
      "bound_rate": 1.0
    }
  ]
}</t>
  </si>
  <si>
    <t>[{"var": "director", "rows": 16, "distinct": 4, "null_rate": 0.0, "label_resolution_rate": 1.0, "diversity_entropy_norm": 1.0, "semantic_cohesion": 0.37, "dup_ratio": 0.75, "bound_rate": 1.0}, {"var": "actor", "rows": 16, "distinct": 4, "null_rate": 0.0, "label_resolution_rate": 1.0, "diversity_entropy_norm": 1.0, "semantic_cohesion": 0.36, "dup_ratio": 0.75, "bound_rate": 1.0}]</t>
  </si>
  <si>
    <t>What are all the available distinct powers and the set of characters associated with each power?</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</si>
  <si>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</si>
  <si>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```sparql
PREFIX ns1: &lt;http://dbkwik.webdatacommons.org/marvel.wikia.com/property/&gt;
PREFIX rdfs: &lt;http://www.w3.org/2000/01/rdf-schema#&gt;
SELECT DISTINCT ?power (GROUP_CONCAT(DISTINCT ?character; separator=", ") AS ?characters)
WHERE {
  ?character ns1:powers ?power .
  ?character rdfs:label ?characterLabel .
  BIND(STR(?characterLabel) AS ?character)
}
GROUP BY ?power
ORDER BY ?power
```</t>
  </si>
  <si>
    <t>"MessageBatchIndividualResponse(custom_id='cq-21', result=MessageBatchSucceededResult(message=Message(id='msg_01CkAGHFuNDXFQeL9de5hNCJ', content=[TextBlock(citations=None, text='```sparql\\nPREFIX ns1: &lt;http://dbkwik.webdatacommons.org/marvel.wikia.com/property/&gt;\\nPREFIX rdfs: &lt;http://www.w3.org/2000/01/rdf-schema#&gt;\\n\\nSELECT DISTINCT ?power (GROUP_CONCAT(DISTINCT ?character; separator=\", \") AS ?characters)\\nWHERE {\\n  ?character ns1:powers ?power .\\n  ?character rdfs:label ?characterLabel .\\n  BIND(STR(?characterLabel) AS ?character)\\n}\\nGROUP BY ?power\\nORDER BY ?power\\n```', type='text')], model='claude-sonnet-4-5-20250929', role='assistant', stop_reason='end_turn', stop_sequence=None, type='message', usage=Usage(cache_creation_input_tokens=0, cache_read_input_tokens=0, input_tokens=113762, output_tokens=143,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</si>
  <si>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DISTINCT ?power (GROUP_CONCAT(DISTINCT ?character; separator=", ") AS ?characters)
WHERE {
  ?character ns1:powers ?power .
  ?character rdfs:label ?characterLabel .
  BIND(STR(?characterLabel) AS ?character)
}
GROUP BY ?power
ORDER BY ?power</t>
  </si>
  <si>
    <t>ERROR: QueryBadFormed: A bad request has been sent to the endpoint: probably the SPARQL query is badly formed. 
Response:
b'Parse error: BIND: Variable used when already in-scope: ?character in BIND(str(?characterLabel) AS ?character)\n'</t>
  </si>
  <si>
    <t>What are all the pairs of characters available that have co-appeared in a movie?</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</si>
  <si>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</si>
  <si>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```sparql
PREFIX ns1: &lt;http://dbkwik.webdatacommons.org/marvel.wikia.com/property/&gt;
PREFIX ns2: &lt;http://dbkwik.webdatacommons.org/ontology/&gt;
PREFIX rdf: &lt;http://www.w3.org/1999/02/22-rdf-syntax-ns#&gt;
SELECT DISTINCT ?character1 ?character2
WHERE {
  ?movie rdf:type ?movieType .
  ?character1 ns2:wikiPageWikiLink ?movie .
  ?character2 ns2:wikiPageWikiLink ?movie .
  FILTER(?character1 != ?character2)
  FILTER(CONTAINS(STR(?movieType), "movie") || CONTAINS(STR(?movieType), "film"))
}
```</t>
  </si>
  <si>
    <t>"MessageBatchIndividualResponse(custom_id='cq-22', result=MessageBatchSucceededResult(message=Message(id='msg_011Fr2STDrWwxkoxKPNRpX9y', content=[TextBlock(citations=None, text='```sparql\\nPREFIX ns1: &lt;http://dbkwik.webdatacommons.org/marvel.wikia.com/property/&gt;\\nPREFIX ns2: &lt;http://dbkwik.webdatacommons.org/ontology/&gt;\\nPREFIX rdf: &lt;http://www.w3.org/1999/02/22-rdf-syntax-ns#&gt;\\n\\nSELECT DISTINCT ?character1 ?character2\\nWHERE {\\n  ?movie rdf:type ?movieType .\\n  ?character1 ns2:wikiPageWikiLink ?movie .\\n  ?character2 ns2:wikiPageWikiLink ?movie .\\n  FILTER(?character1 != ?character2)\\n  FILTER(CONTAINS(STR(?movieType), \"movie\") || CONTAINS(STR(?movieType), \"film\"))\\n}\\n```', type='text')], model='claude-sonnet-4-5-20250929', role='assistant', stop_reason='end_turn', stop_sequence=None, type='message', usage=Usage(cache_creation_input_tokens=0, cache_read_input_tokens=0, input_tokens=113762, output_tokens=199, server_tool_use=None, service_tier='batch', cache_creation={'ephemeral_5m_input_tokens': 0, 'ephemeral_1h_input_tokens': 0})), type='succeeded'))"</t>
  </si>
  <si>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PREFIX rdfs: &lt;http://www.w3.org/2000/01/rdf-schema#&gt;
PREFIX skos: &lt;http://www.w3.org/2004/02/skos/core#&gt;
PREFIX xsd: &lt;http://www.w3.org/2001/XMLSchema#&gt;
PREFIX ns1: &lt;http://dbkwik.webdatacommons.org/marvel.wikia.com/property/&gt;
PREFIX ns2: &lt;http://dbkwik.webdatacommons.org/ontology/&gt;
PREFIX rdf: &lt;http://www.w3.org/1999/02/22-rdf-syntax-ns#&gt;
SELECT DISTINCT ?character1 ?character2
WHERE {
  ?movie rdf:type ?movieType .
  ?character1 ns2:wikiPageWikiLink ?movie .
  ?character2 ns2:wikiPageWikiLink ?movie .
  FILTER(?character1 != ?character2)
  FILTER(CONTAINS(STR(?movieType), "movie") || CONTAINS(STR(?movieType), "film"))
}</t>
  </si>
  <si>
    <t>{
  "cq_text": "What are all the pairs of characters available that have co-appeared in a movie?",
  "syntax_ok": true,
  "satisfiable": true,
  "deterministic": true,
  "latency": {
    "p50_ms": 5464.51,
    "p95_ms": 5612.13,
    "mean_ms": 5493.25
  },
  "rows": 170052,
  "vars": 2,
  "always_unbound_vars": [],
  "lexical_query_overlap": 0.06,
  "semantic_similarity_to_CQ": 0.67,
  "semantic_soft_coverage_to_CQ": 0.74,
  "tuple_cohesion": 0.98,
  "variables": [
    {
      "var": "character1",
      "rows": 170052,
      "distinct": 740,
      "null_rate": 0.0,
      "label_resolution_rate": 1.0,
      "diversity_entropy_norm": 0.95,
      "semantic_cohesion": 0.67,
      "dup_ratio": 1.0,
      "bound_rate": 1.0
    },
    {
      "var": "character2",
      "rows": 170052,
      "distinct": 740,
      "null_rate": 0.0,
      "label_resolution_rate": 1.0,
      "diversity_entropy_norm": 0.95,
      "semantic_cohesion": 0.67,
      "dup_ratio": 1.0,
      "bound_rate": 1.0
    }
  ]
}</t>
  </si>
  <si>
    <t>[{"var": "character1", "rows": 170052, "distinct": 740, "null_rate": 0.0, "label_resolution_rate": 1.0, "diversity_entropy_norm": 0.95, "semantic_cohesion": 0.67, "dup_ratio": 1.0, "bound_rate": 1.0}, {"var": "character2", "rows": 170052, "distinct": 740, "null_rate": 0.0, "label_resolution_rate": 1.0, "diversity_entropy_norm": 0.95, "semantic_cohesion": 0.67, "dup_ratio": 1.0, "bound_rate": 1.0}]</t>
  </si>
  <si>
    <t>How many movies does each character appear in (character appearance count)?</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</si>
  <si>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</si>
  <si>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```sparql
PREFIX ns1: &lt;http://dbkwik.webdatacommons.org/marvel.wikia.com/property/&gt;
PREFIX rdf: &lt;http://www.w3.org/1999/02/22-rdf-syntax-ns#&gt;
SELECT ?character (COUNT(DISTINCT ?movie) AS ?appearanceCount)
WHERE {
  ?character ns1:movies ?movie .
}
GROUP BY ?character
ORDER BY DESC(?appearanceCount)
```</t>
  </si>
  <si>
    <t>"MessageBatchIndividualResponse(custom_id='cq-23', result=MessageBatchSucceededResult(message=Message(id='msg_01KMnYf11FkajvhWT8bhcLnh', content=[TextBlock(citations=None, text='```sparql\\nPREFIX ns1: &lt;http://dbkwik.webdatacommons.org/marvel.wikia.com/property/&gt;\\nPREFIX rdf: &lt;http://www.w3.org/1999/02/22-rdf-syntax-ns#&gt;\\n\\nSELECT ?character (COUNT(DISTINCT ?movie) AS ?appearanceCount)\\nWHERE {\\n  ?character ns1:movies ?movie .\\n}\\nGROUP BY ?character\\nORDER BY DESC(?appearanceCount)\\n```', type='text')], model='claude-sonnet-4-5-20250929', role='assistant', stop_reason='end_turn', stop_sequence=None, type='message', usage=Usage(cache_creation_input_tokens=0, cache_read_input_tokens=0, input_tokens=113758, output_tokens=116,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</si>
  <si>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rdfs: &lt;http://www.w3.org/2000/01/rdf-schema#&gt;
PREFIX skos: &lt;http://www.w3.org/2004/02/skos/core#&gt;
PREFIX xsd: &lt;http://www.w3.org/2001/XMLSchema#&gt;
PREFIX ns1: &lt;http://dbkwik.webdatacommons.org/marvel.wikia.com/property/&gt;
PREFIX rdf: &lt;http://www.w3.org/1999/02/22-rdf-syntax-ns#&gt;
SELECT ?character (COUNT(DISTINCT ?movie) AS ?appearanceCount)
WHERE {
  ?character ns1:movies ?movie .
}
GROUP BY ?character
ORDER BY DESC(?appearanceCount)</t>
  </si>
  <si>
    <t>{
  "cq_text": "How many movies does each character appear in (character appearance count)?",
  "syntax_ok": true,
  "satisfiable": true,
  "deterministic": true,
  "latency": {
    "p50_ms": 52.57,
    "p95_ms": 54.9,
    "mean_ms": 53.34
  },
  "rows": 736,
  "vars": 3,
  "always_unbound_vars": [
    "movie"
  ],
  "lexical_query_overlap": 0.08,
  "semantic_similarity_to_CQ": 0.77,
  "semantic_soft_coverage_to_CQ": 0.82,
  "tuple_cohesion": 0.89,
  "variables": [
    {
      "var": "character",
      "rows": 736,
      "distinct": 413,
      "null_rate": 0.0,
      "label_resolution_rate": 1.0,
      "diversity_entropy_norm": 0.91,
      "semantic_cohesion": 0.64,
      "dup_ratio": 0.44,
      "bound_rate": 1.0
    },
    {
      "var": "movie",
      "rows": 736,
      "distinct": 0,
      "null_rate": 1.0,
      "label_resolution_rate": 0.0,
      "diversity_entropy_norm": 0.0,
      "semantic_cohesion": 1.0,
      "dup_ratio": 0.0,
      "bound_rate": 0.0
    },
    {
      "var": "appearanceCount",
      "rows": 736,
      "distinct": 8,
      "null_rate": 0.0,
      "label_resolution_rate": 1.0,
      "diversity_entropy_norm": 0.4,
      "semantic_cohesion": 0.96,
      "dup_ratio": 0.99,
      "bound_rate": 1.0
    }
  ]
}</t>
  </si>
  <si>
    <t>[{"var": "character", "rows": 736, "distinct": 413, "null_rate": 0.0, "label_resolution_rate": 1.0, "diversity_entropy_norm": 0.91, "semantic_cohesion": 0.64, "dup_ratio": 0.44, "bound_rate": 1.0}, {"var": "movie", "rows": 736, "distinct": 0, "null_rate": 1.0, "label_resolution_rate": 0.0, "diversity_entropy_norm": 0.0, "semantic_cohesion": 1.0, "dup_ratio": 0.0, "bound_rate": 0.0}, {"var": "appearanceCount", "rows": 736, "distinct": 8, "null_rate": 0.0, "label_resolution_rate": 1.0, "diversity_entropy_norm": 0.4, "semantic_cohesion": 0.96, "dup_ratio": 0.99, "bound_rate": 1.0}]</t>
  </si>
  <si>
    <t>What are all the movies and their counts for each pair of characters that co-appear in multiple movies?</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</si>
  <si>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</si>
  <si>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I need to write a SPARQL query to find all movies and their counts for each pair of characters that co-appear in multiple movies based on the provided schema.
Looking at the schema, I can see there are properties related to movies and appearances:
- `ns1:movies` appears to link entities to movies
- There are various classes and resources related to characters and movies
However, the schema provided doesn't clearly show a direct relationship between characters co-appearing in specific movies. The schema shows individual character resources linked to movie resources, but doesn't explicitly show a "appears_in" or similar relationship that would allow me to query for character co-appearances in movies.
Based on the available schema, I can attempt to construct a query that would work if such relationships existed, but the provided schema is incomplete for answering this specific competency question about character co-appearances in movies and counting those co-appearances.
Given the limitations of the schema, here's the closest valid query I can construct:
```sparql
PREFIX ns1: &lt;http://dbkwik.webdatacommons.org/marvel.wikia.com/property/&gt;
PREFIX rdfs: &lt;http://www.w3.org/2000/01/rdf-schema#&gt;
SELECT ?char1 ?char2 (COUNT(DISTINCT ?movie) AS ?movieCount) (GROUP_CONCAT(DISTINCT ?movie; separator=", ") AS ?movies)
WHERE {
  ?char1 ns1:movies ?movie .
  ?char2 ns1:movies ?movie .
  FILTER(?char1 != ?char2)
  FILTER(STR(?char1) &lt; STR(?char2))
}
GROUP BY ?char1 ?char2
HAVING (COUNT(DISTINCT ?movie) &gt; 1)
ORDER BY DESC(?movieCount)
```
However, I must note that the provided schema does not contain sufficient information about character-to-movie relationships to fully answer this competency question as stated.</t>
  </si>
  <si>
    <t>"MessageBatchIndividualResponse(custom_id='cq-24', result=MessageBatchSucceededResult(message=Message(id='msg_01NtWJroKeerVKCSbdyitE1L', content=[TextBlock(citations=None, text='I need to write a SPARQL query to find all movies and their counts for each pair of characters that co-appear in multiple movies based on the provided schema.\\n\\nLooking at the schema, I can see there are properties related to movies and appearances:\\n- `ns1:movies` appears to link entities to movies\\n- There are various classes and resources related to characters and movies\\n\\nHowever, the schema provided doesn\\'t clearly show a direct relationship between characters co-appearing in specific movies. The schema shows individual character resources linked to movie resources, but doesn\\'t explicitly show a \"appears_in\" or similar relationship that would allow me to query for character co-appearances in movies.\\n\\nBased on the available schema, I can attempt to construct a query that would work if such relationships existed, but the provided schema is incomplete for answering this specific competency question about character co-appearances in movies and counting those co-appearances.\\n\\nGiven the limitations of the schema, here\\'s the closest valid query I can construct:\\n\\n```sparql\\nPREFIX ns1: &lt;http://dbkwik.webdatacommons.org/marvel.wikia.com/property/&gt;\\nPREFIX rdfs: &lt;http://www.w3.org/2000/01/rdf-schema#&gt;\\n\\nSELECT ?char1 ?char2 (COUNT(DISTINCT ?movie) AS ?movieCount) (GROUP_CONCAT(DISTINCT ?movie; separator=\", \") AS ?movies)\\nWHERE {\\n  ?char1 ns1:movies ?movie .\\n  ?char2 ns1:movies ?movie .\\n  FILTER(?char1 != ?char2)\\n  FILTER(STR(?char1) &lt; STR(?char2))\\n}\\nGROUP BY ?char1 ?char2\\nHAVING (COUNT(DISTINCT ?movie) &gt; 1)\\nORDER BY DESC(?movieCount)\\n```\\n\\nHowever, I must note that the provided schema does not contain sufficient information about character-to-movie relationships to fully answer this competency question as stated.', type='text')], model='claude-sonnet-4-5-20250929', role='assistant', stop_reason='end_turn', stop_sequence=None, type='message', usage=Usage(cache_creation_input_tokens=0, cache_read_input_tokens=0, input_tokens=113766, output_tokens=443,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</si>
  <si>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?char1 ?char2 (COUNT(DISTINCT ?movie) AS ?movieCount) (GROUP_CONCAT(DISTINCT ?movie; separator=", ") AS ?movies)
WHERE {
  ?char1 ns1:movies ?movie .
  ?char2 ns1:movies ?movie .
  FILTER(?char1 != ?char2)
  FILTER(STR(?char1) &lt; STR(?char2))
}
GROUP BY ?char1 ?char2
HAVING (COUNT(DISTINCT ?movie) &gt; 1)
ORDER BY DESC(?movieCount)</t>
  </si>
  <si>
    <t>{
  "cq_text": "What are all the movies and their counts for each pair of characters that co-appear in multiple movies?",
  "syntax_ok": true,
  "satisfiable": true,
  "deterministic": true,
  "latency": {
    "p50_ms": 324.32,
    "p95_ms": 366.01,
    "mean_ms": 336.54
  },
  "rows": 502,
  "vars": 6,
  "always_unbound_vars": [
    "movie",
    "movie"
  ],
  "lexical_query_overlap": 0.0,
  "semantic_similarity_to_CQ": 0.75,
  "semantic_soft_coverage_to_CQ": 0.76,
  "tuple_cohesion": 0.98,
  "variables": [
    {
      "var": "char1",
      "rows": 502,
      "distinct": 50,
      "null_rate": 0.0,
      "label_resolution_rate": 1.0,
      "diversity_entropy_norm": 0.77,
      "semantic_cohesion": 0.75,
      "dup_ratio": 0.9,
      "bound_rate": 1.0
    },
    {
      "var": "char2",
      "rows": 502,
      "distinct": 44,
      "null_rate": 0.0,
      "label_resolution_rate": 1.0,
      "diversity_entropy_norm": 0.78,
      "semantic_cohesion": 0.74,
      "dup_ratio": 0.91,
      "bound_rate": 1.0
    },
    {
      "var": "movie",
      "rows": 502,
      "distinct": 0,
      "null_rate": 1.0,
      "label_resolution_rate": 0.0,
      "diversity_entropy_norm": 0.0,
      "semantic_cohesion": 1.0,
      "dup_ratio": 0.0,
      "bound_rate": 0.0
    },
    {
      "var": "movieCount",
      "rows": 502,
      "distinct": 4,
      "null_rate": 0.0,
      "label_resolution_rate": 1.0,
      "diversity_entropy_norm": 0.44,
      "semantic_cohesion": 0.95,
      "dup_ratio": 0.99,
      "bound_rate": 1.0
    },
    {
      "var": "movie",
      "rows": 502,
      "distinct": 0,
      "null_rate": 1.0,
      "label_resolution_rate": 0.0,
      "diversity_entropy_norm": 0.0,
      "semantic_cohesion": 1.0,
      "dup_ratio": 0.0,
      "bound_rate": 0.0
    },
    {
      "var": "movies",
      "rows": 502,
      "distinct": 37,
      "null_rate": 0.0,
      "label_resolution_rate": 1.0,
      "diversity_entropy_norm": 0.83,
      "semantic_cohesion": 0.87,
      "dup_ratio": 0.93,
      "bound_rate": 1.0
    }
  ]
}</t>
  </si>
  <si>
    <t>["movie", "movie"]</t>
  </si>
  <si>
    <t>[{"var": "char1", "rows": 502, "distinct": 50, "null_rate": 0.0, "label_resolution_rate": 1.0, "diversity_entropy_norm": 0.77, "semantic_cohesion": 0.75, "dup_ratio": 0.9, "bound_rate": 1.0}, {"var": "char2", "rows": 502, "distinct": 44, "null_rate": 0.0, "label_resolution_rate": 1.0, "diversity_entropy_norm": 0.78, "semantic_cohesion": 0.74, "dup_ratio": 0.91, "bound_rate": 1.0}, {"var": "movie", "rows": 502, "distinct": 0, "null_rate": 1.0, "label_resolution_rate": 0.0, "diversity_entropy_norm": 0.0, "semantic_cohesion": 1.0, "dup_ratio": 0.0, "bound_rate": 0.0}, {"var": "movieCount", "rows": 502, "distinct": 4, "null_rate": 0.0, "label_resolution_rate": 1.0, "diversity_entropy_norm": 0.44, "semantic_cohesion": 0.95, "dup_ratio": 0.99, "bound_rate": 1.0}, {"var": "movie", "rows": 502, "distinct": 0, "null_rate": 1.0, "label_resolution_rate": 0.0, "diversity_entropy_norm": 0.0, "semantic_cohesion": 1.0, "dup_ratio": 0.0, "bound_rate": 0.0}, {"var": "movies", "rows": 502, "distinct": 37, "null_rate": 0.0, "label_resolution_rate": 1.0, "diversity_entropy_norm": 0.83, "semantic_cohesion": 0.87, "dup_ratio": 0.93, "bound_rate": 1.0}]</t>
  </si>
  <si>
    <t>What are all the unions of movies for each of the teams in which any of their members appear (team-level filmography)?</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</si>
  <si>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</si>
  <si>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```sparql
PREFIX ns1: &lt;http://dbkwik.webdatacommons.org/marvel.wikia.com/property/&gt;
PREFIX rdfs: &lt;http://www.w3.org/2000/01/rdf-schema#&gt;
SELECT DISTINCT ?team ?movie
WHERE {
  ?team a ?teamClass ;
        ns1:body|ns1:title ?member .
  ?member ns1:movies ?movie .
  FILTER(CONTAINS(STR(?teamClass), "marvel.wikia.com/"))
}
```</t>
  </si>
  <si>
    <t>"MessageBatchIndividualResponse(custom_id='cq-25', result=MessageBatchSucceededResult(message=Message(id='msg_01ChQ6YFJHSSsWVDHnKCMcNF', content=[TextBlock(citations=None, text='```sparql\\nPREFIX ns1: &lt;http://dbkwik.webdatacommons.org/marvel.wikia.com/property/&gt;\\nPREFIX rdfs: &lt;http://www.w3.org/2000/01/rdf-schema#&gt;\\n\\nSELECT DISTINCT ?team ?movie\\nWHERE {\\n  ?team a ?teamClass ;\\n        ns1:body|ns1:title ?member .\\n  \\n  ?member ns1:movies ?movie .\\n  \\n  FILTER(CONTAINS(STR(?teamClass), \"marvel.wikia.com/\"))\\n}\\n```', type='text')], model='claude-sonnet-4-5-20250929', role='assistant', stop_reason='end_turn', stop_sequence=None, type='message', usage=Usage(cache_creation_input_tokens=0, cache_read_input_tokens=0, input_tokens=113771, output_tokens=138,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</si>
  <si>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DISTINCT ?team ?movie
WHERE {
  ?team a ?teamClass ;
        ns1:body|ns1:title ?member .
  ?member ns1:movies ?movie .
  FILTER(CONTAINS(STR(?teamClass), "marvel.wikia.com/"))
}</t>
  </si>
  <si>
    <t>{
  "cq_text": "What are all the unions of movies for each of the teams in which any of their members appear (team-level filmography)?",
  "syntax_ok": true,
  "satisfiable": true,
  "deterministic": true,
  "latency": {
    "p50_ms": 1733.41,
    "p95_ms": 1807.31,
    "mean_ms": 1748.1
  },
  "rows": 96,
  "vars": 2,
  "always_unbound_vars": [],
  "lexical_query_overlap": 0.03,
  "semantic_similarity_to_CQ": 0.7,
  "semantic_soft_coverage_to_CQ": 0.78,
  "tuple_cohesion": 0.89,
  "variables": [
    {
      "var": "team",
      "rows": 96,
      "distinct": 24,
      "null_rate": 0.0,
      "label_resolution_rate": 1.0,
      "diversity_entropy_norm": 0.84,
      "semantic_cohesion": 0.5,
      "dup_ratio": 0.75,
      "bound_rate": 1.0
    },
    {
      "var": "movie",
      "rows": 96,
      "distinct": 41,
      "null_rate": 0.0,
      "label_resolution_rate": 1.0,
      "diversity_entropy_norm": 0.9,
      "semantic_cohesion": 0.75,
      "dup_ratio": 0.57,
      "bound_rate": 1.0
    }
  ]
}</t>
  </si>
  <si>
    <t>[{"var": "team", "rows": 96, "distinct": 24, "null_rate": 0.0, "label_resolution_rate": 1.0, "diversity_entropy_norm": 0.84, "semantic_cohesion": 0.5, "dup_ratio": 0.75, "bound_rate": 1.0}, {"var": "movie", "rows": 96, "distinct": 41, "null_rate": 0.0, "label_resolution_rate": 1.0, "diversity_entropy_norm": 0.9, "semantic_cohesion": 0.75, "dup_ratio": 0.57, "bound_rate": 1.0}]</t>
  </si>
  <si>
    <t>complex</t>
  </si>
  <si>
    <t>Who are the distinct characters that possess a power, their counts, and rank-ordered by popularity?</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</si>
  <si>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</si>
  <si>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```sparql
PREFIX ns1: &lt;http://dbkwik.webdatacommons.org/marvel.wikia.com/property/&gt;
PREFIX rdf: &lt;http://www.w3.org/1999/02/22-rdf-syntax-ns#&gt;
PREFIX rdfs: &lt;http://www.w3.org/2000/01/rdf-schema#&gt;
SELECT DISTINCT ?character (COUNT(?power) AS ?powerCount)
WHERE {
  ?character ns1:powers ?power .
}
GROUP BY ?character
ORDER BY DESC(?powerCount)
```</t>
  </si>
  <si>
    <t>"MessageBatchIndividualResponse(custom_id='cq-26', result=MessageBatchSucceededResult(message=Message(id='msg_01BfA13z5T4TkVyDcGxjQL6Q', content=[TextBlock(citations=None, text='```sparql\\nPREFIX ns1: &lt;http://dbkwik.webdatacommons.org/marvel.wikia.com/property/&gt;\\nPREFIX rdf: &lt;http://www.w3.org/1999/02/22-rdf-syntax-ns#&gt;\\nPREFIX rdfs: &lt;http://www.w3.org/2000/01/rdf-schema#&gt;\\n\\nSELECT DISTINCT ?character (COUNT(?power) AS ?powerCount)\\nWHERE {\\n  ?character ns1:powers ?power .\\n}\\nGROUP BY ?character\\nORDER BY DESC(?powerCount)\\n```', type='text')], model='claude-sonnet-4-5-20250929', role='assistant', stop_reason='end_turn', stop_sequence=None, type='message', usage=Usage(cache_creation_input_tokens=0, cache_read_input_tokens=0, input_tokens=113765, output_tokens=139,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</si>
  <si>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ns1: &lt;http://dbkwik.webdatacommons.org/marvel.wikia.com/property/&gt;
PREFIX rdf: &lt;http://www.w3.org/1999/02/22-rdf-syntax-ns#&gt;
PREFIX rdfs: &lt;http://www.w3.org/2000/01/rdf-schema#&gt;
SELECT DISTINCT ?character (COUNT(?power) AS ?powerCount)
WHERE {
  ?character ns1:powers ?power .
}
GROUP BY ?character
ORDER BY DESC(?powerCount)</t>
  </si>
  <si>
    <t>{
  "cq_text": "Who are the distinct characters that possess a power, their counts, and rank-ordered by popularity?",
  "syntax_ok": true,
  "satisfiable": true,
  "deterministic": true,
  "latency": {
    "p50_ms": 8.24,
    "p95_ms": 9.73,
    "mean_ms": 8.56
  },
  "rows": 1,
  "vars": 3,
  "always_unbound_vars": [
    "power"
  ],
  "lexical_query_overlap": 0.06,
  "semantic_similarity_to_CQ": 0.69,
  "semantic_soft_coverage_to_CQ": 0.73,
  "tuple_cohesion": 1.0,
  "variables": [
    {
      "var": "character",
      "rows": 1,
      "distinct": 1,
      "null_rate": 0.0,
      "label_resolution_rate": 1.0,
      "diversity_entropy_norm": -1.0,
      "semantic_cohesion": 1.0,
      "dup_ratio": 0.0,
      "bound_rate": 1.0
    },
    {
      "var": "power",
      "rows": 1,
      "distinct": 0,
      "null_rate": 1.0,
      "label_resolution_rate": 0.0,
      "diversity_entropy_norm": 0.0,
      "semantic_cohesion": 1.0,
      "dup_ratio": 0.0,
      "bound_rate": 0.0
    },
    {
      "var": "powerCount",
      "rows": 1,
      "distinct": 1,
      "null_rate": 0.0,
      "label_resolution_rate": 1.0,
      "diversity_entropy_norm": -1.0,
      "semantic_cohesion": 1.0,
      "dup_ratio": 0.0,
      "bound_rate": 1.0
    }
  ]
}</t>
  </si>
  <si>
    <t>["power"]</t>
  </si>
  <si>
    <t>[{"var": "character", "rows": 1, "distinct": 1, "null_rate": 0.0, "label_resolution_rate": 1.0, "diversity_entropy_norm": -1.0, "semantic_cohesion": 1.0, "dup_ratio": 0.0, "bound_rate": 1.0}, {"var": "power", "rows": 1, "distinct": 0, "null_rate": 1.0, "label_resolution_rate": 0.0, "diversity_entropy_norm": 0.0, "semantic_cohesion": 1.0, "dup_ratio": 0.0, "bound_rate": 0.0}, {"var": "powerCount", "rows": 1, "distinct": 1, "null_rate": 0.0, "label_resolution_rate": 1.0, "diversity_entropy_norm": -1.0, "semantic_cohesion": 1.0, "dup_ratio": 0.0, "bound_rate": 1.0}]</t>
  </si>
  <si>
    <t>Who are all the bridge characters that are members of more than one team, and what are those team combinations?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</si>
  <si>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</si>
  <si>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```sparql
PREFIX ns1: &lt;http://dbkwik.webdatacommons.org/marvel.wikia.com/property/&gt;
PREFIX rdf: &lt;http://www.w3.org/1999/02/22-rdf-syntax-ns#&gt;
SELECT DISTINCT ?character ?team1 ?team2
WHERE {
  ?character ns1:teams ?team1 .
  ?character ns1:teams ?team2 .
  FILTER(?team1 != ?team2)
  FILTER(STR(?team1) &lt; STR(?team2))
}
ORDER BY ?character
```</t>
  </si>
  <si>
    <t>"MessageBatchIndividualResponse(custom_id='cq-27', result=MessageBatchSucceededResult(message=Message(id='msg_011ALVFuG7qaQRRkPRmBnkqE', content=[TextBlock(citations=None, text='```sparql\\nPREFIX ns1: &lt;http://dbkwik.webdatacommons.org/marvel.wikia.com/property/&gt;\\nPREFIX rdf: &lt;http://www.w3.org/1999/02/22-rdf-syntax-ns#&gt;\\n\\nSELECT DISTINCT ?character ?team1 ?team2\\nWHERE {\\n  ?character ns1:teams ?team1 .\\n  ?character ns1:teams ?team2 .\\n  FILTER(?team1 != ?team2)\\n  FILTER(STR(?team1) &lt; STR(?team2))\\n}\\nORDER BY ?character\\n```', type='text')], model='claude-sonnet-4-5-20250929', role='assistant', stop_reason='end_turn', stop_sequence=None, type='message', usage=Usage(cache_creation_input_tokens=0, cache_read_input_tokens=0, input_tokens=113767, output_tokens=148,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</si>
  <si>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rdfs: &lt;http://www.w3.org/2000/01/rdf-schema#&gt;
PREFIX skos: &lt;http://www.w3.org/2004/02/skos/core#&gt;
PREFIX xsd: &lt;http://www.w3.org/2001/XMLSchema#&gt;
PREFIX ns1: &lt;http://dbkwik.webdatacommons.org/marvel.wikia.com/property/&gt;
PREFIX rdf: &lt;http://www.w3.org/1999/02/22-rdf-syntax-ns#&gt;
SELECT DISTINCT ?character ?team1 ?team2
WHERE {
  ?character ns1:teams ?team1 .
  ?character ns1:teams ?team2 .
  FILTER(?team1 != ?team2)
  FILTER(STR(?team1) &lt; STR(?team2))
}
ORDER BY ?character</t>
  </si>
  <si>
    <t>{
  "cq_text": "Who are all the bridge characters that are members of more than one team, and what are those team combinations?",
  "syntax_ok": true,
  "satisfiable": true,
  "deterministic": true,
  "latency": {
    "p50_ms": 39.64,
    "p95_ms": 43.62,
    "mean_ms": 38.19
  },
  "rows": 309,
  "vars": 3,
  "always_unbound_vars": [],
  "lexical_query_overlap": 0.0,
  "semantic_similarity_to_CQ": 0.75,
  "semantic_soft_coverage_to_CQ": 0.74,
  "tuple_cohesion": 0.85,
  "variables": [
    {
      "var": "character",
      "rows": 309,
      "distinct": 54,
      "null_rate": 0.0,
      "label_resolution_rate": 1.0,
      "diversity_entropy_norm": 0.72,
      "semantic_cohesion": 0.55,
      "dup_ratio": 0.83,
      "bound_rate": 1.0
    },
    {
      "var": "team1",
      "rows": 309,
      "distinct": 128,
      "null_rate": 0.0,
      "label_resolution_rate": 1.0,
      "diversity_entropy_norm": 0.94,
      "semantic_cohesion": 0.58,
      "dup_ratio": 0.59,
      "bound_rate": 1.0
    },
    {
      "var": "team2",
      "rows": 309,
      "distinct": 124,
      "null_rate": 0.0,
      "label_resolution_rate": 1.0,
      "diversity_entropy_norm": 0.94,
      "semantic_cohesion": 0.6,
      "dup_ratio": 0.6,
      "bound_rate": 1.0
    }
  ]
}</t>
  </si>
  <si>
    <t>[{"var": "character", "rows": 309, "distinct": 54, "null_rate": 0.0, "label_resolution_rate": 1.0, "diversity_entropy_norm": 0.72, "semantic_cohesion": 0.55, "dup_ratio": 0.83, "bound_rate": 1.0}, {"var": "team1", "rows": 309, "distinct": 128, "null_rate": 0.0, "label_resolution_rate": 1.0, "diversity_entropy_norm": 0.94, "semantic_cohesion": 0.58, "dup_ratio": 0.59, "bound_rate": 1.0}, {"var": "team2", "rows": 309, "distinct": 124, "null_rate": 0.0, "label_resolution_rate": 1.0, "diversity_entropy_norm": 0.94, "semantic_cohesion": 0.6, "dup_ratio": 0.6, "bound_rate": 1.0}]</t>
  </si>
  <si>
    <t>What are all the sets of characters that have been portrayed across all movies by each of the actors?</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</si>
  <si>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</si>
  <si>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```sparql
PREFIX ns1: &lt;http://dbkwik.webdatacommons.org/marvel.wikia.com/property/&gt;
PREFIX ns2: &lt;http://dbkwik.webdatacommons.org/ontology/&gt;
PREFIX rdfs: &lt;http://www.w3.org/2000/01/rdf-schema#&gt;
PREFIX rdf: &lt;http://www.w3.org/1999/02/22-rdf-syntax-ns#&gt;
SELECT DISTINCT ?actor ?character ?movie
WHERE {
  ?actor rdf:type ?actorClass .
  ?actor ns1:movies ?movieAppearance .
  ?movieAppearance rdfs:label ?character .
  ?movie ns2:wikiPageWikiLink ?movieAppearance .
  FILTER(CONTAINS(STR(?actorClass), "Actor") || 
         CONTAINS(STR(?actorClass), "Person") ||
         EXISTS { ?actor ns1:movies ?appearance })
}
ORDER BY ?actor ?movie
```</t>
  </si>
  <si>
    <t>"MessageBatchIndividualResponse(custom_id='cq-28', result=MessageBatchSucceededResult(message=Message(id='msg_01PBk3H2Go1QxgL1Drb7VxEe', content=[TextBlock(citations=None, text='```sparql\\nPREFIX ns1: &lt;http://dbkwik.webdatacommons.org/marvel.wikia.com/property/&gt;\\nPREFIX ns2: &lt;http://dbkwik.webdatacommons.org/ontology/&gt;\\nPREFIX rdfs: &lt;http://www.w3.org/2000/01/rdf-schema#&gt;\\nPREFIX rdf: &lt;http://www.w3.org/1999/02/22-rdf-syntax-ns#&gt;\\n\\nSELECT DISTINCT ?actor ?character ?movie\\nWHERE {\\n  ?actor rdf:type ?actorClass .\\n  ?actor ns1:movies ?movieAppearance .\\n  ?movieAppearance rdfs:label ?character .\\n  ?movie ns2:wikiPageWikiLink ?movieAppearance .\\n  \\n  FILTER(CONTAINS(STR(?actorClass), \"Actor\") || \\n         CONTAINS(STR(?actorClass), \"Person\") ||\\n         EXISTS { ?actor ns1:movies ?appearance })\\n}\\nORDER BY ?actor ?movie\\n```', type='text')], model='claude-sonnet-4-5-20250929', role='assistant', stop_reason='end_turn', stop_sequence=None, type='message', usage=Usage(cache_creation_input_tokens=0, cache_read_input_tokens=0, input_tokens=113765, output_tokens=251, server_tool_use=None, service_tier='batch', cache_creation={'ephemeral_5m_input_tokens': 0, 'ephemeral_1h_input_tokens': 0})), type='succeeded'))"</t>
  </si>
  <si>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PREFIX skos: &lt;http://www.w3.org/2004/02/skos/core#&gt;
PREFIX xsd: &lt;http://www.w3.org/2001/XMLSchema#&gt;
PREFIX ns1: &lt;http://dbkwik.webdatacommons.org/marvel.wikia.com/property/&gt;
PREFIX ns2: &lt;http://dbkwik.webdatacommons.org/ontology/&gt;
PREFIX rdfs: &lt;http://www.w3.org/2000/01/rdf-schema#&gt;
PREFIX rdf: &lt;http://www.w3.org/1999/02/22-rdf-syntax-ns#&gt;
SELECT DISTINCT ?actor ?character ?movie
WHERE {
  ?actor rdf:type ?actorClass .
  ?actor ns1:movies ?movieAppearance .
  ?movieAppearance rdfs:label ?character .
  ?movie ns2:wikiPageWikiLink ?movieAppearance .
  FILTER(CONTAINS(STR(?actorClass), "Actor") || 
         CONTAINS(STR(?actorClass), "Person") ||
         EXISTS { ?actor ns1:movies ?appearance })
}
ORDER BY ?actor ?movie</t>
  </si>
  <si>
    <t>{
  "cq_text": "What are all the sets of characters that have been portrayed across all movies by each of the actors?",
  "syntax_ok": true,
  "satisfiable": true,
  "deterministic": true,
  "latency": {
    "p50_ms": 202.26,
    "p95_ms": 204.79,
    "mean_ms": 201.31
  },
  "rows": 3930,
  "vars": 3,
  "always_unbound_vars": [],
  "lexical_query_overlap": 0.0,
  "semantic_similarity_to_CQ": 0.66,
  "semantic_soft_coverage_to_CQ": 0.76,
  "tuple_cohesion": 0.92,
  "variables": [
    {
      "var": "actor",
      "rows": 3930,
      "distinct": 248,
      "null_rate": 0.0,
      "label_resolution_rate": 1.0,
      "diversity_entropy_norm": 0.89,
      "semantic_cohesion": 0.52,
      "dup_ratio": 0.94,
      "bound_rate": 1.0
    },
    {
      "var": "character",
      "rows": 3930,
      "distinct": 276,
      "null_rate": 0.0,
      "label_resolution_rate": 1.0,
      "diversity_entropy_norm": 0.89,
      "semantic_cohesion": 0.73,
      "dup_ratio": 0.93,
      "bound_rate": 1.0
    },
    {
      "var": "movie",
      "rows": 3930,
      "distinct": 1383,
      "null_rate": 0.0,
      "label_resolution_rate": 1.0,
      "diversity_entropy_norm": 0.92,
      "semantic_cohesion": 0.67,
      "dup_ratio": 0.65,
      "bound_rate": 1.0
    }
  ]
}</t>
  </si>
  <si>
    <t>[{"var": "actor", "rows": 3930, "distinct": 248, "null_rate": 0.0, "label_resolution_rate": 1.0, "diversity_entropy_norm": 0.89, "semantic_cohesion": 0.52, "dup_ratio": 0.94, "bound_rate": 1.0}, {"var": "character", "rows": 3930, "distinct": 276, "null_rate": 0.0, "label_resolution_rate": 1.0, "diversity_entropy_norm": 0.89, "semantic_cohesion": 0.73, "dup_ratio": 0.93, "bound_rate": 1.0}, {"var": "movie", "rows": 3930, "distinct": 1383, "null_rate": 0.0, "label_resolution_rate": 1.0, "diversity_entropy_norm": 0.92, "semantic_cohesion": 0.67, "dup_ratio": 0.65, "bound_rate": 1.0}]</t>
  </si>
  <si>
    <t>What are all the locations used as settings or associated contexts for multiple movies and/or characters and the counts of those associations?</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</si>
  <si>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</si>
  <si>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```sparql
PREFIX ns1: &lt;http://dbkwik.webdatacommons.org/marvel.wikia.com/property/&gt;
PREFIX ns2: &lt;http://dbkwik.webdatacommons.org/ontology/&gt;
PREFIX rdf: &lt;http://www.w3.org/1999/02/22-rdf-syntax-ns#&gt;
PREFIX rdfs: &lt;http://www.w3.org/2000/01/rdf-schema#&gt;
SELECT ?location (COUNT(DISTINCT ?entity) AS ?count)
WHERE {
  {
    # Locations used as settings for movies
    ?movie rdf:type ?movieType .
    ?movie ns1:movies ?location .
  }
  UNION
  {
    # Locations associated with characters (various properties)
    ?character rdf:type ?charType .
    {
      ?character ns1:placeofbirth ?location .
    }
    UNION
    {
      ?character ns1:baseofoperations ?location .
    }
    UNION
    {
      ?character ns1:citizenship ?location .
    }
  }
  UNION
  {
    # Locations linked via wikiPageWikiLink
    ?entity ns2:wikiPageWikiLink ?location .
    FILTER(EXISTS { ?location rdf:type ?locationType })
  }
  BIND(COALESCE(?movie, ?character, ?entity) AS ?entity)
  FILTER(isIRI(?location))
}
GROUP BY ?location
HAVING (COUNT(DISTINCT ?entity) &gt; 1)
ORDER BY DESC(?count)
```</t>
  </si>
  <si>
    <t>"MessageBatchIndividualResponse(custom_id='cq-29', result=MessageBatchSucceededResult(message=Message(id='msg_01C9P1xdzn7vvJv913b8ferT', content=[TextBlock(citations=None, text='```sparql\\nPREFIX ns1: &lt;http://dbkwik.webdatacommons.org/marvel.wikia.com/property/&gt;\\nPREFIX ns2: &lt;http://dbkwik.webdatacommons.org/ontology/&gt;\\nPREFIX rdf: &lt;http://www.w3.org/1999/02/22-rdf-syntax-ns#&gt;\\nPREFIX rdfs: &lt;http://www.w3.org/2000/01/rdf-schema#&gt;\\n\\nSELECT ?location (COUNT(DISTINCT ?entity) AS ?count)\\nWHERE {\\n  {\\n    # Locations used as settings for movies\\n    ?movie rdf:type ?movieType .\\n    ?movie ns1:movies ?location .\\n  }\\n  UNION\\n  {\\n    # Locations associated with characters (various properties)\\n    ?character rdf:type ?charType .\\n    {\\n      ?character ns1:placeofbirth ?location .\\n    }\\n    UNION\\n    {\\n      ?character ns1:baseofoperations ?location .\\n    }\\n    UNION\\n    {\\n      ?character ns1:citizenship ?location .\\n    }\\n  }\\n  UNION\\n  {\\n    # Locations linked via wikiPageWikiLink\\n    ?entity ns2:wikiPageWikiLink ?location .\\n    FILTER(EXISTS { ?location rdf:type ?locationType })\\n  }\\n  \\n  BIND(COALESCE(?movie, ?character, ?entity) AS ?entity)\\n  \\n  FILTER(isIRI(?location))\\n}\\nGROUP BY ?location\\nHAVING (COUNT(DISTINCT ?entity) &gt; 1)\\nORDER BY DESC(?count)\\n```', type='text')], model='claude-sonnet-4-5-20250929', role='assistant', stop_reason='end_turn', stop_sequence=None, type='message', usage=Usage(cache_creation_input_tokens=0, cache_read_input_tokens=0, input_tokens=113770, output_tokens=398, server_tool_use=None, service_tier='batch', cache_creation={'ephemeral_5m_input_tokens': 0, 'ephemeral_1h_input_tokens': 0})), type='succeeded'))"</t>
  </si>
  <si>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PREFIX skos: &lt;http://www.w3.org/2004/02/skos/core#&gt;
PREFIX xsd: &lt;http://www.w3.org/2001/XMLSchema#&gt;
PREFIX ns1: &lt;http://dbkwik.webdatacommons.org/marvel.wikia.com/property/&gt;
PREFIX ns2: &lt;http://dbkwik.webdatacommons.org/ontology/&gt;
PREFIX rdf: &lt;http://www.w3.org/1999/02/22-rdf-syntax-ns#&gt;
PREFIX rdfs: &lt;http://www.w3.org/2000/01/rdf-schema#&gt;
SELECT ?location (COUNT(DISTINCT ?entity) AS ?count)
WHERE {
  {
    # Locations used as settings for movies
    ?movie rdf:type ?movieType .
    ?movie ns1:movies ?location .
  }
  UNION
  {
    # Locations associated with characters (various properties)
    ?character rdf:type ?charType .
    {
      ?character ns1:placeofbirth ?location .
    }
    UNION
    {
      ?character ns1:baseofoperations ?location .
    }
    UNION
    {
      ?character ns1:citizenship ?location .
    }
  }
  UNION
  {
    # Locations linked via wikiPageWikiLink
    ?entity ns2:wikiPageWikiLink ?location .
    FILTER(EXISTS { ?location rdf:type ?locationType })
  }
  BIND(COALESCE(?movie, ?character, ?entity) AS ?entity)
  FILTER(isIRI(?location))
}
GROUP BY ?location
HAVING (COUNT(DISTINCT ?entity) &gt; 1)
ORDER BY DESC(?count)</t>
  </si>
  <si>
    <t>ERROR: QueryBadFormed: A bad request has been sent to the endpoint: probably the SPARQL query is badly formed. 
Response:
b'Parse error: BIND: Variable used when already in-scope: ?entity in BIND(coalesce(?movie, ?character, ?entity) AS ?entity)\n'</t>
  </si>
  <si>
    <t>What is the number of unique teams, unique powers, and unique locations represented via their characters for each of the movies?</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</si>
  <si>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</si>
  <si>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```sparql
PREFIX ns1: &lt;http://dbkwik.webdatacommons.org/marvel.wikia.com/property/&gt;
PREFIX rdfs: &lt;http://www.w3.org/2000/01/rdf-schema#&gt;
PREFIX rdf: &lt;http://www.w3.org/1999/02/22-rdf-syntax-ns#&gt;
SELECT ?movie 
       (COUNT(DISTINCT ?team) AS ?uniqueTeams)
       (COUNT(DISTINCT ?power) AS ?uniquePowers)
       (COUNT(DISTINCT ?location) AS ?uniqueLocations)
WHERE {
  ?character ns1:movies ?movie .
  OPTIONAL { ?character ns1:teams ?team }
  OPTIONAL { ?character ns1:powers ?power }
  OPTIONAL { ?character ns1:placeofbirth ?location }
}
GROUP BY ?movie
```</t>
  </si>
  <si>
    <t>"MessageBatchIndividualResponse(custom_id='cq-30', result=MessageBatchSucceededResult(message=Message(id='msg_01Ls9fXKBJgu77xJb4bRUWY3', content=[TextBlock(citations=None, text='```sparql\\nPREFIX ns1: &lt;http://dbkwik.webdatacommons.org/marvel.wikia.com/property/&gt;\\nPREFIX rdfs: &lt;http://www.w3.org/2000/01/rdf-schema#&gt;\\nPREFIX rdf: &lt;http://www.w3.org/1999/02/22-rdf-syntax-ns#&gt;\\n\\nSELECT ?movie \\n       (COUNT(DISTINCT ?team) AS ?uniqueTeams)\\n       (COUNT(DISTINCT ?power) AS ?uniquePowers)\\n       (COUNT(DISTINCT ?location) AS ?uniqueLocations)\\nWHERE {\\n  ?character ns1:movies ?movie .\\n  \\n  OPTIONAL { ?character ns1:teams ?team }\\n  OPTIONAL { ?character ns1:powers ?power }\\n  OPTIONAL { ?character ns1:placeofbirth ?location }\\n}\\nGROUP BY ?movie\\n```', type='text')], model='claude-sonnet-4-5-20250929', role='assistant', stop_reason='end_turn', stop_sequence=None, type='message', usage=Usage(cache_creation_input_tokens=0, cache_read_input_tokens=0, input_tokens=113769, output_tokens=218,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</si>
  <si>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ns1: &lt;http://dbkwik.webdatacommons.org/marvel.wikia.com/property/&gt;
PREFIX rdfs: &lt;http://www.w3.org/2000/01/rdf-schema#&gt;
PREFIX rdf: &lt;http://www.w3.org/1999/02/22-rdf-syntax-ns#&gt;
SELECT ?movie 
       (COUNT(DISTINCT ?team) AS ?uniqueTeams)
       (COUNT(DISTINCT ?power) AS ?uniquePowers)
       (COUNT(DISTINCT ?location) AS ?uniqueLocations)
WHERE {
  ?character ns1:movies ?movie .
  OPTIONAL { ?character ns1:teams ?team }
  OPTIONAL { ?character ns1:powers ?power }
  OPTIONAL { ?character ns1:placeofbirth ?location }
}
GROUP BY ?movie</t>
  </si>
  <si>
    <t>{
  "cq_text": "What is the number of unique teams, unique powers, and unique locations represented via their characters for each of the movies?",
  "syntax_ok": true,
  "satisfiable": true,
  "deterministic": true,
  "latency": {
    "p50_ms": 60.23,
    "p95_ms": 68.36,
    "mean_ms": 61.3
  },
  "rows": 391,
  "vars": 7,
  "always_unbound_vars": [
    "team",
    "power",
    "location"
  ],
  "lexical_query_overlap": 0.0,
  "semantic_similarity_to_CQ": 0.74,
  "semantic_soft_coverage_to_CQ": 0.81,
  "tuple_cohesion": 0.91,
  "variables": [
    {
      "var": "movie",
      "rows": 391,
      "distinct": 363,
      "null_rate": 0.0,
      "label_resolution_rate": 0.9654178674351584,
      "diversity_entropy_norm": 0.99,
      "semantic_cohesion": 0.63,
      "dup_ratio": 0.07,
      "bound_rate": 1.0
    },
    {
      "var": "team",
      "rows": 391,
      "distinct": 0,
      "null_rate": 1.0,
      "label_resolution_rate": 0.0,
      "diversity_entropy_norm": 0.0,
      "semantic_cohesion": 1.0,
      "dup_ratio": 0.0,
      "bound_rate": 0.0
    },
    {
      "var": "uniqueTeams",
      "rows": 391,
      "distinct": 21,
      "null_rate": 0.0,
      "label_resolution_rate": 1.0,
      "diversity_entropy_norm": 0.29,
      "semantic_cohesion": 0.96,
      "dup_ratio": 0.95,
      "bound_rate": 1.0
    },
    {
      "var": "power",
      "rows": 391,
      "distinct": 0,
      "null_rate": 1.0,
      "label_resolution_rate": 0.0,
      "diversity_entropy_norm": 0.0,
      "semantic_cohesion": 1.0,
      "dup_ratio": 0.0,
      "bound_rate": 0.0
    },
    {
      "var": "uniquePowers",
      "rows": 391,
      "distinct": 1,
      "null_rate": 0.0,
      "label_resolution_rate": 1.0,
      "diversity_entropy_norm": -1.0,
      "semantic_cohesion": 1.0,
      "dup_ratio": 1.0,
      "bound_rate": 1.0
    },
    {
      "var": "location",
      "rows": 391,
      "distinct": 0,
      "null_rate": 1.0,
      "label_resolution_rate": 0.0,
      "diversity_entropy_norm": 0.0,
      "semantic_cohesion": 1.0,
      "dup_ratio": 0.0,
      "bound_rate": 0.0
    },
    {
      "var": "uniqueLocations",
      "rows": 391,
      "distinct": 1,
      "null_rate": 0.0,
      "label_resolution_rate": 1.0,
      "diversity_entropy_norm": -1.0,
      "semantic_cohesion": 1.0,
      "dup_ratio": 1.0,
      "bound_rate": 1.0
    }
  ]
}</t>
  </si>
  <si>
    <t>["team", "power", "location"]</t>
  </si>
  <si>
    <t>[{"var": "movie", "rows": 391, "distinct": 363, "null_rate": 0.0, "label_resolution_rate": 0.9654178674351584, "diversity_entropy_norm": 0.99, "semantic_cohesion": 0.63, "dup_ratio": 0.07, "bound_rate": 1.0}, {"var": "team", "rows": 391, "distinct": 0, "null_rate": 1.0, "label_resolution_rate": 0.0, "diversity_entropy_norm": 0.0, "semantic_cohesion": 1.0, "dup_ratio": 0.0, "bound_rate": 0.0}, {"var": "uniqueTeams", "rows": 391, "distinct": 21, "null_rate": 0.0, "label_resolution_rate": 1.0, "diversity_entropy_norm": 0.29, "semantic_cohesion": 0.96, "dup_ratio": 0.95, "bound_rate": 1.0}, {"var": "power", "rows": 391, "distinct": 0, "null_rate": 1.0, "label_resolution_rate": 0.0, "diversity_entropy_norm": 0.0, "semantic_cohesion": 1.0, "dup_ratio": 0.0, "bound_rate": 0.0}, {"var": "uniquePowers", "rows": 391, "distinct": 1, "null_rate": 0.0, "label_resolution_rate": 1.0, "diversity_entropy_norm": -1.0, "semantic_cohesion": 1.0, "dup_ratio": 1.0, "bound_rate": 1.0}, {"var": "location", "rows": 391, "distinct": 0, "null_rate": 1.0, "label_resolution_rate": 0.0, "diversity_entropy_norm": 0.0, "semantic_cohesion": 1.0, "dup_ratio": 0.0, "bound_rate": 0.0}, {"var": "uniqueLocations", "rows": 391, "distinct": 1, "null_rate": 0.0, "label_resolution_rate": 1.0, "diversity_entropy_norm": -1.0, "semantic_cohesion": 1.0, "dup_ratio": 1.0, "bound_rate": 1.0}]</t>
  </si>
  <si>
    <t>Who are all the other characters connected via shared movie appearances for each of the characters (character co-appearance network)?</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</si>
  <si>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</si>
  <si>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```sparql
PREFIX ns1: &lt;http://dbkwik.webdatacommons.org/marvel.wikia.com/property/&gt;
PREFIX ns2: &lt;http://dbkwik.webdatacommons.org/ontology/&gt;
PREFIX rdfs: &lt;http://www.w3.org/2000/01/rdf-schema#&gt;
SELECT DISTINCT ?character1 ?character2 ?movie
WHERE {
  ?character1 a ?type1 .
  ?character2 a ?type2 .
  ?movie ns1:appearing ?character1 .
  ?movie ns1:appearing ?character2 .
  FILTER(?character1 != ?character2)
  FILTER(CONTAINS(STR(?type1), "marvel.wikia.com/class/") || CONTAINS(STR(?type1), "Character"))
  FILTER(CONTAINS(STR(?type2), "marvel.wikia.com/class/") || CONTAINS(STR(?type2), "Character"))
}
ORDER BY ?character1 ?character2
```</t>
  </si>
  <si>
    <t>"MessageBatchIndividualResponse(custom_id='cq-31', result=MessageBatchSucceededResult(message=Message(id='msg_01JAxfFRg4hpbJP8sC88d16H', content=[TextBlock(citations=None, text='```sparql\\nPREFIX ns1: &lt;http://dbkwik.webdatacommons.org/marvel.wikia.com/property/&gt;\\nPREFIX ns2: &lt;http://dbkwik.webdatacommons.org/ontology/&gt;\\nPREFIX rdfs: &lt;http://www.w3.org/2000/01/rdf-schema#&gt;\\n\\nSELECT DISTINCT ?character1 ?character2 ?movie\\nWHERE {\\n  ?character1 a ?type1 .\\n  ?character2 a ?type2 .\\n  \\n  ?movie ns1:appearing ?character1 .\\n  ?movie ns1:appearing ?character2 .\\n  \\n  FILTER(?character1 != ?character2)\\n  FILTER(CONTAINS(STR(?type1), \"marvel.wikia.com/class/\") || CONTAINS(STR(?type1), \"Character\"))\\n  FILTER(CONTAINS(STR(?type2), \"marvel.wikia.com/class/\") || CONTAINS(STR(?type2), \"Character\"))\\n}\\nORDER BY ?character1 ?character2\\n```', type='text')], model='claude-sonnet-4-5-20250929', role='assistant', stop_reason='end_turn', stop_sequence=None, type='message', usage=Usage(cache_creation_input_tokens=0, cache_read_input_tokens=0, input_tokens=113768, output_tokens=260,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</si>
  <si>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ns1: &lt;http://dbkwik.webdatacommons.org/marvel.wikia.com/property/&gt;
PREFIX rdfs: &lt;http://www.w3.org/2000/01/rdf-schema#&gt;
PREFIX rdf: &lt;http://www.w3.org/1999/02/22-rdf-syntax-ns#&gt;
SELECT DISTINCT ?character1 ?character2 ?movie
WHERE {
  ?character1 a ?type1 .
  ?character2 a ?type2 .
  ?movie ns1:appearing ?character1 .
  ?movie ns1:appearing ?character2 .
  FILTER(?character1 != ?character2)
  FILTER(CONTAINS(STR(?type1), "marvel.wikia.com/class/") || CONTAINS(STR(?type1), "Character"))
  FILTER(CONTAINS(STR(?type2), "marvel.wikia.com/class/") || CONTAINS(STR(?type2), "Character"))
}
ORDER BY ?character1 ?character2</t>
  </si>
  <si>
    <t>ERROR</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</si>
  <si>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</si>
  <si>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</si>
  <si>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```sparql
PREFIX ns1: &lt;http://dbkwik.webdatacommons.org/marvel.wikia.com/property/&gt;
PREFIX rdfs: &lt;http://www.w3.org/2000/01/rdf-schema#&gt;
PREFIX rdf: &lt;http://www.w3.org/1999/02/22-rdf-syntax-ns#&gt;
SELECT ?team ?power (COUNT(?member) AS ?memberCount)
WHERE {
  ?team rdf:type ?teamType .
  ?teamType rdfs:subClassOf* ?someTeamClass .
  ?member ns1:teams ?team .
  ?member ns1:powers ?power .
}
GROUP BY ?team ?power
ORDER BY ?team DESC(?memberCount)
```</t>
  </si>
  <si>
    <t>"MessageBatchIndividualResponse(custom_id='cq-32', result=MessageBatchSucceededResult(message=Message(id='msg_01EdhouXTWgjdCSUfP6AFUBz', content=[TextBlock(citations=None, text='```sparql\\nPREFIX ns1: &lt;http://dbkwik.webdatacommons.org/marvel.wikia.com/property/&gt;\\nPREFIX rdfs: &lt;http://www.w3.org/2000/01/rdf-schema#&gt;\\nPREFIX rdf: &lt;http://www.w3.org/1999/02/22-rdf-syntax-ns#&gt;\\n\\nSELECT ?team ?power (COUNT(?member) AS ?memberCount)\\nWHERE {\\n  ?team rdf:type ?teamType .\\n  ?teamType rdfs:subClassOf* ?someTeamClass .\\n  \\n  ?member ns1:teams ?team .\\n  ?member ns1:powers ?power .\\n}\\nGROUP BY ?team ?power\\nORDER BY ?team DESC(?memberCount)\\n```', type='text')], model='claude-sonnet-4-5-20250929', role='assistant', stop_reason='end_turn', stop_sequence=None, type='message', usage=Usage(cache_creation_input_tokens=0, cache_read_input_tokens=0, input_tokens=113783, output_tokens=186,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</si>
  <si>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ns1: &lt;http://dbkwik.webdatacommons.org/marvel.wikia.com/property/&gt;
PREFIX rdfs: &lt;http://www.w3.org/2000/01/rdf-schema#&gt;
PREFIX rdf: &lt;http://www.w3.org/1999/02/22-rdf-syntax-ns#&gt;
SELECT ?team ?power (COUNT(?member) AS ?memberCount)
WHERE {
  ?team rdf:type ?teamType .
  ?teamType rdfs:subClassOf* ?someTeamClass .
  ?member ns1:teams ?team .
  ?member ns1:powers ?power .
}
GROUP BY ?team ?power
ORDER BY ?team DESC(?memberCount)</t>
  </si>
  <si>
    <t>{
  "cq_text": "What are all the distributions of powers among each team's members, grouped by teams,  for comparing teams for computability (e.g., which powers are most characteristic of each team)?",
  "syntax_ok": true,
  "satisfiable": false,
  "deterministic": true,
  "latency": {
    "p50_ms": 24632.75,
    "p95_ms": 26181.43,
    "mean_ms": 25044.46
  },
  "rows": 0,
  "vars": 4,
  "always_unbound_vars": [
    "team",
    "power",
    "member",
    "memberCount"
  ],
  "lexical_query_overlap": 0.06,
  "semantic_similarity_to_CQ": 0.68,
  "semantic_soft_coverage_to_CQ": 0.8,
  "tuple_cohesion": null,
  "variables": [
    {
      "var": "team",
      "rows": 0,
      "distinct": 0,
      "null_rate": 1.0,
      "label_resolution_rate": 0.0,
      "diversity_entropy_norm": 0.0,
      "semantic_cohesion": 1.0,
      "dup_ratio": 0.0,
      "bound_rate": 0.0
    },
    {
      "var": "power",
      "rows": 0,
      "distinct": 0,
      "null_rate": 1.0,
      "label_resolution_rate": 0.0,
      "diversity_entropy_norm": 0.0,
      "semantic_cohesion": 1.0,
      "dup_ratio": 0.0,
      "bound_rate": 0.0
    },
    {
      "var": "member",
      "rows": 0,
      "distinct": 0,
      "null_rate": 1.0,
      "label_resolution_rate": 0.0,
      "diversity_entropy_norm": 0.0,
      "semantic_cohesion": 1.0,
      "dup_ratio": 0.0,
      "bound_rate": 0.0
    },
    {
      "var": "memberCount",
      "rows": 0,
      "distinct": 0,
      "null_rate": 1.0,
      "label_resolution_rate": 0.0,
      "diversity_entropy_norm": 0.0,
      "semantic_cohesion": 1.0,
      "dup_ratio": 0.0,
      "bound_rate": 0.0
    }
  ]
}</t>
  </si>
  <si>
    <t>["team", "power", "member", "memberCount"]</t>
  </si>
  <si>
    <t>[{"var": "team", "rows": 0, "distinct": 0, "null_rate": 1.0, "label_resolution_rate": 0.0, "diversity_entropy_norm": 0.0, "semantic_cohesion": 1.0, "dup_ratio": 0.0, "bound_rate": 0.0}, {"var": "power", "rows": 0, "distinct": 0, "null_rate": 1.0, "label_resolution_rate": 0.0, "diversity_entropy_norm": 0.0, "semantic_cohesion": 1.0, "dup_ratio": 0.0, "bound_rate": 0.0}, {"var": "member", "rows": 0, "distinct": 0, "null_rate": 1.0, "label_resolution_rate": 0.0, "diversity_entropy_norm": 0.0, "semantic_cohesion": 1.0, "dup_ratio": 0.0, "bound_rate": 0.0}, {"var": "memberCount", "rows": 0, "distinct": 0, "null_rate": 1.0, "label_resolution_rate": 0.0, "diversity_entropy_norm": 0.0, "semantic_cohesion": 1.0, "dup_ratio": 0.0, "bound_rate": 0.0}]</t>
  </si>
  <si>
    <t>syntax_ok_rate</t>
  </si>
  <si>
    <t>satisfiable_rate</t>
  </si>
  <si>
    <t>deterministic_rate</t>
  </si>
  <si>
    <t>ALL</t>
  </si>
  <si>
    <t>Complexity</t>
  </si>
  <si>
    <t>Total</t>
  </si>
  <si>
    <t>Valid Syntax</t>
  </si>
  <si>
    <t>Valid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</si>
</sst>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election activeCell="H23" sqref="H23"/>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26</v>
      </c>
      <c r="C2" t="s">
        <v>27</v>
      </c>
      <c r="D2" t="s">
        <v>28</v>
      </c>
      <c r="E2" t="s">
        <v>29</v>
      </c>
      <c r="F2" t="s">
        <v>30</v>
      </c>
      <c r="G2" t="b">
        <v>1</v>
      </c>
      <c r="H2" t="b">
        <v>1</v>
      </c>
      <c r="I2" t="b">
        <v>1</v>
      </c>
      <c r="J2">
        <v>117495</v>
      </c>
      <c r="K2">
        <v>1</v>
      </c>
      <c r="L2">
        <v>2296.96</v>
      </c>
      <c r="M2">
        <v>2472.9</v>
      </c>
      <c r="N2">
        <v>2332.83</v>
      </c>
      <c r="O2">
        <v>0</v>
      </c>
      <c r="P2">
        <v>0.66</v>
      </c>
      <c r="Q2">
        <v>0.74</v>
      </c>
      <c r="R2">
        <v>0.86</v>
      </c>
      <c r="S2" t="s">
        <v>31</v>
      </c>
      <c r="T2" t="s">
        <v>32</v>
      </c>
      <c r="U2" t="s">
        <v>33</v>
      </c>
      <c r="V2">
        <v>1</v>
      </c>
      <c r="W2">
        <v>1</v>
      </c>
      <c r="X2">
        <v>1</v>
      </c>
      <c r="Y2">
        <v>0.66</v>
      </c>
    </row>
    <row r="3" spans="1:25" x14ac:dyDescent="0.2">
      <c r="A3" t="s">
        <v>34</v>
      </c>
      <c r="B3" t="s">
        <v>35</v>
      </c>
      <c r="C3" t="s">
        <v>36</v>
      </c>
      <c r="D3" t="s">
        <v>37</v>
      </c>
      <c r="E3" t="s">
        <v>38</v>
      </c>
      <c r="F3" t="s">
        <v>39</v>
      </c>
      <c r="G3" t="b">
        <v>1</v>
      </c>
      <c r="H3" t="b">
        <v>1</v>
      </c>
      <c r="I3" t="b">
        <v>1</v>
      </c>
      <c r="J3">
        <v>736</v>
      </c>
      <c r="K3">
        <v>1</v>
      </c>
      <c r="L3">
        <v>29.17</v>
      </c>
      <c r="M3">
        <v>29.33</v>
      </c>
      <c r="N3">
        <v>28.62</v>
      </c>
      <c r="O3">
        <v>0</v>
      </c>
      <c r="P3">
        <v>0.73</v>
      </c>
      <c r="Q3">
        <v>0.74</v>
      </c>
      <c r="R3">
        <v>0.64</v>
      </c>
      <c r="S3" t="s">
        <v>31</v>
      </c>
      <c r="T3" t="s">
        <v>40</v>
      </c>
      <c r="U3" t="s">
        <v>33</v>
      </c>
      <c r="V3">
        <v>1</v>
      </c>
      <c r="W3">
        <v>1</v>
      </c>
      <c r="X3">
        <v>1</v>
      </c>
      <c r="Y3">
        <v>0.61</v>
      </c>
    </row>
    <row r="4" spans="1:25" x14ac:dyDescent="0.2">
      <c r="A4" t="s">
        <v>41</v>
      </c>
      <c r="B4" t="s">
        <v>42</v>
      </c>
      <c r="C4" t="s">
        <v>43</v>
      </c>
      <c r="D4" t="s">
        <v>44</v>
      </c>
      <c r="E4" t="s">
        <v>45</v>
      </c>
      <c r="F4" t="s">
        <v>46</v>
      </c>
      <c r="G4" t="b">
        <v>1</v>
      </c>
      <c r="H4" t="b">
        <v>1</v>
      </c>
      <c r="I4" t="b">
        <v>1</v>
      </c>
      <c r="J4">
        <v>1</v>
      </c>
      <c r="K4">
        <v>3</v>
      </c>
      <c r="L4">
        <v>16.600000000000001</v>
      </c>
      <c r="M4">
        <v>16.809999999999999</v>
      </c>
      <c r="N4">
        <v>13.79</v>
      </c>
      <c r="O4">
        <v>0.04</v>
      </c>
      <c r="P4">
        <v>0.76</v>
      </c>
      <c r="Q4">
        <v>0.78</v>
      </c>
      <c r="R4">
        <v>1</v>
      </c>
      <c r="S4" t="s">
        <v>31</v>
      </c>
      <c r="T4" t="s">
        <v>47</v>
      </c>
      <c r="U4" t="s">
        <v>33</v>
      </c>
      <c r="V4">
        <v>1</v>
      </c>
      <c r="W4">
        <v>1</v>
      </c>
      <c r="X4">
        <v>1</v>
      </c>
      <c r="Y4">
        <v>0</v>
      </c>
    </row>
    <row r="5" spans="1:25" x14ac:dyDescent="0.2">
      <c r="A5" t="s">
        <v>48</v>
      </c>
      <c r="B5" t="s">
        <v>49</v>
      </c>
      <c r="C5" t="s">
        <v>50</v>
      </c>
      <c r="D5" t="s">
        <v>51</v>
      </c>
      <c r="E5" t="s">
        <v>52</v>
      </c>
      <c r="F5" t="s">
        <v>53</v>
      </c>
      <c r="G5" t="b">
        <v>1</v>
      </c>
      <c r="H5" t="b">
        <v>1</v>
      </c>
      <c r="I5" t="b">
        <v>1</v>
      </c>
      <c r="J5">
        <v>1</v>
      </c>
      <c r="K5">
        <v>2</v>
      </c>
      <c r="L5">
        <v>7.56</v>
      </c>
      <c r="M5">
        <v>7.69</v>
      </c>
      <c r="N5">
        <v>7.58</v>
      </c>
      <c r="O5">
        <v>0.05</v>
      </c>
      <c r="P5">
        <v>0.66</v>
      </c>
      <c r="Q5">
        <v>0.75</v>
      </c>
      <c r="R5">
        <v>1</v>
      </c>
      <c r="S5" t="s">
        <v>31</v>
      </c>
      <c r="T5" t="s">
        <v>54</v>
      </c>
      <c r="U5" t="s">
        <v>33</v>
      </c>
      <c r="V5">
        <v>1</v>
      </c>
      <c r="W5">
        <v>1</v>
      </c>
      <c r="X5">
        <v>1</v>
      </c>
      <c r="Y5">
        <v>0</v>
      </c>
    </row>
    <row r="6" spans="1:25" x14ac:dyDescent="0.2">
      <c r="A6" t="s">
        <v>55</v>
      </c>
      <c r="B6" t="s">
        <v>56</v>
      </c>
      <c r="C6" t="s">
        <v>57</v>
      </c>
      <c r="D6" t="s">
        <v>58</v>
      </c>
      <c r="E6" t="s">
        <v>59</v>
      </c>
      <c r="F6" t="s">
        <v>60</v>
      </c>
      <c r="G6" t="b">
        <v>1</v>
      </c>
      <c r="H6" t="b">
        <v>1</v>
      </c>
      <c r="I6" t="b">
        <v>1</v>
      </c>
      <c r="J6">
        <v>2</v>
      </c>
      <c r="K6">
        <v>4</v>
      </c>
      <c r="L6">
        <v>24489.05</v>
      </c>
      <c r="M6">
        <v>25702.74</v>
      </c>
      <c r="N6">
        <v>23588.26</v>
      </c>
      <c r="O6">
        <v>0.06</v>
      </c>
      <c r="P6">
        <v>0.64</v>
      </c>
      <c r="Q6">
        <v>0.81</v>
      </c>
      <c r="R6">
        <v>0.81</v>
      </c>
      <c r="S6" t="s">
        <v>31</v>
      </c>
      <c r="T6" t="s">
        <v>61</v>
      </c>
      <c r="U6" t="s">
        <v>33</v>
      </c>
      <c r="V6">
        <v>1</v>
      </c>
      <c r="W6">
        <v>1</v>
      </c>
      <c r="X6">
        <v>1</v>
      </c>
      <c r="Y6">
        <v>0.1091666666666667</v>
      </c>
    </row>
    <row r="7" spans="1:25" x14ac:dyDescent="0.2">
      <c r="A7" t="s">
        <v>62</v>
      </c>
      <c r="B7" t="s">
        <v>63</v>
      </c>
      <c r="C7" t="s">
        <v>64</v>
      </c>
      <c r="D7" t="s">
        <v>65</v>
      </c>
      <c r="E7" t="s">
        <v>66</v>
      </c>
      <c r="F7" t="s">
        <v>67</v>
      </c>
      <c r="G7" t="b">
        <v>1</v>
      </c>
      <c r="H7" t="b">
        <v>1</v>
      </c>
      <c r="I7" t="b">
        <v>1</v>
      </c>
      <c r="J7">
        <v>1287</v>
      </c>
      <c r="K7">
        <v>2</v>
      </c>
      <c r="L7">
        <v>55.56</v>
      </c>
      <c r="M7">
        <v>58.33</v>
      </c>
      <c r="N7">
        <v>56.16</v>
      </c>
      <c r="O7">
        <v>0.06</v>
      </c>
      <c r="P7">
        <v>0.71</v>
      </c>
      <c r="Q7">
        <v>0.78</v>
      </c>
      <c r="R7">
        <v>0.96</v>
      </c>
      <c r="S7" t="s">
        <v>31</v>
      </c>
      <c r="T7" t="s">
        <v>68</v>
      </c>
      <c r="U7" t="s">
        <v>33</v>
      </c>
      <c r="V7">
        <v>1</v>
      </c>
      <c r="W7">
        <v>1</v>
      </c>
      <c r="X7">
        <v>1</v>
      </c>
      <c r="Y7">
        <v>0.41166666666666663</v>
      </c>
    </row>
    <row r="8" spans="1:25" x14ac:dyDescent="0.2">
      <c r="A8" t="s">
        <v>69</v>
      </c>
      <c r="B8" t="s">
        <v>70</v>
      </c>
      <c r="C8" t="s">
        <v>71</v>
      </c>
      <c r="D8" t="s">
        <v>72</v>
      </c>
      <c r="E8" t="s">
        <v>73</v>
      </c>
      <c r="F8" t="s">
        <v>74</v>
      </c>
      <c r="G8" t="b">
        <v>1</v>
      </c>
      <c r="H8" t="b">
        <v>1</v>
      </c>
      <c r="I8" t="b">
        <v>1</v>
      </c>
      <c r="J8">
        <v>1</v>
      </c>
      <c r="K8">
        <v>2</v>
      </c>
      <c r="L8">
        <v>885.83</v>
      </c>
      <c r="M8">
        <v>913.28</v>
      </c>
      <c r="N8">
        <v>893.26</v>
      </c>
      <c r="O8">
        <v>0.08</v>
      </c>
      <c r="P8">
        <v>0.7</v>
      </c>
      <c r="Q8">
        <v>0.77</v>
      </c>
      <c r="R8">
        <v>1</v>
      </c>
      <c r="S8" t="s">
        <v>31</v>
      </c>
      <c r="T8" t="s">
        <v>75</v>
      </c>
      <c r="U8" t="s">
        <v>33</v>
      </c>
      <c r="V8">
        <v>1</v>
      </c>
      <c r="W8">
        <v>1</v>
      </c>
      <c r="X8">
        <v>1</v>
      </c>
      <c r="Y8">
        <v>0</v>
      </c>
    </row>
    <row r="9" spans="1:25" x14ac:dyDescent="0.2">
      <c r="A9" t="s">
        <v>76</v>
      </c>
      <c r="B9" t="s">
        <v>77</v>
      </c>
      <c r="C9" t="s">
        <v>78</v>
      </c>
      <c r="D9" t="s">
        <v>79</v>
      </c>
      <c r="E9" t="s">
        <v>80</v>
      </c>
      <c r="F9" t="s">
        <v>81</v>
      </c>
      <c r="G9" t="b">
        <v>1</v>
      </c>
      <c r="H9" t="b">
        <v>1</v>
      </c>
      <c r="I9" t="b">
        <v>1</v>
      </c>
      <c r="J9">
        <v>1</v>
      </c>
      <c r="K9">
        <v>2</v>
      </c>
      <c r="L9">
        <v>7.94</v>
      </c>
      <c r="M9">
        <v>8.09</v>
      </c>
      <c r="N9">
        <v>7.86</v>
      </c>
      <c r="O9">
        <v>0</v>
      </c>
      <c r="P9">
        <v>0.77</v>
      </c>
      <c r="Q9">
        <v>0.77</v>
      </c>
      <c r="R9">
        <v>1</v>
      </c>
      <c r="S9" t="s">
        <v>31</v>
      </c>
      <c r="T9" t="s">
        <v>82</v>
      </c>
      <c r="U9" t="s">
        <v>33</v>
      </c>
      <c r="V9">
        <v>1</v>
      </c>
      <c r="W9">
        <v>1</v>
      </c>
      <c r="X9">
        <v>1</v>
      </c>
      <c r="Y9">
        <v>0</v>
      </c>
    </row>
    <row r="10" spans="1:25" x14ac:dyDescent="0.2">
      <c r="A10" t="s">
        <v>83</v>
      </c>
      <c r="B10" t="s">
        <v>84</v>
      </c>
      <c r="C10" t="s">
        <v>85</v>
      </c>
      <c r="D10" t="s">
        <v>86</v>
      </c>
      <c r="E10" t="s">
        <v>87</v>
      </c>
      <c r="F10" t="s">
        <v>88</v>
      </c>
      <c r="G10" t="b">
        <v>1</v>
      </c>
      <c r="H10" t="b">
        <v>1</v>
      </c>
      <c r="I10" t="b">
        <v>1</v>
      </c>
      <c r="J10">
        <v>399</v>
      </c>
      <c r="K10">
        <v>4</v>
      </c>
      <c r="L10">
        <v>48.03</v>
      </c>
      <c r="M10">
        <v>51.71</v>
      </c>
      <c r="N10">
        <v>48.97</v>
      </c>
      <c r="O10">
        <v>0</v>
      </c>
      <c r="P10">
        <v>0.76</v>
      </c>
      <c r="Q10">
        <v>0.78</v>
      </c>
      <c r="R10">
        <v>0.71</v>
      </c>
      <c r="S10" t="s">
        <v>31</v>
      </c>
      <c r="T10" t="s">
        <v>89</v>
      </c>
      <c r="U10" t="s">
        <v>33</v>
      </c>
      <c r="V10">
        <v>1</v>
      </c>
      <c r="W10">
        <v>1</v>
      </c>
      <c r="X10">
        <v>1</v>
      </c>
      <c r="Y10">
        <v>0.67666666666666664</v>
      </c>
    </row>
    <row r="11" spans="1:25" x14ac:dyDescent="0.2">
      <c r="A11" t="s">
        <v>90</v>
      </c>
      <c r="B11" t="s">
        <v>91</v>
      </c>
      <c r="C11" t="s">
        <v>92</v>
      </c>
      <c r="D11" t="s">
        <v>93</v>
      </c>
      <c r="E11" t="s">
        <v>94</v>
      </c>
      <c r="F11" t="s">
        <v>95</v>
      </c>
      <c r="G11" t="b">
        <v>1</v>
      </c>
      <c r="H11" t="b">
        <v>1</v>
      </c>
      <c r="I11" t="b">
        <v>1</v>
      </c>
      <c r="J11">
        <v>596</v>
      </c>
      <c r="K11">
        <v>1</v>
      </c>
      <c r="L11">
        <v>14801.49</v>
      </c>
      <c r="M11">
        <v>15001.04</v>
      </c>
      <c r="N11">
        <v>14555.39</v>
      </c>
      <c r="O11">
        <v>0</v>
      </c>
      <c r="P11">
        <v>0.66</v>
      </c>
      <c r="Q11">
        <v>0.77</v>
      </c>
      <c r="R11">
        <v>0.79</v>
      </c>
      <c r="S11" t="s">
        <v>31</v>
      </c>
      <c r="T11" t="s">
        <v>96</v>
      </c>
      <c r="U11" t="s">
        <v>33</v>
      </c>
      <c r="V11">
        <v>1</v>
      </c>
      <c r="W11">
        <v>1</v>
      </c>
      <c r="X11">
        <v>1</v>
      </c>
      <c r="Y11">
        <v>0.73666666666666669</v>
      </c>
    </row>
    <row r="12" spans="1:25" x14ac:dyDescent="0.2">
      <c r="A12" t="s">
        <v>97</v>
      </c>
      <c r="B12" t="s">
        <v>98</v>
      </c>
      <c r="C12" t="s">
        <v>99</v>
      </c>
      <c r="D12" t="s">
        <v>100</v>
      </c>
      <c r="E12" t="s">
        <v>101</v>
      </c>
      <c r="F12" t="s">
        <v>102</v>
      </c>
      <c r="G12" t="b">
        <v>1</v>
      </c>
      <c r="H12" t="b">
        <v>0</v>
      </c>
      <c r="I12" t="b">
        <v>1</v>
      </c>
      <c r="J12">
        <v>0</v>
      </c>
      <c r="K12">
        <v>4</v>
      </c>
      <c r="L12">
        <v>8.34</v>
      </c>
      <c r="M12">
        <v>8.42</v>
      </c>
      <c r="N12">
        <v>8.31</v>
      </c>
      <c r="O12">
        <v>7.0000000000000007E-2</v>
      </c>
      <c r="P12">
        <v>0.68</v>
      </c>
      <c r="Q12">
        <v>0.82</v>
      </c>
      <c r="S12" t="s">
        <v>103</v>
      </c>
      <c r="T12" t="s">
        <v>104</v>
      </c>
      <c r="U12" t="s">
        <v>33</v>
      </c>
      <c r="V12">
        <v>1</v>
      </c>
      <c r="W12">
        <v>0</v>
      </c>
      <c r="X12">
        <v>0.5</v>
      </c>
      <c r="Y12">
        <v>0.33333333333333331</v>
      </c>
    </row>
    <row r="13" spans="1:25" x14ac:dyDescent="0.2">
      <c r="A13" t="s">
        <v>105</v>
      </c>
      <c r="B13" t="s">
        <v>106</v>
      </c>
      <c r="C13" t="s">
        <v>107</v>
      </c>
      <c r="D13" t="s">
        <v>108</v>
      </c>
      <c r="E13" t="s">
        <v>109</v>
      </c>
      <c r="F13" t="s">
        <v>110</v>
      </c>
      <c r="G13" t="b">
        <v>1</v>
      </c>
      <c r="H13" t="b">
        <v>1</v>
      </c>
      <c r="I13" t="b">
        <v>1</v>
      </c>
      <c r="J13">
        <v>1</v>
      </c>
      <c r="K13">
        <v>2</v>
      </c>
      <c r="L13">
        <v>7.8</v>
      </c>
      <c r="M13">
        <v>8.8699999999999992</v>
      </c>
      <c r="N13">
        <v>8.06</v>
      </c>
      <c r="O13">
        <v>7.0000000000000007E-2</v>
      </c>
      <c r="P13">
        <v>0.75</v>
      </c>
      <c r="Q13">
        <v>0.75</v>
      </c>
      <c r="R13">
        <v>1</v>
      </c>
      <c r="S13" t="s">
        <v>31</v>
      </c>
      <c r="T13" t="s">
        <v>111</v>
      </c>
      <c r="U13" t="s">
        <v>33</v>
      </c>
      <c r="V13">
        <v>1</v>
      </c>
      <c r="W13">
        <v>1</v>
      </c>
      <c r="X13">
        <v>1</v>
      </c>
      <c r="Y13">
        <v>0</v>
      </c>
    </row>
    <row r="14" spans="1:25" x14ac:dyDescent="0.2">
      <c r="A14" t="s">
        <v>112</v>
      </c>
      <c r="B14" t="s">
        <v>113</v>
      </c>
      <c r="C14" t="s">
        <v>114</v>
      </c>
      <c r="D14" t="s">
        <v>115</v>
      </c>
      <c r="E14" t="s">
        <v>116</v>
      </c>
      <c r="F14" t="s">
        <v>117</v>
      </c>
      <c r="G14" t="b">
        <v>1</v>
      </c>
      <c r="H14" t="b">
        <v>1</v>
      </c>
      <c r="I14" t="b">
        <v>1</v>
      </c>
      <c r="J14">
        <v>1033</v>
      </c>
      <c r="K14">
        <v>2</v>
      </c>
      <c r="L14">
        <v>52.24</v>
      </c>
      <c r="M14">
        <v>53.49</v>
      </c>
      <c r="N14">
        <v>52.37</v>
      </c>
      <c r="O14">
        <v>0.13</v>
      </c>
      <c r="P14">
        <v>0.7</v>
      </c>
      <c r="Q14">
        <v>0.79</v>
      </c>
      <c r="R14">
        <v>0.79</v>
      </c>
      <c r="S14" t="s">
        <v>31</v>
      </c>
      <c r="T14" t="s">
        <v>118</v>
      </c>
      <c r="U14" t="s">
        <v>126</v>
      </c>
      <c r="V14">
        <v>1</v>
      </c>
      <c r="W14">
        <v>1</v>
      </c>
      <c r="X14">
        <v>1</v>
      </c>
      <c r="Y14">
        <v>0.5116666666666666</v>
      </c>
    </row>
    <row r="15" spans="1:25" x14ac:dyDescent="0.2">
      <c r="A15" t="s">
        <v>119</v>
      </c>
      <c r="B15" t="s">
        <v>120</v>
      </c>
      <c r="C15" t="s">
        <v>121</v>
      </c>
      <c r="D15" t="s">
        <v>122</v>
      </c>
      <c r="E15" t="s">
        <v>123</v>
      </c>
      <c r="F15" t="s">
        <v>124</v>
      </c>
      <c r="G15" t="b">
        <v>1</v>
      </c>
      <c r="H15" t="b">
        <v>1</v>
      </c>
      <c r="I15" t="b">
        <v>1</v>
      </c>
      <c r="J15">
        <v>3380</v>
      </c>
      <c r="K15">
        <v>2</v>
      </c>
      <c r="L15">
        <v>1109.1300000000001</v>
      </c>
      <c r="M15">
        <v>1131.8800000000001</v>
      </c>
      <c r="N15">
        <v>1083.53</v>
      </c>
      <c r="O15">
        <v>7.0000000000000007E-2</v>
      </c>
      <c r="P15">
        <v>0.65</v>
      </c>
      <c r="Q15">
        <v>0.78</v>
      </c>
      <c r="R15">
        <v>0.71</v>
      </c>
      <c r="S15" t="s">
        <v>31</v>
      </c>
      <c r="T15" t="s">
        <v>125</v>
      </c>
      <c r="U15" t="s">
        <v>126</v>
      </c>
      <c r="V15">
        <v>1</v>
      </c>
      <c r="W15">
        <v>1</v>
      </c>
      <c r="X15">
        <v>1</v>
      </c>
      <c r="Y15">
        <v>0.59</v>
      </c>
    </row>
    <row r="16" spans="1:25" x14ac:dyDescent="0.2">
      <c r="A16" t="s">
        <v>127</v>
      </c>
      <c r="B16" t="s">
        <v>128</v>
      </c>
      <c r="C16" t="s">
        <v>129</v>
      </c>
      <c r="D16" t="s">
        <v>130</v>
      </c>
      <c r="E16" t="s">
        <v>131</v>
      </c>
      <c r="F16" t="s">
        <v>132</v>
      </c>
      <c r="G16" t="b">
        <v>1</v>
      </c>
      <c r="H16" t="b">
        <v>1</v>
      </c>
      <c r="I16" t="b">
        <v>1</v>
      </c>
      <c r="J16">
        <v>432</v>
      </c>
      <c r="K16">
        <v>3</v>
      </c>
      <c r="L16">
        <v>40.03</v>
      </c>
      <c r="M16">
        <v>44.49</v>
      </c>
      <c r="N16">
        <v>41.21</v>
      </c>
      <c r="O16">
        <v>0.16</v>
      </c>
      <c r="P16">
        <v>0.75</v>
      </c>
      <c r="Q16">
        <v>0.82</v>
      </c>
      <c r="R16">
        <v>0.92</v>
      </c>
      <c r="S16" t="s">
        <v>31</v>
      </c>
      <c r="T16" t="s">
        <v>133</v>
      </c>
      <c r="U16" t="s">
        <v>126</v>
      </c>
      <c r="V16">
        <v>1</v>
      </c>
      <c r="W16">
        <v>1</v>
      </c>
      <c r="X16">
        <v>1</v>
      </c>
      <c r="Y16">
        <v>0.44</v>
      </c>
    </row>
    <row r="17" spans="1:25" x14ac:dyDescent="0.2">
      <c r="A17" t="s">
        <v>134</v>
      </c>
      <c r="B17" t="s">
        <v>135</v>
      </c>
      <c r="C17" t="s">
        <v>136</v>
      </c>
      <c r="D17" t="s">
        <v>137</v>
      </c>
      <c r="E17" t="s">
        <v>138</v>
      </c>
      <c r="F17" t="s">
        <v>139</v>
      </c>
      <c r="G17" t="b">
        <v>1</v>
      </c>
      <c r="H17" t="b">
        <v>0</v>
      </c>
      <c r="I17" t="b">
        <v>1</v>
      </c>
      <c r="J17">
        <v>0</v>
      </c>
      <c r="K17">
        <v>3</v>
      </c>
      <c r="L17">
        <v>7.58</v>
      </c>
      <c r="M17">
        <v>7.74</v>
      </c>
      <c r="N17">
        <v>7.61</v>
      </c>
      <c r="O17">
        <v>0.14000000000000001</v>
      </c>
      <c r="P17">
        <v>0.73</v>
      </c>
      <c r="Q17">
        <v>0.78</v>
      </c>
      <c r="S17" t="s">
        <v>140</v>
      </c>
      <c r="T17" t="s">
        <v>141</v>
      </c>
      <c r="U17" t="s">
        <v>126</v>
      </c>
      <c r="V17">
        <v>1</v>
      </c>
      <c r="W17">
        <v>0</v>
      </c>
      <c r="X17">
        <v>0.5</v>
      </c>
      <c r="Y17">
        <v>0.33333333333333331</v>
      </c>
    </row>
    <row r="18" spans="1:25" x14ac:dyDescent="0.2">
      <c r="A18" t="s">
        <v>142</v>
      </c>
      <c r="B18" t="s">
        <v>143</v>
      </c>
      <c r="C18" t="s">
        <v>144</v>
      </c>
      <c r="D18" t="s">
        <v>145</v>
      </c>
      <c r="E18" t="s">
        <v>146</v>
      </c>
      <c r="F18" t="s">
        <v>147</v>
      </c>
      <c r="G18" t="b">
        <v>1</v>
      </c>
      <c r="H18" t="b">
        <v>1</v>
      </c>
      <c r="I18" t="b">
        <v>1</v>
      </c>
      <c r="J18">
        <v>502</v>
      </c>
      <c r="K18">
        <v>4</v>
      </c>
      <c r="L18">
        <v>268.39999999999998</v>
      </c>
      <c r="M18">
        <v>297.79000000000002</v>
      </c>
      <c r="N18">
        <v>273.73</v>
      </c>
      <c r="O18">
        <v>0</v>
      </c>
      <c r="P18">
        <v>0.75</v>
      </c>
      <c r="Q18">
        <v>0.75</v>
      </c>
      <c r="R18">
        <v>0.98</v>
      </c>
      <c r="S18" t="s">
        <v>148</v>
      </c>
      <c r="T18" t="s">
        <v>149</v>
      </c>
      <c r="U18" t="s">
        <v>126</v>
      </c>
      <c r="V18">
        <v>1</v>
      </c>
      <c r="W18">
        <v>0.75</v>
      </c>
      <c r="X18">
        <v>0.875</v>
      </c>
      <c r="Y18">
        <v>0.3125</v>
      </c>
    </row>
    <row r="19" spans="1:25" x14ac:dyDescent="0.2">
      <c r="A19" t="s">
        <v>150</v>
      </c>
      <c r="B19" t="s">
        <v>151</v>
      </c>
      <c r="C19" t="s">
        <v>152</v>
      </c>
      <c r="D19" t="s">
        <v>153</v>
      </c>
      <c r="E19" t="s">
        <v>154</v>
      </c>
      <c r="F19" t="s">
        <v>155</v>
      </c>
      <c r="G19" t="b">
        <v>1</v>
      </c>
      <c r="H19" t="b">
        <v>1</v>
      </c>
      <c r="I19" t="b">
        <v>1</v>
      </c>
      <c r="J19">
        <v>431</v>
      </c>
      <c r="K19">
        <v>2</v>
      </c>
      <c r="L19">
        <v>3791.85</v>
      </c>
      <c r="M19">
        <v>5638.14</v>
      </c>
      <c r="N19">
        <v>4387.3</v>
      </c>
      <c r="O19">
        <v>0.03</v>
      </c>
      <c r="P19">
        <v>0.72</v>
      </c>
      <c r="Q19">
        <v>0.77</v>
      </c>
      <c r="R19">
        <v>0.79</v>
      </c>
      <c r="S19" t="s">
        <v>31</v>
      </c>
      <c r="T19" t="s">
        <v>156</v>
      </c>
      <c r="U19" t="s">
        <v>126</v>
      </c>
      <c r="V19">
        <v>1</v>
      </c>
      <c r="W19">
        <v>1</v>
      </c>
      <c r="X19">
        <v>1</v>
      </c>
      <c r="Y19">
        <v>0.54166666666666663</v>
      </c>
    </row>
    <row r="20" spans="1:25" x14ac:dyDescent="0.2">
      <c r="A20" t="s">
        <v>157</v>
      </c>
      <c r="B20" t="s">
        <v>158</v>
      </c>
      <c r="C20" t="s">
        <v>159</v>
      </c>
      <c r="D20" t="s">
        <v>160</v>
      </c>
      <c r="E20" t="s">
        <v>161</v>
      </c>
      <c r="F20" t="s">
        <v>162</v>
      </c>
      <c r="G20" t="b">
        <v>1</v>
      </c>
      <c r="H20" t="b">
        <v>0</v>
      </c>
      <c r="I20" t="b">
        <v>1</v>
      </c>
      <c r="J20">
        <v>0</v>
      </c>
      <c r="K20">
        <v>2</v>
      </c>
      <c r="L20">
        <v>7.78</v>
      </c>
      <c r="M20">
        <v>7.85</v>
      </c>
      <c r="N20">
        <v>7.76</v>
      </c>
      <c r="O20">
        <v>0.05</v>
      </c>
      <c r="P20">
        <v>0.68</v>
      </c>
      <c r="Q20">
        <v>0.77</v>
      </c>
      <c r="S20" t="s">
        <v>163</v>
      </c>
      <c r="T20" t="s">
        <v>164</v>
      </c>
      <c r="U20" t="s">
        <v>126</v>
      </c>
      <c r="V20">
        <v>1</v>
      </c>
      <c r="W20">
        <v>0</v>
      </c>
      <c r="X20">
        <v>0.5</v>
      </c>
      <c r="Y20">
        <v>0.33333333333333331</v>
      </c>
    </row>
    <row r="21" spans="1:25" x14ac:dyDescent="0.2">
      <c r="A21" t="s">
        <v>165</v>
      </c>
      <c r="B21" t="s">
        <v>166</v>
      </c>
      <c r="C21" t="s">
        <v>167</v>
      </c>
      <c r="D21" t="s">
        <v>168</v>
      </c>
      <c r="E21" t="s">
        <v>169</v>
      </c>
      <c r="F21" t="s">
        <v>170</v>
      </c>
      <c r="G21" t="b">
        <v>1</v>
      </c>
      <c r="H21" t="b">
        <v>1</v>
      </c>
      <c r="I21" t="b">
        <v>1</v>
      </c>
      <c r="J21">
        <v>2</v>
      </c>
      <c r="K21">
        <v>1</v>
      </c>
      <c r="L21">
        <v>9.18</v>
      </c>
      <c r="M21">
        <v>9.4600000000000009</v>
      </c>
      <c r="N21">
        <v>9.1</v>
      </c>
      <c r="O21">
        <v>0.04</v>
      </c>
      <c r="P21">
        <v>0.62</v>
      </c>
      <c r="Q21">
        <v>0.77</v>
      </c>
      <c r="R21">
        <v>1</v>
      </c>
      <c r="S21" t="s">
        <v>31</v>
      </c>
      <c r="T21" t="s">
        <v>171</v>
      </c>
      <c r="U21" t="s">
        <v>126</v>
      </c>
      <c r="V21">
        <v>1</v>
      </c>
      <c r="W21">
        <v>1</v>
      </c>
      <c r="X21">
        <v>1</v>
      </c>
      <c r="Y21">
        <v>0</v>
      </c>
    </row>
    <row r="22" spans="1:25" x14ac:dyDescent="0.2">
      <c r="A22" t="s">
        <v>172</v>
      </c>
      <c r="B22" t="s">
        <v>173</v>
      </c>
      <c r="C22" t="s">
        <v>174</v>
      </c>
      <c r="D22" t="s">
        <v>175</v>
      </c>
      <c r="E22" t="s">
        <v>176</v>
      </c>
      <c r="F22" t="s">
        <v>177</v>
      </c>
      <c r="G22" t="b">
        <v>1</v>
      </c>
      <c r="H22" t="b">
        <v>1</v>
      </c>
      <c r="I22" t="b">
        <v>1</v>
      </c>
      <c r="J22">
        <v>16</v>
      </c>
      <c r="K22">
        <v>2</v>
      </c>
      <c r="L22">
        <v>8.85</v>
      </c>
      <c r="M22">
        <v>18.29</v>
      </c>
      <c r="N22">
        <v>11.89</v>
      </c>
      <c r="O22">
        <v>0.14000000000000001</v>
      </c>
      <c r="P22">
        <v>0.69</v>
      </c>
      <c r="Q22">
        <v>0.77</v>
      </c>
      <c r="R22">
        <v>0.75</v>
      </c>
      <c r="S22" t="s">
        <v>31</v>
      </c>
      <c r="T22" t="s">
        <v>178</v>
      </c>
      <c r="U22" t="s">
        <v>126</v>
      </c>
      <c r="V22">
        <v>1</v>
      </c>
      <c r="W22">
        <v>1</v>
      </c>
      <c r="X22">
        <v>1</v>
      </c>
      <c r="Y22">
        <v>0.6283333333333333</v>
      </c>
    </row>
    <row r="23" spans="1:25" x14ac:dyDescent="0.2">
      <c r="A23" t="s">
        <v>179</v>
      </c>
      <c r="B23" t="s">
        <v>180</v>
      </c>
      <c r="C23" t="s">
        <v>181</v>
      </c>
      <c r="D23" t="s">
        <v>182</v>
      </c>
      <c r="E23" t="s">
        <v>183</v>
      </c>
      <c r="F23" t="s">
        <v>184</v>
      </c>
      <c r="G23" t="b">
        <v>0</v>
      </c>
      <c r="H23" t="b">
        <v>0</v>
      </c>
      <c r="I23" t="b">
        <v>0</v>
      </c>
      <c r="J23">
        <v>0</v>
      </c>
      <c r="K23">
        <v>0</v>
      </c>
      <c r="O23">
        <v>0</v>
      </c>
      <c r="P23">
        <v>0</v>
      </c>
      <c r="Q23">
        <v>0</v>
      </c>
      <c r="R23">
        <v>0</v>
      </c>
      <c r="S23" t="s">
        <v>31</v>
      </c>
      <c r="T23" t="s">
        <v>31</v>
      </c>
      <c r="U23" t="s">
        <v>126</v>
      </c>
      <c r="V23">
        <v>0</v>
      </c>
      <c r="W23">
        <v>0</v>
      </c>
      <c r="X23">
        <v>0</v>
      </c>
      <c r="Y23">
        <v>0</v>
      </c>
    </row>
    <row r="24" spans="1:25" x14ac:dyDescent="0.2">
      <c r="A24" t="s">
        <v>185</v>
      </c>
      <c r="B24" t="s">
        <v>186</v>
      </c>
      <c r="C24" t="s">
        <v>187</v>
      </c>
      <c r="D24" t="s">
        <v>188</v>
      </c>
      <c r="E24" t="s">
        <v>189</v>
      </c>
      <c r="F24" t="s">
        <v>190</v>
      </c>
      <c r="G24" t="b">
        <v>1</v>
      </c>
      <c r="H24" t="b">
        <v>1</v>
      </c>
      <c r="I24" t="b">
        <v>1</v>
      </c>
      <c r="J24">
        <v>170052</v>
      </c>
      <c r="K24">
        <v>2</v>
      </c>
      <c r="L24">
        <v>5464.51</v>
      </c>
      <c r="M24">
        <v>5612.13</v>
      </c>
      <c r="N24">
        <v>5493.25</v>
      </c>
      <c r="O24">
        <v>0.06</v>
      </c>
      <c r="P24">
        <v>0.67</v>
      </c>
      <c r="Q24">
        <v>0.74</v>
      </c>
      <c r="R24">
        <v>0.98</v>
      </c>
      <c r="S24" t="s">
        <v>31</v>
      </c>
      <c r="T24" t="s">
        <v>191</v>
      </c>
      <c r="U24" t="s">
        <v>126</v>
      </c>
      <c r="V24">
        <v>1</v>
      </c>
      <c r="W24">
        <v>1</v>
      </c>
      <c r="X24">
        <v>1</v>
      </c>
      <c r="Y24">
        <v>0.42666666666666658</v>
      </c>
    </row>
    <row r="25" spans="1:25" x14ac:dyDescent="0.2">
      <c r="A25" t="s">
        <v>192</v>
      </c>
      <c r="B25" t="s">
        <v>193</v>
      </c>
      <c r="C25" t="s">
        <v>194</v>
      </c>
      <c r="D25" t="s">
        <v>195</v>
      </c>
      <c r="E25" t="s">
        <v>196</v>
      </c>
      <c r="F25" t="s">
        <v>197</v>
      </c>
      <c r="G25" t="b">
        <v>1</v>
      </c>
      <c r="H25" t="b">
        <v>1</v>
      </c>
      <c r="I25" t="b">
        <v>1</v>
      </c>
      <c r="J25">
        <v>736</v>
      </c>
      <c r="K25">
        <v>3</v>
      </c>
      <c r="L25">
        <v>52.57</v>
      </c>
      <c r="M25">
        <v>54.9</v>
      </c>
      <c r="N25">
        <v>53.34</v>
      </c>
      <c r="O25">
        <v>0.08</v>
      </c>
      <c r="P25">
        <v>0.77</v>
      </c>
      <c r="Q25">
        <v>0.82</v>
      </c>
      <c r="R25">
        <v>0.89</v>
      </c>
      <c r="S25" t="s">
        <v>148</v>
      </c>
      <c r="T25" t="s">
        <v>198</v>
      </c>
      <c r="U25" t="s">
        <v>214</v>
      </c>
      <c r="V25">
        <v>1</v>
      </c>
      <c r="W25">
        <v>0.66666666666666674</v>
      </c>
      <c r="X25">
        <v>0.83333333333333337</v>
      </c>
      <c r="Y25">
        <v>0.36444444444444452</v>
      </c>
    </row>
    <row r="26" spans="1:25" x14ac:dyDescent="0.2">
      <c r="A26" t="s">
        <v>199</v>
      </c>
      <c r="B26" t="s">
        <v>200</v>
      </c>
      <c r="C26" t="s">
        <v>201</v>
      </c>
      <c r="D26" t="s">
        <v>202</v>
      </c>
      <c r="E26" t="s">
        <v>203</v>
      </c>
      <c r="F26" t="s">
        <v>204</v>
      </c>
      <c r="G26" t="b">
        <v>1</v>
      </c>
      <c r="H26" t="b">
        <v>1</v>
      </c>
      <c r="I26" t="b">
        <v>1</v>
      </c>
      <c r="J26">
        <v>502</v>
      </c>
      <c r="K26">
        <v>6</v>
      </c>
      <c r="L26">
        <v>324.32</v>
      </c>
      <c r="M26">
        <v>366.01</v>
      </c>
      <c r="N26">
        <v>336.54</v>
      </c>
      <c r="O26">
        <v>0</v>
      </c>
      <c r="P26">
        <v>0.75</v>
      </c>
      <c r="Q26">
        <v>0.76</v>
      </c>
      <c r="R26">
        <v>0.98</v>
      </c>
      <c r="S26" t="s">
        <v>205</v>
      </c>
      <c r="T26" t="s">
        <v>206</v>
      </c>
      <c r="U26" t="s">
        <v>214</v>
      </c>
      <c r="V26">
        <v>1</v>
      </c>
      <c r="W26">
        <v>0.66666666666666674</v>
      </c>
      <c r="X26">
        <v>0.83333333333333337</v>
      </c>
      <c r="Y26">
        <v>0.32111111111111112</v>
      </c>
    </row>
    <row r="27" spans="1:25" x14ac:dyDescent="0.2">
      <c r="A27" t="s">
        <v>207</v>
      </c>
      <c r="B27" t="s">
        <v>208</v>
      </c>
      <c r="C27" t="s">
        <v>209</v>
      </c>
      <c r="D27" t="s">
        <v>210</v>
      </c>
      <c r="E27" t="s">
        <v>211</v>
      </c>
      <c r="F27" t="s">
        <v>212</v>
      </c>
      <c r="G27" t="b">
        <v>1</v>
      </c>
      <c r="H27" t="b">
        <v>1</v>
      </c>
      <c r="I27" t="b">
        <v>1</v>
      </c>
      <c r="J27">
        <v>96</v>
      </c>
      <c r="K27">
        <v>2</v>
      </c>
      <c r="L27">
        <v>1733.41</v>
      </c>
      <c r="M27">
        <v>1807.31</v>
      </c>
      <c r="N27">
        <v>1748.1</v>
      </c>
      <c r="O27">
        <v>0.03</v>
      </c>
      <c r="P27">
        <v>0.7</v>
      </c>
      <c r="Q27">
        <v>0.78</v>
      </c>
      <c r="R27">
        <v>0.89</v>
      </c>
      <c r="S27" t="s">
        <v>31</v>
      </c>
      <c r="T27" t="s">
        <v>213</v>
      </c>
      <c r="U27" t="s">
        <v>214</v>
      </c>
      <c r="V27">
        <v>1</v>
      </c>
      <c r="W27">
        <v>1</v>
      </c>
      <c r="X27">
        <v>1</v>
      </c>
      <c r="Y27">
        <v>0.52833333333333332</v>
      </c>
    </row>
    <row r="28" spans="1:25" x14ac:dyDescent="0.2">
      <c r="A28" t="s">
        <v>215</v>
      </c>
      <c r="B28" t="s">
        <v>216</v>
      </c>
      <c r="C28" t="s">
        <v>217</v>
      </c>
      <c r="D28" t="s">
        <v>218</v>
      </c>
      <c r="E28" t="s">
        <v>219</v>
      </c>
      <c r="F28" t="s">
        <v>220</v>
      </c>
      <c r="G28" t="b">
        <v>1</v>
      </c>
      <c r="H28" t="b">
        <v>1</v>
      </c>
      <c r="I28" t="b">
        <v>1</v>
      </c>
      <c r="J28">
        <v>1</v>
      </c>
      <c r="K28">
        <v>3</v>
      </c>
      <c r="L28">
        <v>8.24</v>
      </c>
      <c r="M28">
        <v>9.73</v>
      </c>
      <c r="N28">
        <v>8.56</v>
      </c>
      <c r="O28">
        <v>0.06</v>
      </c>
      <c r="P28">
        <v>0.69</v>
      </c>
      <c r="Q28">
        <v>0.73</v>
      </c>
      <c r="R28">
        <v>1</v>
      </c>
      <c r="S28" t="s">
        <v>221</v>
      </c>
      <c r="T28" t="s">
        <v>222</v>
      </c>
      <c r="U28" t="s">
        <v>214</v>
      </c>
      <c r="V28">
        <v>1</v>
      </c>
      <c r="W28">
        <v>0.66666666666666674</v>
      </c>
      <c r="X28">
        <v>0.83333333333333337</v>
      </c>
      <c r="Y28">
        <v>0.1111111111111111</v>
      </c>
    </row>
    <row r="29" spans="1:25" x14ac:dyDescent="0.2">
      <c r="A29" t="s">
        <v>223</v>
      </c>
      <c r="B29" t="s">
        <v>224</v>
      </c>
      <c r="C29" t="s">
        <v>225</v>
      </c>
      <c r="D29" t="s">
        <v>226</v>
      </c>
      <c r="E29" t="s">
        <v>227</v>
      </c>
      <c r="F29" t="s">
        <v>228</v>
      </c>
      <c r="G29" t="b">
        <v>1</v>
      </c>
      <c r="H29" t="b">
        <v>1</v>
      </c>
      <c r="I29" t="b">
        <v>1</v>
      </c>
      <c r="J29">
        <v>309</v>
      </c>
      <c r="K29">
        <v>3</v>
      </c>
      <c r="L29">
        <v>39.64</v>
      </c>
      <c r="M29">
        <v>43.62</v>
      </c>
      <c r="N29">
        <v>38.19</v>
      </c>
      <c r="O29">
        <v>0</v>
      </c>
      <c r="P29">
        <v>0.75</v>
      </c>
      <c r="Q29">
        <v>0.74</v>
      </c>
      <c r="R29">
        <v>0.85</v>
      </c>
      <c r="S29" t="s">
        <v>31</v>
      </c>
      <c r="T29" t="s">
        <v>229</v>
      </c>
      <c r="U29" t="s">
        <v>214</v>
      </c>
      <c r="V29">
        <v>1</v>
      </c>
      <c r="W29">
        <v>1</v>
      </c>
      <c r="X29">
        <v>1</v>
      </c>
      <c r="Y29">
        <v>0.53888888888888886</v>
      </c>
    </row>
    <row r="30" spans="1:25" x14ac:dyDescent="0.2">
      <c r="A30" t="s">
        <v>230</v>
      </c>
      <c r="B30" t="s">
        <v>231</v>
      </c>
      <c r="C30" t="s">
        <v>232</v>
      </c>
      <c r="D30" t="s">
        <v>233</v>
      </c>
      <c r="E30" t="s">
        <v>234</v>
      </c>
      <c r="F30" t="s">
        <v>235</v>
      </c>
      <c r="G30" t="b">
        <v>1</v>
      </c>
      <c r="H30" t="b">
        <v>1</v>
      </c>
      <c r="I30" t="b">
        <v>1</v>
      </c>
      <c r="J30">
        <v>3930</v>
      </c>
      <c r="K30">
        <v>3</v>
      </c>
      <c r="L30">
        <v>202.26</v>
      </c>
      <c r="M30">
        <v>204.79</v>
      </c>
      <c r="N30">
        <v>201.31</v>
      </c>
      <c r="O30">
        <v>0</v>
      </c>
      <c r="P30">
        <v>0.66</v>
      </c>
      <c r="Q30">
        <v>0.76</v>
      </c>
      <c r="R30">
        <v>0.92</v>
      </c>
      <c r="S30" t="s">
        <v>31</v>
      </c>
      <c r="T30" t="s">
        <v>236</v>
      </c>
      <c r="U30" t="s">
        <v>214</v>
      </c>
      <c r="V30">
        <v>1</v>
      </c>
      <c r="W30">
        <v>1</v>
      </c>
      <c r="X30">
        <v>1</v>
      </c>
      <c r="Y30">
        <v>0.47333333333333327</v>
      </c>
    </row>
    <row r="31" spans="1:25" x14ac:dyDescent="0.2">
      <c r="A31" t="s">
        <v>237</v>
      </c>
      <c r="B31" t="s">
        <v>238</v>
      </c>
      <c r="C31" t="s">
        <v>239</v>
      </c>
      <c r="D31" t="s">
        <v>240</v>
      </c>
      <c r="E31" t="s">
        <v>241</v>
      </c>
      <c r="F31" t="s">
        <v>242</v>
      </c>
      <c r="G31" t="b">
        <v>0</v>
      </c>
      <c r="H31" t="b">
        <v>0</v>
      </c>
      <c r="I31" t="b">
        <v>0</v>
      </c>
      <c r="J31">
        <v>0</v>
      </c>
      <c r="K31">
        <v>0</v>
      </c>
      <c r="O31">
        <v>0</v>
      </c>
      <c r="P31">
        <v>0</v>
      </c>
      <c r="Q31">
        <v>0</v>
      </c>
      <c r="R31">
        <v>0</v>
      </c>
      <c r="S31" t="s">
        <v>31</v>
      </c>
      <c r="T31" t="s">
        <v>31</v>
      </c>
      <c r="U31" t="s">
        <v>214</v>
      </c>
      <c r="V31">
        <v>0</v>
      </c>
      <c r="W31">
        <v>0</v>
      </c>
      <c r="X31">
        <v>0</v>
      </c>
      <c r="Y31">
        <v>0</v>
      </c>
    </row>
    <row r="32" spans="1:25" x14ac:dyDescent="0.2">
      <c r="A32" t="s">
        <v>243</v>
      </c>
      <c r="B32" t="s">
        <v>244</v>
      </c>
      <c r="C32" t="s">
        <v>245</v>
      </c>
      <c r="D32" t="s">
        <v>246</v>
      </c>
      <c r="E32" t="s">
        <v>247</v>
      </c>
      <c r="F32" t="s">
        <v>248</v>
      </c>
      <c r="G32" t="b">
        <v>1</v>
      </c>
      <c r="H32" t="b">
        <v>1</v>
      </c>
      <c r="I32" t="b">
        <v>1</v>
      </c>
      <c r="J32">
        <v>391</v>
      </c>
      <c r="K32">
        <v>7</v>
      </c>
      <c r="L32">
        <v>60.23</v>
      </c>
      <c r="M32">
        <v>68.36</v>
      </c>
      <c r="N32">
        <v>61.3</v>
      </c>
      <c r="O32">
        <v>0</v>
      </c>
      <c r="P32">
        <v>0.74</v>
      </c>
      <c r="Q32">
        <v>0.81</v>
      </c>
      <c r="R32">
        <v>0.91</v>
      </c>
      <c r="S32" t="s">
        <v>249</v>
      </c>
      <c r="T32" t="s">
        <v>250</v>
      </c>
      <c r="U32" t="s">
        <v>214</v>
      </c>
      <c r="V32">
        <v>1</v>
      </c>
      <c r="W32">
        <v>0.5714285714285714</v>
      </c>
      <c r="X32">
        <v>0.7857142857142857</v>
      </c>
      <c r="Y32">
        <v>0.17476190476190481</v>
      </c>
    </row>
    <row r="33" spans="1:25" x14ac:dyDescent="0.2">
      <c r="A33" t="s">
        <v>251</v>
      </c>
      <c r="B33" t="s">
        <v>252</v>
      </c>
      <c r="C33" t="s">
        <v>253</v>
      </c>
      <c r="D33" t="s">
        <v>254</v>
      </c>
      <c r="E33" t="s">
        <v>255</v>
      </c>
      <c r="F33" t="s">
        <v>256</v>
      </c>
      <c r="G33" t="b">
        <v>0</v>
      </c>
      <c r="H33" t="b">
        <v>0</v>
      </c>
      <c r="I33" t="b">
        <v>0</v>
      </c>
      <c r="J33">
        <v>0</v>
      </c>
      <c r="K33">
        <v>0</v>
      </c>
      <c r="O33">
        <v>0</v>
      </c>
      <c r="P33">
        <v>0</v>
      </c>
      <c r="Q33">
        <v>0</v>
      </c>
      <c r="R33">
        <v>0</v>
      </c>
      <c r="S33" t="s">
        <v>31</v>
      </c>
      <c r="T33" t="s">
        <v>31</v>
      </c>
      <c r="U33" t="s">
        <v>214</v>
      </c>
      <c r="V33">
        <v>0</v>
      </c>
      <c r="W33">
        <v>0</v>
      </c>
      <c r="X33">
        <v>0</v>
      </c>
      <c r="Y33">
        <v>0</v>
      </c>
    </row>
    <row r="34" spans="1:25" x14ac:dyDescent="0.2">
      <c r="A34" t="s">
        <v>257</v>
      </c>
      <c r="B34" t="s">
        <v>258</v>
      </c>
      <c r="C34" t="s">
        <v>259</v>
      </c>
      <c r="D34" t="s">
        <v>260</v>
      </c>
      <c r="E34" t="s">
        <v>261</v>
      </c>
      <c r="F34" t="s">
        <v>262</v>
      </c>
      <c r="G34" t="b">
        <v>1</v>
      </c>
      <c r="H34" t="b">
        <v>0</v>
      </c>
      <c r="I34" t="b">
        <v>1</v>
      </c>
      <c r="J34">
        <v>0</v>
      </c>
      <c r="K34">
        <v>4</v>
      </c>
      <c r="L34">
        <v>24632.75</v>
      </c>
      <c r="M34">
        <v>26181.43</v>
      </c>
      <c r="N34">
        <v>25044.46</v>
      </c>
      <c r="O34">
        <v>0.06</v>
      </c>
      <c r="P34">
        <v>0.68</v>
      </c>
      <c r="Q34">
        <v>0.8</v>
      </c>
      <c r="S34" t="s">
        <v>263</v>
      </c>
      <c r="T34" t="s">
        <v>264</v>
      </c>
      <c r="U34" t="s">
        <v>214</v>
      </c>
      <c r="V34">
        <v>1</v>
      </c>
      <c r="W34">
        <v>0</v>
      </c>
      <c r="X34">
        <v>0.5</v>
      </c>
      <c r="Y34">
        <v>0.33333333333333331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269</v>
      </c>
      <c r="B1" s="2" t="s">
        <v>270</v>
      </c>
      <c r="C1" s="2" t="s">
        <v>271</v>
      </c>
      <c r="D1" s="2" t="s">
        <v>272</v>
      </c>
    </row>
    <row r="2" spans="1:4" x14ac:dyDescent="0.2">
      <c r="A2" t="str" cm="1">
        <f t="array" ref="A2:A4">_xlfn.UNIQUE(All!U2:U34)</f>
        <v>simple</v>
      </c>
      <c r="B2">
        <f>COUNTIF(All!U2:U34,Filter!A2)</f>
        <v>12</v>
      </c>
      <c r="C2">
        <f>COUNTIFS(All!$G:$G, TRUE, All!$U:$U, A2)</f>
        <v>12</v>
      </c>
      <c r="D2">
        <f>COUNTIFS(All!$G:$G, TRUE,
          All!$H:$H, TRUE,
          All!$I:$I, TRUE,
          All!$U:$U, A2)</f>
        <v>11</v>
      </c>
    </row>
    <row r="3" spans="1:4" x14ac:dyDescent="0.2">
      <c r="A3" t="str">
        <v>moderate</v>
      </c>
      <c r="B3">
        <f>COUNTIF(All!U3:U35,Filter!A3)</f>
        <v>11</v>
      </c>
      <c r="C3">
        <f>COUNTIFS(All!$G:$G, TRUE, All!$U:$U, A3)</f>
        <v>10</v>
      </c>
      <c r="D3">
        <f>COUNTIFS(All!$G:$G, TRUE,
          All!$H:$H, TRUE,
          All!$I:$I, TRUE,
          All!$U:$U, A3)</f>
        <v>8</v>
      </c>
    </row>
    <row r="4" spans="1:4" x14ac:dyDescent="0.2">
      <c r="A4" t="str">
        <v>complex</v>
      </c>
      <c r="B4">
        <f>COUNTIF(All!U4:U36,Filter!A4)</f>
        <v>10</v>
      </c>
      <c r="C4">
        <f>COUNTIFS(All!$G:$G, TRUE, All!$U:$U, A4)</f>
        <v>8</v>
      </c>
      <c r="D4">
        <f>COUNTIFS(All!$G:$G, TRUE,
          All!$H:$H, TRUE,
          All!$I:$I, TRUE,
          All!$U:$U, A4)</f>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265</v>
      </c>
      <c r="P1" s="1" t="s">
        <v>266</v>
      </c>
      <c r="Q1" s="1" t="s">
        <v>267</v>
      </c>
    </row>
    <row r="2" spans="1:17" x14ac:dyDescent="0.2">
      <c r="A2" t="s">
        <v>33</v>
      </c>
      <c r="B2" s="3">
        <f>AVERAGEIFS(All!$J:$J,
            All!$G:$G, TRUE,
            All!$H:$H, TRUE,
            All!$I:$I, TRUE,
            All!$U:$U, A2)</f>
        <v>10956.363636363636</v>
      </c>
      <c r="C2" s="3">
        <f>AVERAGEIFS(All!K:K,
            All!$G:$G, TRUE,
            All!$H:$H, TRUE,
            All!$I:$I, TRUE,
            All!$U:$U, $A2)</f>
        <v>2.1818181818181817</v>
      </c>
      <c r="D2" s="3">
        <f>AVERAGEIFS(All!L:L,
            All!$G:$G, TRUE,
            All!$H:$H, TRUE,
            All!$I:$I, TRUE,
            All!$U:$U, $A2)</f>
        <v>3876.9081818181821</v>
      </c>
      <c r="E2" s="3">
        <f>AVERAGEIFS(All!M:M,
            All!$G:$G, TRUE,
            All!$H:$H, TRUE,
            All!$I:$I, TRUE,
            All!$U:$U, $A2)</f>
        <v>4024.6172727272728</v>
      </c>
      <c r="F2" s="3">
        <f>AVERAGEIFS(All!N:N,
            All!$G:$G, TRUE,
            All!$H:$H, TRUE,
            All!$I:$I, TRUE,
            All!$U:$U, $A2)</f>
        <v>3776.4345454545455</v>
      </c>
      <c r="G2" s="3">
        <f>AVERAGEIFS(All!O:O,
            All!$G:$G, TRUE,
            All!$H:$H, TRUE,
            All!$I:$I, TRUE,
            All!$U:$U, $A2)</f>
        <v>3.2727272727272723E-2</v>
      </c>
      <c r="H2" s="3">
        <f>AVERAGEIFS(All!P:P,
            All!$G:$G, TRUE,
            All!$H:$H, TRUE,
            All!$I:$I, TRUE,
            All!$U:$U, $A2)</f>
        <v>0.70909090909090911</v>
      </c>
      <c r="I2" s="3">
        <f>AVERAGEIFS(All!Q:Q,
            All!$G:$G, TRUE,
            All!$H:$H, TRUE,
            All!$I:$I, TRUE,
            All!$U:$U, $A2)</f>
        <v>0.76727272727272722</v>
      </c>
      <c r="J2" s="3">
        <f>AVERAGEIFS(All!R:R,
            All!$G:$G, TRUE,
            All!$H:$H, TRUE,
            All!$I:$I, TRUE,
            All!$U:$U, $A2)</f>
        <v>0.88818181818181818</v>
      </c>
      <c r="K2" s="3">
        <f>AVERAGEIFS(All!V:V,
            All!$G:$G, TRUE,
            All!$H:$H, TRUE,
            All!$I:$I, TRUE,
            All!$U:$U, $A2)</f>
        <v>1</v>
      </c>
      <c r="L2" s="3">
        <f>AVERAGEIFS(All!W:W,
            All!$G:$G, TRUE,
            All!$H:$H, TRUE,
            All!$I:$I, TRUE,
            All!$U:$U, $A2)</f>
        <v>1</v>
      </c>
      <c r="M2" s="3">
        <f>AVERAGEIFS(All!X:X,
            All!$G:$G, TRUE,
            All!$H:$H, TRUE,
            All!$I:$I, TRUE,
            All!$U:$U, $A2)</f>
        <v>1</v>
      </c>
      <c r="N2" s="3">
        <f>AVERAGEIFS(All!Y:Y,
            All!$G:$G, TRUE,
            All!$H:$H, TRUE,
            All!$I:$I, TRUE,
            All!$U:$U, $A2)</f>
        <v>0.29128787878787876</v>
      </c>
      <c r="O2" s="3">
        <f>COUNTIFS(All!G:G,TRUE,All!$U:$U,$A2)/COUNTIF(All!$U2:$U34,Filter!$A2)</f>
        <v>1</v>
      </c>
      <c r="P2" s="3">
        <f>COUNTIFS(All!H:H,TRUE,All!$U:$U,$A2)/COUNTIF(All!$U2:$U34,Filter!$A2)</f>
        <v>0.91666666666666663</v>
      </c>
      <c r="Q2" s="3">
        <f>COUNTIFS(All!I:I,TRUE,All!$U:$U,$A2)/COUNTIF(All!$U2:$U34,Filter!$A2)</f>
        <v>1</v>
      </c>
    </row>
    <row r="3" spans="1:17" x14ac:dyDescent="0.2">
      <c r="A3" t="s">
        <v>126</v>
      </c>
      <c r="B3" s="3">
        <f>AVERAGEIFS(All!$J:$J,
            All!$G:$G, TRUE,
            All!$H:$H, TRUE,
            All!$I:$I, TRUE,
            All!$U:$U, A3)</f>
        <v>21981</v>
      </c>
      <c r="C3" s="3">
        <f>AVERAGEIFS(All!K:K,
            All!$G:$G, TRUE,
            All!$H:$H, TRUE,
            All!$I:$I, TRUE,
            All!$U:$U, $A3)</f>
        <v>2.25</v>
      </c>
      <c r="D3" s="3">
        <f>AVERAGEIFS(All!L:L,
            All!$G:$G, TRUE,
            All!$H:$H, TRUE,
            All!$I:$I, TRUE,
            All!$U:$U, $A3)</f>
        <v>1343.0237500000001</v>
      </c>
      <c r="E3" s="3">
        <f>AVERAGEIFS(All!M:M,
            All!$G:$G, TRUE,
            All!$H:$H, TRUE,
            All!$I:$I, TRUE,
            All!$U:$U, $A3)</f>
        <v>1600.7087500000002</v>
      </c>
      <c r="F3" s="3">
        <f>AVERAGEIFS(All!N:N,
            All!$G:$G, TRUE,
            All!$H:$H, TRUE,
            All!$I:$I, TRUE,
            All!$U:$U, $A3)</f>
        <v>1419.0475000000001</v>
      </c>
      <c r="G3" s="3">
        <f>AVERAGEIFS(All!O:O,
            All!$G:$G, TRUE,
            All!$H:$H, TRUE,
            All!$I:$I, TRUE,
            All!$U:$U, $A3)</f>
        <v>7.8750000000000014E-2</v>
      </c>
      <c r="H3" s="3">
        <f>AVERAGEIFS(All!P:P,
            All!$G:$G, TRUE,
            All!$H:$H, TRUE,
            All!$I:$I, TRUE,
            All!$U:$U, $A3)</f>
        <v>0.69375000000000009</v>
      </c>
      <c r="I3" s="3">
        <f>AVERAGEIFS(All!Q:Q,
            All!$G:$G, TRUE,
            All!$H:$H, TRUE,
            All!$I:$I, TRUE,
            All!$U:$U, $A3)</f>
        <v>0.77374999999999994</v>
      </c>
      <c r="J3" s="3">
        <f>AVERAGEIFS(All!R:R,
            All!$G:$G, TRUE,
            All!$H:$H, TRUE,
            All!$I:$I, TRUE,
            All!$U:$U, $A3)</f>
        <v>0.86499999999999999</v>
      </c>
      <c r="K3" s="3">
        <f>AVERAGEIFS(All!V:V,
            All!$G:$G, TRUE,
            All!$H:$H, TRUE,
            All!$I:$I, TRUE,
            All!$U:$U, $A3)</f>
        <v>1</v>
      </c>
      <c r="L3" s="3">
        <f>AVERAGEIFS(All!W:W,
            All!$G:$G, TRUE,
            All!$H:$H, TRUE,
            All!$I:$I, TRUE,
            All!$U:$U, $A3)</f>
        <v>0.96875</v>
      </c>
      <c r="M3" s="3">
        <f>AVERAGEIFS(All!X:X,
            All!$G:$G, TRUE,
            All!$H:$H, TRUE,
            All!$I:$I, TRUE,
            All!$U:$U, $A3)</f>
        <v>0.984375</v>
      </c>
      <c r="N3" s="3">
        <f>AVERAGEIFS(All!Y:Y,
            All!$G:$G, TRUE,
            All!$H:$H, TRUE,
            All!$I:$I, TRUE,
            All!$U:$U, $A3)</f>
        <v>0.43135416666666665</v>
      </c>
      <c r="O3" s="3">
        <f>COUNTIFS(All!G:G,TRUE,All!$U:$U,$A3)/COUNTIF(All!$U3:$U35,Filter!$A3)</f>
        <v>0.90909090909090906</v>
      </c>
      <c r="P3" s="3">
        <f>COUNTIFS(All!H:H,TRUE,All!$U:$U,$A3)/COUNTIF(All!$U3:$U35,Filter!$A3)</f>
        <v>0.72727272727272729</v>
      </c>
      <c r="Q3" s="3">
        <f>COUNTIFS(All!I:I,TRUE,All!$U:$U,$A3)/COUNTIF(All!$U3:$U35,Filter!$A3)</f>
        <v>0.90909090909090906</v>
      </c>
    </row>
    <row r="4" spans="1:17" x14ac:dyDescent="0.2">
      <c r="A4" t="s">
        <v>214</v>
      </c>
      <c r="B4" s="3">
        <f>AVERAGEIFS(All!$J:$J,
            All!$G:$G, TRUE,
            All!$H:$H, TRUE,
            All!$I:$I, TRUE,
            All!$U:$U, A4)</f>
        <v>852.14285714285711</v>
      </c>
      <c r="C4" s="3">
        <f>AVERAGEIFS(All!K:K,
            All!$G:$G, TRUE,
            All!$H:$H, TRUE,
            All!$I:$I, TRUE,
            All!$U:$U, $A4)</f>
        <v>3.8571428571428572</v>
      </c>
      <c r="D4" s="3">
        <f>AVERAGEIFS(All!L:L,
            All!$G:$G, TRUE,
            All!$H:$H, TRUE,
            All!$I:$I, TRUE,
            All!$U:$U, $A4)</f>
        <v>345.80999999999995</v>
      </c>
      <c r="E4" s="3">
        <f>AVERAGEIFS(All!M:M,
            All!$G:$G, TRUE,
            All!$H:$H, TRUE,
            All!$I:$I, TRUE,
            All!$U:$U, $A4)</f>
        <v>364.96</v>
      </c>
      <c r="F4" s="3">
        <f>AVERAGEIFS(All!N:N,
            All!$G:$G, TRUE,
            All!$H:$H, TRUE,
            All!$I:$I, TRUE,
            All!$U:$U, $A4)</f>
        <v>349.62</v>
      </c>
      <c r="G4" s="3">
        <f>AVERAGEIFS(All!O:O,
            All!$G:$G, TRUE,
            All!$H:$H, TRUE,
            All!$I:$I, TRUE,
            All!$U:$U, $A4)</f>
        <v>2.4285714285714282E-2</v>
      </c>
      <c r="H4" s="3">
        <f>AVERAGEIFS(All!P:P,
            All!$G:$G, TRUE,
            All!$H:$H, TRUE,
            All!$I:$I, TRUE,
            All!$U:$U, $A4)</f>
        <v>0.72285714285714275</v>
      </c>
      <c r="I4" s="3">
        <f>AVERAGEIFS(All!Q:Q,
            All!$G:$G, TRUE,
            All!$H:$H, TRUE,
            All!$I:$I, TRUE,
            All!$U:$U, $A4)</f>
        <v>0.77142857142857146</v>
      </c>
      <c r="J4" s="3">
        <f>AVERAGEIFS(All!R:R,
            All!$G:$G, TRUE,
            All!$H:$H, TRUE,
            All!$I:$I, TRUE,
            All!$U:$U, $A4)</f>
        <v>0.92</v>
      </c>
      <c r="K4" s="3">
        <f>AVERAGEIFS(All!V:V,
            All!$G:$G, TRUE,
            All!$H:$H, TRUE,
            All!$I:$I, TRUE,
            All!$U:$U, $A4)</f>
        <v>1</v>
      </c>
      <c r="L4" s="3">
        <f>AVERAGEIFS(All!W:W,
            All!$G:$G, TRUE,
            All!$H:$H, TRUE,
            All!$I:$I, TRUE,
            All!$U:$U, $A4)</f>
        <v>0.79591836734693877</v>
      </c>
      <c r="M4" s="3">
        <f>AVERAGEIFS(All!X:X,
            All!$G:$G, TRUE,
            All!$H:$H, TRUE,
            All!$I:$I, TRUE,
            All!$U:$U, $A4)</f>
        <v>0.89795918367346939</v>
      </c>
      <c r="N4" s="3">
        <f>AVERAGEIFS(All!Y:Y,
            All!$G:$G, TRUE,
            All!$H:$H, TRUE,
            All!$I:$I, TRUE,
            All!$U:$U, $A4)</f>
        <v>0.35885487528344667</v>
      </c>
      <c r="O4" s="3">
        <f>COUNTIFS(All!G:G,TRUE,All!$U:$U,$A4)/COUNTIF(All!$U4:$U36,Filter!$A4)</f>
        <v>0.8</v>
      </c>
      <c r="P4" s="3">
        <f>COUNTIFS(All!H:H,TRUE,All!$U:$U,$A4)/COUNTIF(All!$U4:$U36,Filter!$A4)</f>
        <v>0.7</v>
      </c>
      <c r="Q4" s="3">
        <f>COUNTIFS(All!I:I,TRUE,All!$U:$U,$A4)/COUNTIF(All!$U4:$U36,Filter!$A4)</f>
        <v>0.8</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265</v>
      </c>
      <c r="P1" s="4" t="s">
        <v>266</v>
      </c>
      <c r="Q1" s="4" t="s">
        <v>267</v>
      </c>
    </row>
    <row r="2" spans="1:17" x14ac:dyDescent="0.2">
      <c r="A2" s="3" t="s">
        <v>268</v>
      </c>
      <c r="B2" s="3">
        <f>AVERAGEIFS(All!J:J,All!$G:$G, TRUE,All!$H:$H, TRUE,All!$I:$I, TRUE)</f>
        <v>11628.192307692309</v>
      </c>
      <c r="C2" s="3">
        <f>AVERAGEIFS(All!K:K,All!$G:$G, TRUE,All!$H:$H, TRUE,All!$I:$I, TRUE)</f>
        <v>2.6538461538461537</v>
      </c>
      <c r="D2" s="3">
        <f>AVERAGEIFS(All!L:L,All!$G:$G, TRUE,All!$H:$H, TRUE,All!$I:$I, TRUE)</f>
        <v>2146.5711538461542</v>
      </c>
      <c r="E2" s="3">
        <f>AVERAGEIFS(All!M:M,All!$G:$G, TRUE,All!$H:$H, TRUE,All!$I:$I, TRUE)</f>
        <v>2293.5069230769232</v>
      </c>
      <c r="F2" s="3">
        <f>AVERAGEIFS(All!N:N,All!$G:$G, TRUE,All!$H:$H, TRUE,All!$I:$I, TRUE)</f>
        <v>2128.4807692307691</v>
      </c>
      <c r="G2" s="3">
        <f>AVERAGEIFS(All!O:O,All!$G:$G, TRUE,All!$H:$H, TRUE,All!$I:$I, TRUE)</f>
        <v>4.4615384615384626E-2</v>
      </c>
      <c r="H2" s="3">
        <f>AVERAGEIFS(All!P:P,All!$G:$G, TRUE,All!$H:$H, TRUE,All!$I:$I, TRUE)</f>
        <v>0.70807692307692294</v>
      </c>
      <c r="I2" s="3">
        <f>AVERAGEIFS(All!Q:Q,All!$G:$G, TRUE,All!$H:$H, TRUE,All!$I:$I, TRUE)</f>
        <v>0.77038461538461545</v>
      </c>
      <c r="J2" s="3">
        <f>AVERAGEIFS(All!R:R,All!$G:$G, TRUE,All!$H:$H, TRUE,All!$I:$I, TRUE)</f>
        <v>0.88961538461538481</v>
      </c>
      <c r="K2" s="3">
        <f>AVERAGEIFS(All!V:V,All!$G:$G, TRUE,All!$H:$H, TRUE,All!$I:$I, TRUE)</f>
        <v>1</v>
      </c>
      <c r="L2" s="3">
        <f>AVERAGEIFS(All!W:W,All!$G:$G, TRUE,All!$H:$H, TRUE,All!$I:$I, TRUE)</f>
        <v>0.93543956043956067</v>
      </c>
      <c r="M2" s="3">
        <f>AVERAGEIFS(All!X:X,All!$G:$G, TRUE,All!$H:$H, TRUE,All!$I:$I, TRUE)</f>
        <v>0.96771978021978</v>
      </c>
      <c r="N2" s="3">
        <f>AVERAGEIFS(All!Y:Y,All!$G:$G, TRUE,All!$H:$H, TRUE,All!$I:$I, TRUE)</f>
        <v>0.3525763125763125</v>
      </c>
      <c r="O2" s="3">
        <f>COUNTIFS(All!G:G,TRUE)/COUNTA(All!$U2:$U34)</f>
        <v>0.90909090909090906</v>
      </c>
      <c r="P2" s="3">
        <f>COUNTIFS(All!H:H,TRUE)/COUNTA(All!$U2:$U34)</f>
        <v>0.78787878787878785</v>
      </c>
      <c r="Q2" s="3">
        <f>COUNTIFS(All!I:I,TRUE)/COUNTA(All!$U2:$U34)</f>
        <v>0.90909090909090906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2025-11-27T18:34:28Z</dcterms:modified>
</cp:coreProperties>
</file>