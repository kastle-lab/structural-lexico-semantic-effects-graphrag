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13_ncr:1_{6A50AA22-9316-5946-8E1E-13E5DEA02D42}"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<sst xmlns="http://schemas.openxmlformats.org/spreadsheetml/2006/main" count="364" uniqueCount="279">
  <si>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</si>
  <si>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</si>
  <si>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</si>
  <si>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</si>
  <si>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</si>
  <si>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</si>
  <si>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</si>
  <si>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</si>
  <si>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</si>
  <si>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</si>
  <si>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</si>
  <si>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</si>
  <si>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</si>
  <si>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</si>
  <si>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</si>
  <si>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</si>
  <si>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</si>
  <si>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</si>
  <si>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</si>
  <si>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</si>
  <si>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</si>
  <si>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</si>
  <si>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</si>
  <si>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</si>
  <si>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</si>
  <si>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</si>
  <si>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</si>
  <si>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t>
  </si>
  <si>
    <t>simple</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</si>
  <si>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</si>
  <si>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</si>
  <si>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</si>
  <si>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</si>
  <si>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</si>
  <si>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</si>
  <si>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</si>
  <si>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</si>
  <si>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</si>
  <si>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</si>
  <si>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</si>
  <si>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</si>
  <si>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</si>
  <si>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</si>
  <si>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[{"var": "character", "rows": 1, "distinct": 1, "null_rate": 0.0, "label_resolution_rate": 1.0, "diversity_entropy_norm": -1.0, "semantic_cohesion": 1.0, "dup_ratio": 0.0, "bound_rate": 1.0}, {"var": "power", "rows": 1, "distinct": 1, "null_rate": 0.0, "label_resolution_rate": 1.0, "diversity_entropy_norm": -1.0, "semantic_cohesion": 1.0, "dup_ratio": 0.0, "bound_rate": 1.0}]</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</si>
  <si>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</si>
  <si>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</si>
  <si>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</si>
  <si>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</si>
  <si>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</si>
  <si>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</si>
  <si>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</si>
  <si>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</si>
  <si>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</si>
  <si>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</si>
  <si>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[{"var": "character", "rows": 1033, "distinct": 413, "null_rate": 0.0, "label_resolution_rate": 1.0, "diversity_entropy_norm": 0.86, "semantic_cohesion": 0.64, "dup_ratio": 0.6, "bound_rate": 1.0}, {"var": "movie", "rows": 1033, "distinct": 345, "null_rate": 0.0, "label_resolution_rate": 0.9636871508379888, "diversity_entropy_norm": 0.73, "semantic_cohesion": 0.61, "dup_ratio": 0.67, "bound_rate": 1.0}]</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</si>
  <si>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</si>
  <si>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</si>
  <si>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moderate</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</si>
  <si>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</si>
  <si>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</si>
  <si>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[{"var": "character", "rows": 432, "distinct": 33, "null_rate": 0.0, "label_resolution_rate": 1.0, "diversity_entropy_norm": 0.56, "semantic_cohesion": 0.73, "dup_ratio": 0.92, "bound_rate": 1.0}, {"var": "team", "rows": 432, "distinct": 127, "null_rate": 0.0, "label_resolution_rate": 1.0, "diversity_entropy_norm": 0.95, "semantic_cohesion": 0.56, "dup_ratio": 0.71, "bound_rate": 1.0}, {"var": "movie", "rows": 432, "distinct": 68, "null_rate": 0.0, "label_resolution_rate": 1.0, "diversity_entropy_norm": 0.84, "semantic_cohesion": 0.63, "dup_ratio": 0.84, "bound_rate": 1.0}]</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</si>
  <si>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</si>
  <si>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</si>
  <si>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["character", "power", "movie"]</t>
  </si>
  <si>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"movie", "rows": 0, "distinct": 0, "null_rate": 1.0, "label_resolution_rate": 0.0, "diversity_entropy_norm": 0.0, "semantic_cohesion": 1.0, "dup_ratio": 0.0, "bound_rate": 0.0}]</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</si>
  <si>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</si>
  <si>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</si>
  <si>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["movie"]</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</si>
  <si>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</si>
  <si>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</si>
  <si>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</si>
  <si>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</si>
  <si>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</si>
  <si>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</si>
  <si>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</si>
  <si>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</si>
  <si>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</si>
  <si>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</si>
  <si>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</si>
  <si>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</si>
  <si>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</si>
  <si>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</si>
  <si>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</si>
  <si>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</si>
  <si>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["movie", "movie"]</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</si>
  <si>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</si>
  <si>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</si>
  <si>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complex</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</si>
  <si>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</si>
  <si>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</si>
  <si>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["power"]</t>
  </si>
  <si>
    <t>[{"var": "character", "rows": 1, "distinct": 1, "null_rate": 0.0, "label_resolution_rate": 1.0, "diversity_entropy_norm": -1.0, "semantic_cohesion": 1.0, "dup_ratio": 0.0, "bound_rate": 1.0}, {"var": "power", "rows": 1, "distinct": 0, "null_rate": 1.0, "label_resolution_rate": 0.0, "diversity_entropy_norm": 0.0, "semantic_cohesion": 1.0, "dup_ratio": 0.0, "bound_rate": 0.0}, {"var": "powerCount", "rows": 1, "distinct": 1, "null_rate": 0.0, "label_resolution_rate": 1.0, "diversity_entropy_norm": -1.0, "semantic_cohesion": 1.0, "dup_ratio": 0.0, "bound_rate": 1.0}]</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</si>
  <si>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</si>
  <si>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</si>
  <si>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</si>
  <si>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</si>
  <si>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</si>
  <si>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</si>
  <si>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</si>
  <si>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</si>
  <si>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</si>
  <si>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</si>
  <si>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</si>
  <si>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</si>
  <si>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syntax_ok_rate</t>
  </si>
  <si>
    <t>satisfiable_rate</t>
  </si>
  <si>
    <t>deterministic_rate</t>
  </si>
  <si>
    <t>ALL</t>
  </si>
  <si>
    <t>Complexity</t>
  </si>
  <si>
    <t>Total</t>
  </si>
  <si>
    <t>Valid Syntax</t>
  </si>
  <si>
    <t>Valid all</t>
  </si>
  <si>
    <t>```sparql
PREFIX mc:   &lt;http://dbkwik.webdatacommons.org/marvel.wikia.com/class/&gt;
PREFIX rdfs: &lt;http://www.w3.org/2000/01/rdf-schema#&gt;
SELECT DISTINCT ?character ?label
WHERE {
  ?character a mc:character .
  OPTIONAL { ?character rdfs:label ?label }
}
```</t>
  </si>
  <si>
    <t>model='gpt-oss:120b' created_at='2025-11-19T19:43:03.212890881Z' done=True done_reason='stop' total_duration=157616133159 load_duration=73985143260 prompt_eval_count=92056 prompt_eval_duration=75108632512 eval_count=521 eval_duration=7709615369 message=Message(role='assistant', content='```sparql\nPREFIX mc:   &lt;http://dbkwik.webdatacommons.org/marvel.wikia.com/class/&gt;\nPREFIX rdfs: &lt;http://www.w3.org/2000/01/rdf-schema#&gt;\n\nSELECT DISTINCT ?character ?label\nWHERE {\n  ?character a mc:character .\n  OPTIONAL { ?character rdfs:label ?label }\n}\n```', thinking='The task: "Who are all the characters available?" Need to produce SPARQL query that retrieves all characters.\n\nWe need to look at schema to see what class denotes characters. In the data, there are many resources with types like &lt;http://dbkwik.webdatacommons.org/marvel.wikia.com/class/...&gt; but also maybe there is a class for characters.\n\nSearch for any type that looks like a character class. In the RDF, many resources have type statements like:\n\n&lt;http://dbkwik.webdatacommons.org/marvel.wikia.com/resource/Abc&gt; a &lt;http://dbkwik.webdatacommons.org/marvel.wikia.com/class/r&gt; ; rdfs:label ... So class "r". Many have class "m", "c", "a", etc.\n\nBut what indicates a "character"? Perhaps there is a class like "character" defined: indeed there is a class defined: &lt;http://dbkwik.webdatacommons.org/marvel.wikia.com/class/character&gt; a owl:Class ; rdfs:label "Character". So characters are instances of this class.\n\nSearch for any triples where something is a &lt;.../class/character&gt;. The snippet includes: &lt;http://dbkwik.webdatacommons.org/marvel.wikia.com/resource/N\'Baza_(Earth-616)&gt; a &lt;http://dbkwik.webdatacommons.org/marvel.wikia.com/class/character&gt; ; Yes.\n\nThus we need to query all subjects that have rdf:type that class.\n\nSo SPARQL query:\n\nSELECT ?character ?label WHERE {\n  ?character a &lt;http://dbkwik.webdatacommons.org/marvel.wikia.com/class/character&gt; .\n  OPTIONAL { ?character rdfs:label ?label . }\n}\n\nAdd prefixes for readability: prefix ns1 for property, but we need prefix for class: maybe define prefix mc: &lt;http://dbkwik.webdatacommons.org/marvel.wikia.com/class/&gt; and rdfs.\n\nThus final query.\n\nPotential also include distinct.\n\nThus answer: Provide query.\n\n',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</si>
  <si>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mc:   &lt;http://dbkwik.webdatacommons.org/marvel.wikia.com/class/&gt;
PREFIX rdfs: &lt;http://www.w3.org/2000/01/rdf-schema#&gt;
SELECT DISTINCT ?character ?label
WHERE {
  ?character a mc:character .
  OPTIONAL { ?character rdfs:label ?label }
}</t>
  </si>
  <si>
    <t>{
  "cq_text": "Who are all the characters available?",
  "syntax_ok": true,
  "satisfiable": true,
  "deterministic": true,
  "latency": {
    "p50_ms": 17.61,
    "p95_ms": 18.23,
    "mean_ms": 17.66
  },
  "rows": 1,
  "vars": 2,
  "always_unbound_vars": [],
  "lexical_query_overlap": 0.0,
  "semantic_similarity_to_CQ": 0.68,
  "semantic_soft_coverage_to_CQ": 0.74,
  "tuple_cohesion": 1.0,
  "variables": [
    {
      "var": "character",
      "rows": 1,
      "distinct": 1,
      "null_rate": 0.0,
      "label_resolution_rate": 1.0,
      "diversity_entropy_norm": -1.0,
      "semantic_cohesion": 1.0,
      "dup_ratio": 0.0,
      "bound_rate": 1.0
    },
    {
      "var": "label",
      "rows": 1,
      "distinct": 1,
      "null_rate": 0.0,
      "label_resolution_rate": 1.0,
      "diversity_entropy_norm": -1.0,
      "semantic_cohesion": 1.0,
      "dup_ratio": 0.0,
      "bound_rate": 1.0
    }
  ]
}</t>
  </si>
  <si>
    <t>[{"var": "character", "rows": 1, "distinct": 1, "null_rate": 0.0, "label_resolution_rate": 1.0, "diversity_entropy_norm": -1.0, "semantic_cohesion": 1.0, "dup_ratio": 0.0, "bound_rate": 1.0}, {"var": "label", "rows": 1, "distinct": 1, "null_rate": 0.0, "label_resolution_rate": 1.0, "diversity_entropy_norm": -1.0, "semantic_cohesion": 1.0, "dup_ratio": 0.0, "bound_rate": 1.0}]</t>
  </si>
  <si>
    <t>PREFIX ns1: &lt;http://dbkwik.webdatacommons.org/marvel.wikia.com/property/&gt;
SELECT DISTINCT ?media
WHERE {
  { ?s ns1:movies ?media }
  UNION
  { ?s ns1:television ?media }
}</t>
  </si>
  <si>
    <t>model='gpt-oss:120b' created_at='2025-11-19T19:44:24.336992511Z' done=True done_reason='stop' total_duration=79985321815 load_duration=1156365691 prompt_eval_count=92062 prompt_eval_duration=75222416070 eval_count=207 eval_duration=3094059124 message=Message(role='assistant', content='PREFIX ns1: &lt;http://dbkwik.webdatacommons.org/marvel.wikia.com/property/&gt;\n\nSELECT DISTINCT ?media\nWHERE {\n  { ?s ns1:movies ?media }\n  UNION\n  { ?s ns1:television ?media }\n}', thinking='We need to answer competency question: "What are all the movies (and/or TV shows) available?" Need to retrieve movies and TV shows from schema. Look for properties: ns1:movies property used in some entries linking to movies. Also ns1:television property used. So we need list of resources that are objects of ns1:movies or ns1:television. Query should select distinct ?item where ?s ns1:movies ?item or ns1:television ?item. Use prefixes defined: ns1: http://dbkwik.webdatacommons.org/marvel.wikia.com/property/. Also maybe include both. Return ?item. Provide simple query.\n\n',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</si>
  <si>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?media
WHERE {
  { ?s ns1:movies ?media }
  UNION
  { ?s ns1:television ?media }
}</t>
  </si>
  <si>
    <t>{
  "cq_text": "What are all the movies (and/or TV shows) available?",
  "syntax_ok": true,
  "satisfiable": true,
  "deterministic": true,
  "latency": {
    "p50_ms": 57.5,
    "p95_ms": 59.57,
    "mean_ms": 56.33
  },
  "rows": 1464,
  "vars": 1,
  "always_unbound_vars": [],
  "lexical_query_overlap": 0.0,
  "semantic_similarity_to_CQ": 0.74,
  "semantic_soft_coverage_to_CQ": 0.74,
  "tuple_cohesion": 0.68,
  "variables": [
    {
      "var": "media",
      "rows": 1464,
      "distinct": 1282,
      "null_rate": 0.0,
      "label_resolution_rate": 0.9705232129697863,
      "diversity_entropy_norm": 0.99,
      "semantic_cohesion": 0.68,
      "dup_ratio": 0.12,
      "bound_rate": 1.0
    }
  ]
}</t>
  </si>
  <si>
    <t>[{"var": "media", "rows": 1464, "distinct": 1282, "null_rate": 0.0, "label_resolution_rate": 0.9705232129697863, "diversity_entropy_norm": 0.99, "semantic_cohesion": 0.68, "dup_ratio": 0.12, "bound_rate": 1.0}]</t>
  </si>
  <si>
    <t>```sparql
PREFIX ns1: &lt;http://dbkwik.webdatacommons.org/marvel.wikia.com/property/&gt;
SELECT ?character ?realName ?alias
WHERE {
  # any resource that is a character (type can be any class)
  ?character a ?anyClass .
  # real name, if present
  OPTIONAL { ?character ns1:realname ?realName . }
  # primary alias – try the main “alternate” property (and its variant)
  OPTIONAL {
    ?character ns1:alternate ?alias .
  }
  OPTIONAL {
    ?character ns7: ?alias .   # alternate232` property (if used)
  }
}
```</t>
  </si>
  <si>
    <t>model='gpt-oss:120b' created_at='2025-11-19T19:45:49.403024865Z' done=True done_reason='stop' total_duration=83550678766 load_duration=1591020497 prompt_eval_count=92064 prompt_eval_duration=75196073754 eval_count=411 eval_duration=6100104200 message=Message(role='assistant', content='```sparql\nPREFIX ns1: &lt;http://dbkwik.webdatacommons.org/marvel.wikia.com/property/&gt;\n\nSELECT ?character ?realName ?alias\nWHERE {\n  # any resource that is a character (type can be any class)\n  ?character a ?anyClass .\n\n  # real name, if present\n  OPTIONAL { ?character ns1:realname ?realName . }\n\n  # primary alias – try the main “alternate” property (and its variant)\n  OPTIONAL {\n    ?character ns1:alternate ?alias .\n  }\n  OPTIONAL {\n    ?character ns7: ?alias .   # alternate232` property (if used)\n  }\n}\n```', thinking='We need to write a SPARQL query that answers: "What are the real names and/or primary aliases for each of the characters?" We need to retrieve for each character its real name (property ns1:realname) and/or primary alias. There may be alias property: ns1:alternate, ns1:alternate? There\'s also ns1:mainCharacter, ns1:others, ns1:alternate. Primary alias could be maybe ns1:alternate? The schema includes ns1:alternate (property "Alternate") and ns1:a1ternate? Also ns7: ? but ns7: is a property with label "Alternate232`". Likely primary alias is stored in ns1:alternate (or ns7). Real name stored in ns1:realname. So query: SELECT ?character ?realName ?alias where { ?character a ?type . OPTIONAL {?character ns1:realname ?realName .} OPTIONAL {?character ns1:alternate ?alias .} } maybe also ns1:a1ternate? Use both.\n\nNeed prefixes: ns1 = http://dbkwik.webdatacommons.org/marvel.wikia.com/property/. Use that.\n\nReturn results.\n\nWe\'ll include UNION for both alias properties. Use OPTIONAL.\n\nLet\'s produce query.',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</si>
  <si>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?character ?realName ?alias
WHERE {
  # any resource that is a character (type can be any class)
  ?character a ?anyClass .
  # real name, if present
  OPTIONAL { ?character ns1:realname ?realName . }
  # primary alias – try the main “alternate” property (and its variant)
  OPTIONAL {
    ?character ns1:alternate ?alias .
  }
  OPTIONAL {
    ?character ns7: ?alias .   # alternate232` property (if used)
  }
}</t>
  </si>
  <si>
    <t>ERROR: Unable to allocate 3.88 TiB for an array with shape (1032170, 1032170) and data type float32</t>
  </si>
  <si>
    <t>```sparql
PREFIX ns1: &lt;http://dbkwik.webdatacommons.org/marvel.wikia.com/property/&gt;
SELECT DISTINCT ?character ?species
WHERE {
  ?character ns1:species ?species .
}
```</t>
  </si>
  <si>
    <t>model='gpt-oss:120b' created_at='2025-11-19T19:47:14.499088285Z' done=True done_reason='stop' total_duration=83987780254 load_duration=1343777693 prompt_eval_count=92075 prompt_eval_duration=75282514917 eval_count=449 eval_duration=6667698843 message=Message(role='assistant', content='```sparql\nPREFIX ns1: &lt;http://dbkwik.webdatacommons.org/marvel.wikia.com/property/&gt;\n\nSELECT DISTINCT ?character ?species\nWHERE {\n  ?character ns1:species ?species .\n}\n```', thinking='We need to answer: "What are all the associated species or types (e.g., human, Asgardian, AI) for each of the characters?" We need to query characters and their species/types. Look at schema: properties like ns1:species? Not obvious. Look for property that denotes species: maybe ns1:gender, ns1:race? There\'s ns1:gender, ns1:citizenship, ns1:species not listed. But maybe type is ns1:type? Not sure. Look at examples: N\'Baza has ns1:citizenship "Wakandan". Not species. Maybe use ns1:species not defined. Could be ns1:species property missing. But maybe property ns1:race? Not present. Could be ns1:species is represented by ns1:type? Not. Or maybe ns1:species is in data but not in schema. Might need to query any property that indicates species: maybe ns1:species appears in data but not defined. We can use generic predicate? But need associated species or types for each character. Could be using property ns1:species or ns1:race. Let\'s search for any triple with "species". Not possible here. But maybe property ns1:species exists even if not declared. Could query ?character ns1:species ?species. Also maybe ns1:type used for species? Eg: "Human" might be type. But no.\n\nGiven limited info, we could query any property that looks like species: maybe ns1:species or ns1:species? I\'ll assume ns1:species.\n\nThus SPARQL: select character and species.\n\nUse prefixes defined: ns1 for http://dbkwik.webdatacommons.org/marvel.wikia.com/property/.\n\nSo query: SELECT ?character ?species WHERE { ?character ns1:species ?species }.\n\nBut ensure distinct.\n\nThus final answer.',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</si>
  <si>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?character ?species
WHERE {
  ?character ns1:species ?species .
}</t>
  </si>
  <si>
    <t>{
  "cq_text": "What are all the associated species or types (e.g., human, Asgardian, AI) for each of the characters?",
  "syntax_ok": true,
  "satisfiable": false,
  "deterministic": true,
  "latency": {
    "p50_ms": 16.96,
    "p95_ms": 17.86,
    "mean_ms": 17.22
  },
  "rows": 0,
  "vars": 2,
  "always_unbound_vars": [
    "character",
    "species"
  ],
  "lexical_query_overlap": 0.05,
  "semantic_similarity_to_CQ": 0.71,
  "semantic_soft_coverage_to_CQ": 0.75,
  "tuple_cohesion": null,
  "variables": [
    {
      "var": "character",
      "rows": 0,
      "distinct": 0,
      "null_rate": 1.0,
      "label_resolution_rate": 0.0,
      "diversity_entropy_norm": 0.0,
      "semantic_cohesion": 1.0,
      "dup_ratio": 0.0,
      "bound_rate": 0.0
    },
    {
      "var": "species",
      "rows": 0,
      "distinct": 0,
      "null_rate": 1.0,
      "label_resolution_rate": 0.0,
      "diversity_entropy_norm": 0.0,
      "semantic_cohesion": 1.0,
      "dup_ratio": 0.0,
      "bound_rate": 0.0
    }
  ]
}</t>
  </si>
  <si>
    <t>["character", "species"]</t>
  </si>
  <si>
    <t>[{"var": "character", "rows": 0, "distinct": 0, "null_rate": 1.0, "label_resolution_rate": 0.0, "diversity_entropy_norm": 0.0, "semantic_cohesion": 1.0, "dup_ratio": 0.0, "bound_rate": 0.0}, {"var": "species", "rows": 0, "distinct": 0, "null_rate": 1.0, "label_resolution_rate": 0.0, "diversity_entropy_norm": 0.0, "semantic_cohesion": 1.0, "dup_ratio": 0.0, "bound_rate": 0.0}]</t>
  </si>
  <si>
    <t>PREFIX ns1: &lt;http://dbkwik.webdatacommons.org/marvel.wikia.com/property/&gt;
SELECT DISTINCT ?character ?origin
WHERE {
  { ?character ns1:origin ?origin }
  UNION
  { ?character ns1:placeofbirth ?origin }
  UNION
  { ?character ns1:baseofoperations ?origin }
}
ORDER BY ?character</t>
  </si>
  <si>
    <t>model='gpt-oss:120b' created_at='2025-11-19T19:48:41.788073551Z' done=True done_reason='stop' total_duration=85438926690 load_duration=1774510146 prompt_eval_count=92072 prompt_eval_duration=75241378175 eval_count=517 eval_duration=7650677248 message=Message(role='assistant', content='PREFIX ns1: &lt;http://dbkwik.webdatacommons.org/marvel.wikia.com/property/&gt;\n\nSELECT DISTINCT ?character ?origin\nWHERE {\n  { ?character ns1:origin ?origin }\n  UNION\n  { ?character ns1:placeofbirth ?origin }\n  UNION\n  { ?character ns1:baseofoperations ?origin }\n}\nORDER BY ?character', thinking='The user asks: "Write a SPARQL query that answers the following competency question: What are all the origin locations (e.g., homeworld, birthplace, base) for each of the characters?"\n\nWe must use schema to find properties that indicate origin location. Looking at schema definitions: there is ns1:origin a rdf:Property; rdfs:label "Origin". Also ns1:placeofbirth a rdf:Property; label "PlaceOfBirth". ns1:baseofoperations a rdf:Property; label "BaseOfOperations". Also ns1:citizenship maybe but not needed. So we need to retrieve characters (maybe all individuals) and their origin location values from any of these three properties.\n\nWe need to output only the SPARQL query, no extra text.\n\nWe must use prefixes defined: dc, dcterms, foaf, ns1, ns2, ns3, ns7, owl, rdf, rdfs, skos, xsd.\n\nWe need to query for subjects that have any of these properties: ns1:origin, ns1:placeofbirth, ns1:baseofoperations. We want each character with possibly multiple origins. So we can use UNION to combine triples.\n\nSelect ?character ?origin where { { ?character ns1:origin ?origin } UNION { ?character ns1:placeofbirth ?origin } UNION { ?character ns1:baseofoperations ?origin } }.\n\nOptionally ensure ?character is a character (type maybe a class). Schema doesn\'t define a Character class, but many individuals are characters; we may not restrict.\n\nThus final query.\n\nWe may also include distinct.\n\nThus final answer: \n\nPREFIX ns1: &lt;http://dbkwik.webdatacommons.org/marvel.wikia.com/property/&gt;\nSELECT DISTINCT ?character ?origin WHERE {\n  { ?character ns1:origin ?origin }\n  UNION\n  { ?character ns1:placeofbirth ?origin }\n  UNION\n  { ?character ns1:baseofoperations ?origin }\n}\nORDER BY ?character\n\nReturn only query.\n\n',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</si>
  <si>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?character ?origin
WHERE {
  { ?character ns1:origin ?origin }
  UNION
  { ?character ns1:placeofbirth ?origin }
  UNION
  { ?character ns1:baseofoperations ?origin }
}
ORDER BY ?character</t>
  </si>
  <si>
    <t>{
  "cq_text": "What are all the origin locations (e.g., homeworld, birthplace, base) for each of the characters?",
  "syntax_ok": true,
  "satisfiable": true,
  "deterministic": true,
  "latency": {
    "p50_ms": 15.51,
    "p95_ms": 15.87,
    "mean_ms": 15.62
  },
  "rows": 2,
  "vars": 2,
  "always_unbound_vars": [],
  "lexical_query_overlap": 0.04,
  "semantic_similarity_to_CQ": 0.68,
  "semantic_soft_coverage_to_CQ": 0.76,
  "tuple_cohesion": 1.0,
  "variables": [
    {
      "var": "character",
      "rows": 2,
      "distinct": 1,
      "null_rate": 0.0,
      "label_resolution_rate": 1.0,
      "diversity_entropy_norm": -1.0,
      "semantic_cohesion": 1.0,
      "dup_ratio": 0.5,
      "bound_rate": 1.0
    },
    {
      "var": "origin",
      "rows": 2,
      "distinct": 1,
      "null_rate": 0.0,
      "label_resolution_rate": 1.0,
      "diversity_entropy_norm": -1.0,
      "semantic_cohesion": 1.0,
      "dup_ratio": 0.5,
      "bound_rate": 1.0
    }
  ]
}</t>
  </si>
  <si>
    <t>[{"var": "character", "rows": 2, "distinct": 1, "null_rate": 0.0, "label_resolution_rate": 1.0, "diversity_entropy_norm": -1.0, "semantic_cohesion": 1.0, "dup_ratio": 0.5, "bound_rate": 1.0}, {"var": "origin", "rows": 2, "distinct": 1, "null_rate": 0.0, "label_resolution_rate": 1.0, "diversity_entropy_norm": -1.0, "semantic_cohesion": 1.0, "dup_ratio": 0.5, "bound_rate": 1.0}]</t>
  </si>
  <si>
    <t>PREFIX ns1: &lt;http://dbkwik.webdatacommons.org/marvel.wikia.com/property/&gt;
SELECT DISTINCT ?movie ?releaseDate
WHERE {
  { ?movie ns1:releasedate ?releaseDate }
  UNION
  { ?movie ns1:year ?releaseDate }
} ORDER BY ?movie ?releaseDate</t>
  </si>
  <si>
    <t>model='gpt-oss:120b' created_at='2025-11-19T19:50:07.05245647Z' done=True done_reason='stop' total_duration=83221718652 load_duration=2129413563 prompt_eval_count=92068 prompt_eval_duration=75336580974 eval_count=346 eval_duration=5144375694 message=Message(role='assistant', content='PREFIX ns1: &lt;http://dbkwik.webdatacommons.org/marvel.wikia.com/property/&gt;\n\nSELECT DISTINCT ?movie ?releaseDate\nWHERE {\n  { ?movie ns1:releasedate ?releaseDate }\n  UNION\n  { ?movie ns1:year ?releaseDate }\n} ORDER BY ?movie ?releaseDate', thinking="We need a SPARQL query that returns all release dates (or years) for each movie. Look at schema: property ns1:releasedate defined. Also ns1:year maybe for movies. We need to get movies: likely entities where ns1:movies property maybe links to movies? Actually many resources have ns1:movies linking to movies. But we need movies list: probably entities of type movie? There's no class defined for movies. Could retrieve any subject that has ns1:releasedate or ns1:year. Use PREFIX ns1: &lt;http://dbkwik.webdatacommons.org/marvel.wikia.com/property/&gt;. Then SELECT ?movie ?date where { ?movie ns1:releasedate ?date } UNION { ?movie ns1:year ?date }. Ensure optional. Provide distinct. Probably want both date and year as xsd:date or integer. Use OPTIONAL for each.\n\nThus query: SELECT ?movie ?date WHERE { ?movie ns1:releasedate ?date } UNION { ?movie ns1:year ?date }. Or combine with OPTIONAL: { ?movie a ?type . OPTIONAL {?movie ns1:releasedate ?date.} OPTIONAL {?movie ns1:year ?date.} FILTER(bound(?date)). Might return duplicates.\n\nWe'll output one query.",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</si>
  <si>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?movie ?releaseDate
WHERE {
  { ?movie ns1:releasedate ?releaseDate }
  UNION
  { ?movie ns1:year ?releaseDate }
} ORDER BY ?movie ?releaseDate</t>
  </si>
  <si>
    <t>{
  "cq_text": "What are all the release dates (or years), if available, for each of the movies?",
  "syntax_ok": true,
  "satisfiable": true,
  "deterministic": true,
  "latency": {
    "p50_ms": 130.76,
    "p95_ms": 134.38,
    "mean_ms": 131.69
  },
  "rows": 3449,
  "vars": 2,
  "always_unbound_vars": [],
  "lexical_query_overlap": 0.05,
  "semantic_similarity_to_CQ": 0.71,
  "semantic_soft_coverage_to_CQ": 0.79,
  "tuple_cohesion": 0.95,
  "variables": [
    {
      "var": "movie",
      "rows": 3449,
      "distinct": 942,
      "null_rate": 0.0,
      "label_resolution_rate": 1.0,
      "diversity_entropy_norm": 0.9,
      "semantic_cohesion": 0.7,
      "dup_ratio": 0.73,
      "bound_rate": 1.0
    },
    {
      "var": "releaseDate",
      "rows": 3449,
      "distinct": 308,
      "null_rate": 0.0,
      "label_resolution_rate": 1.0,
      "diversity_entropy_norm": 0.85,
      "semantic_cohesion": 0.98,
      "dup_ratio": 0.91,
      "bound_rate": 1.0
    }
  ]
}</t>
  </si>
  <si>
    <t>[{"var": "movie", "rows": 3449, "distinct": 942, "null_rate": 0.0, "label_resolution_rate": 1.0, "diversity_entropy_norm": 0.9, "semantic_cohesion": 0.7, "dup_ratio": 0.73, "bound_rate": 1.0}, {"var": "releaseDate", "rows": 3449, "distinct": 308, "null_rate": 0.0, "label_resolution_rate": 1.0, "diversity_entropy_norm": 0.85, "semantic_cohesion": 0.98, "dup_ratio": 0.91, "bound_rate": 1.0}]</t>
  </si>
  <si>
    <t>PREFIX ns1: &lt;http://dbkwik.webdatacommons.org/marvel.wikia.com/property/&gt;
SELECT DISTINCT ?movie ?director
WHERE {
  ?movie ?p ?director .
  FILTER regex(str(?p), "director", "i")
}</t>
  </si>
  <si>
    <t>model='gpt-oss:120b' created_at='2025-11-19T19:51:35.970543211Z' done=True done_reason='stop' total_duration=87135067842 load_duration=1646807957 prompt_eval_count=92062 prompt_eval_duration=75302979561 eval_count=631 eval_duration=9322340858 message=Message(role='assistant', content='PREFIX ns1: &lt;http://dbkwik.webdatacommons.org/marvel.wikia.com/property/&gt;\n\nSELECT DISTINCT ?movie ?director\nWHERE {\n  ?movie ?p ?director .\n  FILTER regex(str(?p), "director", "i")\n}', thinking='We need to answer: "Who are all the director(s) for each of the movies?" Need to retrieve directors of movies. Look at schema: there is property ns1:director? Actually we saw ns1:director not defined. There is ns1:director? I saw ns1:director not listed; but there is ns1:director in property list? I see ns1:director is not there, but there is ns1:director maybe missing due to huge list. Let\'s search: In schema, property list includes ns1:director? I saw ns1:director in earlier part? I saw ns1:director not present; but there is ns1:director maybe under other prefixes. I see ns1:director is not listed but there is ns1:director maybe omitted. However there is ns1:director used? I didn\'t see usage in data. But there is property ns1:director appears in none of the triples shown. However there is property ns1:director maybe used in some movie entries not displayed in excerpt. But we can still query for ?movie ns1:director ?director. Need prefixes: ns1 is http://dbkwik.webdatacommons.org/marvel.wikia.com/property/. Use SELECT ?movie ?director. Ensure distinct.\n\nReturn all movies with director(s). Query:\n\nPREFIX ns1: &lt;http://dbkwik.webdatacommons.org/marvel.wikia.com/property/&gt;\nSELECT ?movie ?director WHERE {\n  ?movie ns1:director ?director .\n}\n\nBut maybe need to also include subproperty like ns1:directors? Check list: there is ns1:director not present but maybe ns1:directors? I see ns1:directors not listed either. There is ns1:director in property list? Let\'s search: scanning quickly: near start of property list, I see ns1:description, ns1:disambiguates? not. I saw ns1:director not there. However there is ns1:director maybe not used. Could also be property ns1:director under other prefix like ns2? Not.\n\nBut we can still query generically for any property containing "director". Use FILTER regex on predicate? But SPARQL can\'t filter on predicate variable? We can use ?movie ?p ?director . FILTER regex(str(?p), "director"). That would capture any predicate containing director. Provide directors.\n\nThus:\n\nPREFIX ns1: &lt;http://dbkwik.webdatacommons.org/marvel.wikia.com/property/&gt;\nSELECT ?movie ?director WHERE {\n  ?movie ?p ?director .\n  FILTER regex(str(?p), "director", "i")\n}\n\nReturn distinct.\n\nWill that work given data? Might include other uses but okay.\n\nProvide final answer.\n\n',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</si>
  <si>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?movie ?director
WHERE {
  ?movie ?p ?director .
  FILTER regex(str(?p), "director", "i")
}</t>
  </si>
  <si>
    <t>{
  "cq_text": "Who are all the director(s) for each of the movies?",
  "syntax_ok": true,
  "satisfiable": false,
  "deterministic": true,
  "latency": {
    "p50_ms": 7186.21,
    "p95_ms": 7212.15,
    "mean_ms": 7150.68
  },
  "rows": 0,
  "vars": 2,
  "always_unbound_vars": [
    "movie",
    "director"
  ],
  "lexical_query_overlap": 0.05,
  "semantic_similarity_to_CQ": 0.7,
  "semantic_soft_coverage_to_CQ": 0.77,
  "tuple_cohesion": null,
  "variables": [
    {
      "var": "movie",
      "rows": 0,
      "distinct": 0,
      "null_rate": 1.0,
      "label_resolution_rate": 0.0,
      "diversity_entropy_norm": 0.0,
      "semantic_cohesion": 1.0,
      "dup_ratio": 0.0,
      "bound_rate": 0.0
    },
    {
      "var": "director",
      "rows": 0,
      "distinct": 0,
      "null_rate": 1.0,
      "label_resolution_rate": 0.0,
      "diversity_entropy_norm": 0.0,
      "semantic_cohesion": 1.0,
      "dup_ratio": 0.0,
      "bound_rate": 0.0
    }
  ]
}</t>
  </si>
  <si>
    <t>["movie", "director"]</t>
  </si>
  <si>
    <t>[{"var": "movie", "rows": 0, "distinct": 0, "null_rate": 1.0, "label_resolution_rate": 0.0, "diversity_entropy_norm": 0.0, "semantic_cohesion": 1.0, "dup_ratio": 0.0, "bound_rate": 0.0}, {"var": "director", "rows": 0, "distinct": 0, "null_rate": 1.0, "label_resolution_rate": 0.0, "diversity_entropy_norm": 0.0, "semantic_cohesion": 1.0, "dup_ratio": 0.0, "bound_rate": 0.0}]</t>
  </si>
  <si>
    <t>PREFIX ns1: &lt;http://dbkwik.webdatacommons.org/marvel.wikia.com/property/&gt;
SELECT ?character ?power
WHERE {
  ?character ns1:powers ?power .
}</t>
  </si>
  <si>
    <t>model='gpt-oss:120b' created_at='2025-11-19T19:53:02.365162761Z' done=True done_reason='stop' total_duration=84693069631 load_duration=2091042877 prompt_eval_count=92063 prompt_eval_duration=75353661080 eval_count=441 eval_duration=6535895276 message=Message(role='assistant', content='PREFIX ns1: &lt;http://dbkwik.webdatacommons.org/marvel.wikia.com/property/&gt;\n\nSELECT ?character ?power\nWHERE {\n  ?character ns1:powers ?power .\n}', thinking='We need a SPARQL query answering: "What are all the listed powers or abilities for each of the characters?" We need to retrieve characters and their powers/abilities. In schema, property ns1:powers is defined as "Powers". Also possibly other abilities listed via other properties like ns1:abilities? Let\'s search. In the long schema, many properties: ns1:powers, ns1:abilities not seen. There is ns1:powers. Also other ability-like properties: ns1:energyProjection, ns1:durability, ns1:strength, ns1:intelligence, ns1:speed, ns1:fightingSkills, etc. But the question: "all the listed powers or abilities for each of the characters". Likely we need to get ns1:powers values. Possibly also other ability properties. However "listed powers or abilities" maybe they refer to the "powers" property that lists abilities for a character. So query each character (subject) that has ns1:powers property, retrieve its values.\n\nWe need prefixes defined: ns1: http://dbkwik.webdatacommons.org/marvel.wikia.com/property/\n\nThus query: SELECT ?character ?power WHERE { ?character ns1:powers ?power . }\n\nBut maybe need distinct characters, maybe also include other ability properties: ns1:energyProjection, ns1:durability, ns1:strength, ns1:speed, ns1:intelligence, ns1:fightingSkills, ns1:abilities? There\'s no "abilities". So use ns1:powers.\n\nThus SPARQL:\n\nPREFIX ns1: &lt;http://dbkwik.webdatacommons.org/marvel.wikia.com/property/&gt;\nSELECT ?character ?power WHERE {\n  ?character ns1:powers ?power .\n}\n\nIf want also label? Could include rdfs:label. But not required.\n\nThus final answer is query.\n\n',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</si>
  <si>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?character ?power
WHERE {
  ?character ns1:powers ?power .
}</t>
  </si>
  <si>
    <t>{
  "cq_text": "What are all the listed powers or abilities for each of the characters?",
  "syntax_ok": true,
  "satisfiable": true,
  "deterministic": true,
  "latency": {
    "p50_ms": 7.61,
    "p95_ms": 14.18,
    "mean_ms": 9.75
  },
  "rows": 1,
  "vars": 2,
  "always_unbound_vars": [],
  "lexical_query_overlap": 0.0,
  "semantic_similarity_to_CQ": 0.77,
  "semantic_soft_coverage_to_CQ": 0.77,
  "tuple_cohesion": 1.0,
  "variables": [
    {
      "var": "character",
      "rows": 1,
      "distinct": 1,
      "null_rate": 0.0,
      "label_resolution_rate": 1.0,
      "diversity_entropy_norm": -1.0,
      "semantic_cohesion": 1.0,
      "dup_ratio": 0.0,
      "bound_rate": 1.0
    },
    {
      "var": "power",
      "rows": 1,
      "distinct": 1,
      "null_rate": 0.0,
      "label_resolution_rate": 1.0,
      "diversity_entropy_norm": -1.0,
      "semantic_cohesion": 1.0,
      "dup_ratio": 0.0,
      "bound_rate": 1.0
    }
  ]
}</t>
  </si>
  <si>
    <t>PREFIX ns1: &lt;http://dbkwik.webdatacommons.org/marvel.wikia.com/property/&gt;
SELECT DISTINCT ?character ?affiliation
WHERE {
  { ?character ns1:teams   ?affiliation }
  UNION
  { ?character ns1:group   ?affiliation }
  UNION
  { ?character ns1:teames  ?affiliation }
}</t>
  </si>
  <si>
    <t>model='gpt-oss:120b' created_at='2025-11-19T19:54:25.738034582Z' done=True done_reason='stop' total_duration=82573377812 load_duration=1007797856 prompt_eval_count=92063 prompt_eval_duration=75375699474 eval_count=374 eval_duration=5541042147 message=Message(role='assistant', content='PREFIX ns1: &lt;http://dbkwik.webdatacommons.org/marvel.wikia.com/property/&gt;\n\nSELECT DISTINCT ?character ?affiliation\nWHERE {\n  { ?character ns1:teams   ?affiliation }\n  UNION\n  { ?character ns1:group   ?affiliation }\n  UNION\n  { ?character ns1:teames  ?affiliation }\n}', thinking='We need SPARQL query answering: "What are all the team or organization affiliations for each of the characters?" Using schema, we need property that links character to team/organization affiliation. Look at schema definitions: there are properties ns1:teams, ns1:team, ns1:group, ns1:teames? Actually property ns1:teames and ns1:teams defined. Also ns1:group. The competency: for each character, list all team/organization affiliations. Likely use ns1:teams (multiple values). Could also consider ns1:group, ns1:teames. So query: select character and affiliation where ?char ns1:teams ?affil. Also maybe ?char ns1:group ?affil or ns1:teames. Use UNION.\n\nWe need prefixes: ns1: http://dbkwik.webdatacommons.org/marvel.wikia.com/property/. So include PREFIX ns1: &lt;...&gt;. Also maybe rdf:type? Not needed.\n\nReturn ?character ?affiliation.\n\nWrite SELECT DISTINCT ?character ?affiliation WHERE { { ?character ns1:teams ?affiliation } UNION { ?character ns1:group ?affiliation } UNION { ?character ns1:teames ?affiliation } }.\n\nAdd maybe filter to ensure ?character a something? Not required.\n\nReturn full URIs.\n\nThus final answer.',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</si>
  <si>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?character ?affiliation
WHERE {
  { ?character ns1:teams   ?affiliation }
  UNION
  { ?character ns1:group   ?affiliation }
  UNION
  { ?character ns1:teames  ?affiliation }
}</t>
  </si>
  <si>
    <t>{
  "cq_text": "What are all the team or organization affiliations for each of the characters?",
  "syntax_ok": true,
  "satisfiable": true,
  "deterministic": true,
  "latency": {
    "p50_ms": 30.16,
    "p95_ms": 30.2,
    "mean_ms": 30.17
  },
  "rows": 401,
  "vars": 2,
  "always_unbound_vars": [],
  "lexical_query_overlap": 0.0,
  "semantic_similarity_to_CQ": 0.8,
  "semantic_soft_coverage_to_CQ": 0.79,
  "tuple_cohesion": 0.68,
  "variables": [
    {
      "var": "character",
      "rows": 401,
      "distinct": 183,
      "null_rate": 0.0,
      "label_resolution_rate": 1.0,
      "diversity_entropy_norm": 0.87,
      "semantic_cohesion": 0.6,
      "dup_ratio": 0.54,
      "bound_rate": 1.0
    },
    {
      "var": "affiliation",
      "rows": 401,
      "distinct": 320,
      "null_rate": 0.0,
      "label_resolution_rate": 1.0,
      "diversity_entropy_norm": 0.98,
      "semantic_cohesion": 0.6,
      "dup_ratio": 0.2,
      "bound_rate": 1.0
    }
  ]
}</t>
  </si>
  <si>
    <t>[{"var": "character", "rows": 401, "distinct": 183, "null_rate": 0.0, "label_resolution_rate": 1.0, "diversity_entropy_norm": 0.87, "semantic_cohesion": 0.6, "dup_ratio": 0.54, "bound_rate": 1.0}, {"var": "affiliation", "rows": 401, "distinct": 320, "null_rate": 0.0, "label_resolution_rate": 1.0, "diversity_entropy_norm": 0.98, "semantic_cohesion": 0.6, "dup_ratio": 0.2, "bound_rate": 1.0}]</t>
  </si>
  <si>
    <t>PREFIX ns2: &lt;http://dbkwik.webdatacommons.org/marvel.wikia.com/ontology/&gt;
SELECT DISTINCT ?place
WHERE {
  ?place a ?type .
  FILTER(?type = ns2:main || ?type = ns2:wp2)
}</t>
  </si>
  <si>
    <t>model='gpt-oss:120b' created_at='2025-11-19T19:55:54.314034629Z' done=True done_reason='stop' total_duration=86563308705 load_duration=2128357784 prompt_eval_count=92059 prompt_eval_duration=75373273230 eval_count=561 eval_duration=8288485983 message=Message(role='assistant', content='PREFIX ns2: &lt;http://dbkwik.webdatacommons.org/marvel.wikia.com/ontology/&gt;\n\nSELECT DISTINCT ?place\nWHERE {\n  ?place a ?type .\n  FILTER(?type = ns2:main || ?type = ns2:wp2)\n}', thinking='We need to answer competency question: "What are all the locations (places) available?" We need to list all locations in the schema.\n\nWe must find classes representing locations/places. Looking at schema: there are properties like ns1:placeofbirth, ns1:baseofoperations, ns1:origin etc. But we need resources that are places. Likely instances of class maybe &lt;http://dbkwik.webdatacommons.org/marvel.wikia.com/class/main&gt; maybe used for places (Atlantic Ocean, Baltimore, etc). Also class wp2 used for places (Griffith Observatory, São Paulo, etc). Also class wp used for location? Let\'s see: ns1:placeofbirth points to resources like &lt;http://dbkwik.webdatacommons.org/marvel.wikia.com/resource/Atlantic_Ocean&gt; which is typed as &lt;http://dbkwik.webdatacommons.org/marvel.wikia.com/class/main&gt;. Also &lt;http://dbkwik.webdatacommons.org/marvel.wikia.com/resource/Baltimore&gt; typed as &lt;http://dbkwik.webdatacommons.org/marvel.wikia.com/class/main&gt;. Also São Paulo typed as wp2. Also Griffith Observatory typed as wp2.\n\nThus we need to query for all resources that are places. Could use rdf:type of classes that seem location-related: maybe class/main, class/wp2, class/seeAlso? Also maybe class/seealso not location. So query all ?place where ?place a ?type and ?type is either main or wp2. Could also include other location classes like &lt;http://dbkwik.webdatacommons.org/marvel.wikia.com/class/seeAlso&gt; but not.\n\nThus produce SPARQL selecting distinct ?place where ?place a ?type and ?type in (ns2:main, ns2:wp2). Need prefixes: ns2 is http://dbkwik.webdatacommons.org/marvel.wikia.com/ontology/. Actually ns2 prefix defined as http://dbkwik.webdatacommons.org/marvel.wikia.com/ontology/. So class URIs: ns2:main and ns2:wp2. Provide query.\n\nSELECT DISTINCT ?place WHERE {\n  ?place a ?type .\n  FILTER(?type = ns2:main || ?type = ns2:wp2)\n}\n\nAdd prefixes. Return query.\n\n', images=None, tool_calls=None)</t>
  </si>
  <si>
    <t>PREFIX dc: &lt;http://purl.org/dc/elements/1.1/&gt;
PREFIX dcterms: &lt;http://purl.org/dc/terms/&gt;
PREFIX foaf: &lt;http://xmlns.com/foaf/0.1/&gt;
PREFIX ns1: &lt;http://dbkwik.webdatacommons.org/marvel.wikia.com/property/&gt;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ns2: &lt;http://dbkwik.webdatacommons.org/marvel.wikia.com/ontology/&gt;
SELECT DISTINCT ?place
WHERE {
  ?place a ?type .
  FILTER(?type = ns2:main || ?type = ns2:wp2)
}</t>
  </si>
  <si>
    <t>{
  "cq_text": "What are all the locations (places) available?",
  "syntax_ok": true,
  "satisfiable": false,
  "deterministic": true,
  "latency": {
    "p50_ms": 14.86,
    "p95_ms": 14.9,
    "mean_ms": 14.82
  },
  "rows": 0,
  "vars": 1,
  "always_unbound_vars": [
    "place"
  ],
  "lexical_query_overlap": 0.0,
  "semantic_similarity_to_CQ": 0.61,
  "semantic_soft_coverage_to_CQ": 0.75,
  "tuple_cohesion": null,
  "variables": [
    {
      "var": "place",
      "rows": 0,
      "distinct": 0,
      "null_rate": 1.0,
      "label_resolution_rate": 0.0,
      "diversity_entropy_norm": 0.0,
      "semantic_cohesion": 1.0,
      "dup_ratio": 0.0,
      "bound_rate": 0.0
    }
  ]
}</t>
  </si>
  <si>
    <t>["place"]</t>
  </si>
  <si>
    <t>[{"var": "place", "rows": 0, "distinct": 0, "null_rate": 1.0, "label_resolution_rate": 0.0, "diversity_entropy_norm": 0.0, "semantic_cohesion": 1.0, "dup_ratio": 0.0, "bound_rate": 0.0}]</t>
  </si>
  <si>
    <t>PREFIX ns1: &lt;http://dbkwik.webdatacommons.org/marvel.wikia.com/property/&gt;
SELECT ?movie ?director
WHERE {
  ?movie ns1:director ?director .
}</t>
  </si>
  <si>
    <t>model='gpt-oss:120b' created_at='2025-11-19T19:57:21.119608485Z' done=True done_reason='stop' total_duration=86019470712 load_duration=1137139841 prompt_eval_count=92059 prompt_eval_duration=75422698435 eval_count=585 eval_duration=8640495279 message=Message(role='assistant', content='PREFIX ns1: &lt;http://dbkwik.webdatacommons.org/marvel.wikia.com/property/&gt;\nSELECT ?movie ?director\nWHERE {\n  ?movie ns1:director ?director .\n}', thinking='We need to answer: "What are all the available movies and their directors?" Using schema: we need property for movies and director. Looking at schema definitions: ns1:movies a rdf:Property ; ns1:director? Actually there is ns1:director not listed, but there is ns1:writer, ns1:editor, ns1:creator, ns1:creators. No director property. Maybe movies have property ns1:director? Not defined. Could be ns1:movies points to movies resources, and movies have property ns1:director? Not in schema. There\'s ns1:director not listed; there is ns1:director? I see ns1:writer, ns1:editor, ns1:creators. Maybe movies have ns1:director as same as ns1:writer? But likely movies have ns1:director property defined elsewhere not shown. However we can query movies where property ns1:movies? Actually ns1:movies is a property used on characters to link to movies. For example: &lt;http://dbkwik.webdatacommons.org/marvel.wikia.com/resource/Abomination&gt; ns1:movies &lt;http://dbkwik.webdatacommons.org/marvel.wikia.com/resource/Emil_Blonsky_(Earth-TRN607)&gt; . So movies are resources. Need directors: maybe property ns1:director exists but not listed. Search in data: Look for any triple with "director". Not visible. Could be ns1:directors? Not. There is ns1:creator for comics, but for movies maybe ns1:director is used. Since not defined, but we can still query it.\n\nWe need list of movies and their directors. So query: SELECT ?movie ?director WHERE { ?movie a ?type . OPTIONAL { ?movie ns1:director ?director } } but need only movies. There may be type like ns1:movie? Not defined. Could use rdf:type ? maybe specific class like ns2:Image? Not. Could look for instances where property ns1:director appears. Since not known, we can query any subject with ns1:director. But we don\'t know prefix for director. It\'s not defined but we can still use it.\n\nThus SPARQL:\n\nPREFIX ns1: &lt;http://dbkwik.webdatacommons.org/marvel.wikia.com/property/&gt;\nSELECT ?movie ?director WHERE {\n  ?movie ns1:director ?director .\n}\n\nIf need ensure movie is a movie: maybe filter by ?movie a &lt;...#movie&gt; but unknown.\n\nThus answer.',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</si>
  <si>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?movie ?director
WHERE {
  ?movie ns1:director ?director .
}</t>
  </si>
  <si>
    <t>{
  "cq_text": "What are all the available movies and their directors?",
  "syntax_ok": true,
  "satisfiable": false,
  "deterministic": true,
  "latency": {
    "p50_ms": 16.91,
    "p95_ms": 17.2,
    "mean_ms": 16.05
  },
  "rows": 0,
  "vars": 2,
  "always_unbound_vars": [
    "movie",
    "director"
  ],
  "lexical_query_overlap": 0.0,
  "semantic_similarity_to_CQ": 0.73,
  "semantic_soft_coverage_to_CQ": 0.74,
  "tuple_cohesion": null,
  "variables": [
    {
      "var": "movie",
      "rows": 0,
      "distinct": 0,
      "null_rate": 1.0,
      "label_resolution_rate": 0.0,
      "diversity_entropy_norm": 0.0,
      "semantic_cohesion": 1.0,
      "dup_ratio": 0.0,
      "bound_rate": 0.0
    },
    {
      "var": "director",
      "rows": 0,
      "distinct": 0,
      "null_rate": 1.0,
      "label_resolution_rate": 0.0,
      "diversity_entropy_norm": 0.0,
      "semantic_cohesion": 1.0,
      "dup_ratio": 0.0,
      "bound_rate": 0.0
    }
  ]
}</t>
  </si>
  <si>
    <t>PREFIX ns1: &lt;http://dbkwik.webdatacommons.org/marvel.wikia.com/property/&gt;
PREFIX mc:  &lt;http://dbkwik.webdatacommons.org/marvel.wikia.com/class/&gt;
SELECT ?character ?primaryName
WHERE {
  ?character a mc:character .
  OPTIONAL { ?character ns1:realname  ?realName . }
  OPTIONAL { ?character ns1:alternate ?alias   . }
  BIND( COALESCE(?realName, ?alias) AS ?primaryName )
}</t>
  </si>
  <si>
    <t>model='gpt-oss:120b' created_at='2025-11-19T19:58:48.663233227Z' done=True done_reason='stop' total_duration=86301164527 load_duration=1469823091 prompt_eval_count=92063 prompt_eval_duration=75389121838 eval_count=583 eval_duration=8630079435 message=Message(role='assistant', content='PREFIX ns1: &lt;http://dbkwik.webdatacommons.org/marvel.wikia.com/property/&gt;\nPREFIX mc:  &lt;http://dbkwik.webdatacommons.org/marvel.wikia.com/class/&gt;\n\nSELECT ?character ?primaryName\nWHERE {\n  ?character a mc:character .\n  OPTIONAL { ?character ns1:realname  ?realName . }\n  OPTIONAL { ?character ns1:alternate ?alias   . }\n  BIND( COALESCE(?realName, ?alias) AS ?primaryName )\n}', thinking='We need SPARQL query: "What are all the available characters and their primary alias/real name?" We need to retrieve characters and primary alias/real name. Look at schema: properties ns1:realname, ns1:alternate? ns1:alternate property likely alias. Also ns1:mainCharacter? But question: characters and primary alias/real name. So we need list of characters (entities that are characters) and their real name or primary alias. How to identify characters? There is class &lt;http://dbkwik.webdatacommons.org/marvel.wikia.com/class/character&gt; maybe type? Also many resources have rdf:type of that class. So query: SELECT ?character ?realName WHERE { ?character a &lt;.../class/character&gt; . OPTIONAL { ?character ns1:realname ?realName } } Also maybe primary alias: maybe ns1:alternate used for alias? We can include both. Could use COALESCE. Provide two columns: character and alias. Use OPTIONAL for ns1:alternate and ns1:realname. Use BIND(COALESCE(?realname, ?alternate) as ?primaryName). But need prefix definitions. Prefixes: ns1: http://dbkwik.webdatacommons.org/marvel.wikia.com/property/ . class prefix: maybe use ns2? Actually class URIs: http://dbkwik.webdatacommons.org/marvel.wikia.com/class/. So define prefix mc: &lt;http://dbkwik.webdatacommons.org/marvel.wikia.com/class/&gt; . Then query.\n\nReturn character and primary name.\n\nWrite query:\n\nPREFIX ns1: &lt;http://dbkwik.webdatacommons.org/marvel.wikia.com/property/&gt;\nPREFIX mc: &lt;http://dbkwik.webdatacommons.org/marvel.wikia.com/class/&gt;\n\nSELECT ?character ?primaryName WHERE {\n  ?character a mc:character .\n  OPTIONAL { ?character ns1:realname ?realName . }\n  OPTIONAL { ?character ns1:alternate ?alias . }\n  BIND(COALESCE(?realName, ?alias) AS ?primaryName)\n}\nNote: maybe also ns1:name? But keep.\n\nReturn.\n\n',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</si>
  <si>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PREFIX mc:  &lt;http://dbkwik.webdatacommons.org/marvel.wikia.com/class/&gt;
SELECT ?character ?primaryName
WHERE {
  ?character a mc:character .
  OPTIONAL { ?character ns1:realname  ?realName . }
  OPTIONAL { ?character ns1:alternate ?alias   . }
  BIND( COALESCE(?realName, ?alias) AS ?primaryName )
}</t>
  </si>
  <si>
    <t>{
  "cq_text": "What are all the available characters and their primary alias/real name?",
  "syntax_ok": true,
  "satisfiable": true,
  "deterministic": true,
  "latency": {
    "p50_ms": 17.84,
    "p95_ms": 18.1,
    "mean_ms": 16.99
  },
  "rows": 1,
  "vars": 2,
  "always_unbound_vars": [],
  "lexical_query_overlap": 0.07,
  "semantic_similarity_to_CQ": 0.78,
  "semantic_soft_coverage_to_CQ": 0.8,
  "tuple_cohesion": 1.0,
  "variables": [
    {
      "var": "character",
      "rows": 1,
      "distinct": 1,
      "null_rate": 0.0,
      "label_resolution_rate": 1.0,
      "diversity_entropy_norm": -1.0,
      "semantic_cohesion": 1.0,
      "dup_ratio": 0.0,
      "bound_rate": 1.0
    },
    {
      "var": "primaryName",
      "rows": 1,
      "distinct": 1,
      "null_rate": 0.0,
      "label_resolution_rate": 1.0,
      "diversity_entropy_norm": -1.0,
      "semantic_cohesion": 1.0,
      "dup_ratio": 0.0,
      "bound_rate": 1.0
    }
  ]
}</t>
  </si>
  <si>
    <t>[{"var": "character", "rows": 1, "distinct": 1, "null_rate": 0.0, "label_resolution_rate": 1.0, "diversity_entropy_norm": -1.0, "semantic_cohesion": 1.0, "dup_ratio": 0.0, "bound_rate": 1.0}, {"var": "primaryName", "rows": 1, "distinct": 1, "null_rate": 0.0, "label_resolution_rate": 1.0, "diversity_entropy_norm": -1.0, "semantic_cohesion": 1.0, "dup_ratio": 0.0, "bound_rate": 1.0}]</t>
  </si>
  <si>
    <t>PREFIX ns1: &lt;http://dbkwik.webdatacommons.org/marvel.wikia.com/property/&gt;
SELECT ?character ?movie
WHERE {
  ?character ns1:movies ?movie .
}</t>
  </si>
  <si>
    <t>model='gpt-oss:120b' created_at='2025-11-19T20:00:09.729061889Z' done=True done_reason='stop' total_duration=80562077519 load_duration=746993931 prompt_eval_count=92068 prompt_eval_duration=75331361454 eval_count=265 eval_duration=3937939208 message=Message(role='assistant', content='PREFIX ns1: &lt;http://dbkwik.webdatacommons.org/marvel.wikia.com/property/&gt;\nSELECT ?character ?movie\nWHERE {\n  ?character ns1:movies ?movie .\n}', thinking='The task: "Write a SPARQL query that answers the competency question: What are all the character–movie appearance pairs (which characters appear in which movies) available?" We must use the provided TTL schema. Look for relevant properties linking characters to movies: scanning the schema, there is property ns1:movies defined as rdf:Property; label "Movies". This likely is used to link characters to movies. Also there may be other properties like ns1:appearing etc. But the competency asks for character-movie appearance pairs, i.e., list characters and movies they appear in. Use ns1:movies property.\n\nThus query: SELECT ?character ?movie WHERE { ?character ns1:movies ?movie . }\n\nNeed prefixes defined: ns1 is http://dbkwik.webdatacommons.org/marvel.wikia.com/property/. Use that.\n\nAlso might need to include that characters are resources of certain class? Not required.\n\nThus produce SPARQL query with prefixes for ns1 and maybe rdf. Provide full.\n\nReturn only the query.\n\n',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</si>
  <si>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?character ?movie
WHERE {
  ?character ns1:movies ?movie .
}</t>
  </si>
  <si>
    <t>{
  "cq_text": "What are all the character\u2013movie appearance pairs (which characters appear in which movies) available?",
  "syntax_ok": true,
  "satisfiable": true,
  "deterministic": true,
  "latency": {
    "p50_ms": 48.11,
    "p95_ms": 52.7,
    "mean_ms": 49.23
  },
  "rows": 1033,
  "vars": 2,
  "always_unbound_vars": [],
  "lexical_query_overlap": 0.13,
  "semantic_similarity_to_CQ": 0.7,
  "semantic_soft_coverage_to_CQ": 0.79,
  "tuple_cohesion": 0.79,
  "variables": [
    {
      "var": "character",
      "rows": 1033,
      "distinct": 413,
      "null_rate": 0.0,
      "label_resolution_rate": 1.0,
      "diversity_entropy_norm": 0.86,
      "semantic_cohesion": 0.64,
      "dup_ratio": 0.6,
      "bound_rate": 1.0
    },
    {
      "var": "movie",
      "rows": 1033,
      "distinct": 345,
      "null_rate": 0.0,
      "label_resolution_rate": 0.9636871508379888,
      "diversity_entropy_norm": 0.73,
      "semantic_cohesion": 0.61,
      "dup_ratio": 0.67,
      "bound_rate": 1.0
    }
  ]
}</t>
  </si>
  <si>
    <t>No valid query can be generated based on the provided schema.</t>
  </si>
  <si>
    <t>model='gpt-oss:120b' created_at='2025-11-19T20:01:32.965844203Z' done=True done_reason='stop' total_duration=81807140688 load_duration=1559139802 prompt_eval_count=92066 prompt_eval_duration=75396613163 eval_count=289 eval_duration=4280460459 message=Message(role='assistant', content='No valid query can be generated based on the provided schema.', thinking='We need to answer competency question: "What are all the actor–character pairs (which actors portray which characters) available?" Need to use schema to find property linking actors to characters. Look for property perhaps ns1:mainCharacter? That is used for characters? Actually ns1:mainCharacter appears on many items, e.g., &lt;http://dbkwik.webdatacommons.org/marvel.wikia.com/resource/3-D_Man&gt; has ns1:mainCharacter &lt;http://.../resource/Charles_Chandler_(Earth-616)&gt;. That is probably main character of a series? But actor mapping? Look for property relating actors and characters. Search for "actor" maybe not present. Might be ns1:actors? Not in list. Look for "portrays" maybe ns1:portrays? Not present. Maybe ns1:role? Not in schema.\n\nGiven data, there are few actor entries like "Ant-Man (film)" with ns1:id linking to Ant-Man? But not mapping to character. The schema seems not contain actor-character relationship. So answer may be "No valid query can be generated based on the provided schema." But we can consider using ns1:mainCharacter linking a comic series to a character, but not actor.\n\nThus answer: No valid query.',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</si>
  <si>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No valid query can be generated based on the provided schema.</t>
  </si>
  <si>
    <t>{
  "cq_text": "What are all the actor\u2013character pairs (which actors portray which characters) available?",
  "syntax_ok": false,
  "syntax_msg": "No SPARQL form found"
}</t>
  </si>
  <si>
    <t>PREFIX ns1: &lt;http://dbkwik.webdatacommons.org/marvel.wikia.com/property/&gt;
SELECT DISTINCT ?character ?team ?movie
WHERE {
  ?character ns1:teams   ?team .
  ?character ns1:movies  ?movie .
}</t>
  </si>
  <si>
    <t>model='gpt-oss:120b' created_at='2025-11-19T20:02:55.540262843Z' done=True done_reason='stop' total_duration=81741271770 load_duration=628492398 prompt_eval_count=92075 prompt_eval_duration=75373456163 eval_count=344 eval_duration=5121408840 message=Message(role='assistant', content='PREFIX ns1: &lt;http://dbkwik.webdatacommons.org/marvel.wikia.com/property/&gt;\n\nSELECT DISTINCT ?character ?team ?movie\nWHERE {\n  ?character ns1:teams   ?team .\n  ?character ns1:movies  ?movie .\n}', thinking='The user asks: "Write a SPARQL query that answers the following competency question: What are all the character–team–movie triples available where a character is a member of a team and appears in a movie?"\n\nWe need to use the provided TTL schema. Need to find properties that indicate membership of a character in a team and appearance in a movie.\n\nLook at schema: there are many properties: ns1:teams, ns1:movies, ns1:appearing? Let\'s search: ns1:appearing is defined as rdf:Property; label "Appearing". Also ns1:movies property. So likely characters have ns1:teams linking to team resources, and ns1:movies linking to movie resources.\n\nThus we need triples ?character ns1:teams ?team . ?character ns1:movies ?movie .\n\nSelect ?character ?team ?movie.\n\nWe need to include prefixes: ns1: &lt;http://dbkwik.webdatacommons.org/marvel.wikia.com/property/&gt; .\n\nThus query:\n\nPREFIX ns1: &lt;http://dbkwik.webdatacommons.org/marvel.wikia.com/property/&gt;\nSELECT ?character ?team ?movie WHERE {\n  ?character ns1:teams ?team .\n  ?character ns1:movies ?movie .\n}\n\nWe might also want distinct.\n\nThus final answer is SPARQL query.\n\n',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</si>
  <si>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?character ?team ?movie
WHERE {
  ?character ns1:teams   ?team .
  ?character ns1:movies  ?movie .
}</t>
  </si>
  <si>
    <t>{
  "cq_text": "What are all the character\u2013team\u2013movie triples available where a character is a member of a team and appears in a movie?",
  "syntax_ok": true,
  "satisfiable": true,
  "deterministic": true,
  "latency": {
    "p50_ms": 42.18,
    "p95_ms": 42.63,
    "mean_ms": 41.77
  },
  "rows": 432,
  "vars": 3,
  "always_unbound_vars": [],
  "lexical_query_overlap": 0.16,
  "semantic_similarity_to_CQ": 0.75,
  "semantic_soft_coverage_to_CQ": 0.82,
  "tuple_cohesion": 0.92,
  "variables": [
    {
      "var": "character",
      "rows": 432,
      "distinct": 33,
      "null_rate": 0.0,
      "label_resolution_rate": 1.0,
      "diversity_entropy_norm": 0.56,
      "semantic_cohesion": 0.73,
      "dup_ratio": 0.92,
      "bound_rate": 1.0
    },
    {
      "var": "team",
      "rows": 432,
      "distinct": 127,
      "null_rate": 0.0,
      "label_resolution_rate": 1.0,
      "diversity_entropy_norm": 0.95,
      "semantic_cohesion": 0.56,
      "dup_ratio": 0.71,
      "bound_rate": 1.0
    },
    {
      "var": "movie",
      "rows": 432,
      "distinct": 68,
      "null_rate": 0.0,
      "label_resolution_rate": 1.0,
      "diversity_entropy_norm": 0.84,
      "semantic_cohesion": 0.63,
      "dup_ratio": 0.84,
      "bound_rate": 1.0
    }
  ]
}</t>
  </si>
  <si>
    <t>PREFIX ns1: &lt;http://dbkwik.webdatacommons.org/marvel.wikia.com/property/&gt;
SELECT DISTINCT ?character ?power ?movie
WHERE {
  ?character ns1:powers ?power .
  ?character ns1:movies ?movie .
}</t>
  </si>
  <si>
    <t>model='gpt-oss:120b' created_at='2025-11-19T20:04:17.825472567Z' done=True done_reason='stop' total_duration=81255545046 load_duration=714937085 prompt_eval_count=92074 prompt_eval_duration=75429943221 eval_count=306 eval_duration=4530646009 message=Message(role='assistant', content='PREFIX ns1: &lt;http://dbkwik.webdatacommons.org/marvel.wikia.com/property/&gt;\n\nSELECT DISTINCT ?character ?power ?movie\nWHERE {\n  ?character ns1:powers ?power .\n  ?character ns1:movies ?movie .\n}', thinking='We need to answer competency question: "What are all the character–power–movie triples available with respect to characters with specific powers and the movies they appear in?" So we need triples (character, power, movie). We need to find properties linking characters to powers and movies. Looking at schema, there is property ns1:powers (label "Powers"). Also ns1:movies (label "Movies"). So we can query for ?character ns1:powers ?power . ?character ns1:movies ?movie . Also need characters with specific powers (i.e., maybe filter where power is not empty). We\'ll just return all triples where both properties exist. Use prefixes defined: ns1 is http://dbkwik.webdatacommons.org/marvel.wikia.com/property/. Also need to select distinct maybe. Provide ?character ?power ?movie.\n\nInclude rdf type? Not needed. Use SELECT ?character ?power ?movie WHERE { ?character ns1:powers ?power . ?character ns1:movies ?movie . }.\n\nOptionally filter that ?power is a literal or resource. Could include FILTER bound.\n\nAdd DISTINCT. Also maybe ensure both exist.\n\nThus final query.',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</si>
  <si>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?character ?power ?movie
WHERE {
  ?character ns1:powers ?power .
  ?character ns1:movies ?movie .
}</t>
  </si>
  <si>
    <t>{
  "cq_text": "What are all the character\u2013power\u2013movie triples available with respect to characters with specific powers and the movies they appear in?",
  "syntax_ok": true,
  "satisfiable": false,
  "deterministic": true,
  "latency": {
    "p50_ms": 16.69,
    "p95_ms": 17.98,
    "mean_ms": 14.06
  },
  "rows": 0,
  "vars": 3,
  "always_unbound_vars": [
    "character",
    "power",
    "movie"
  ],
  "lexical_query_overlap": 0.14,
  "semantic_similarity_to_CQ": 0.73,
  "semantic_soft_coverage_to_CQ": 0.78,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"movie",
      "rows": 0,
      "distinct": 0,
      "null_rate": 1.0,
      "label_resolution_rate": 0.0,
      "diversity_entropy_norm": 0.0,
      "semantic_cohesion": 1.0,
      "dup_ratio": 0.0,
      "bound_rate": 0.0
    }
  ]
}</t>
  </si>
  <si>
    <t>PREFIX ns1: &lt;http://dbkwik.webdatacommons.org/marvel.wikia.com/property/&gt;
SELECT ?character1 ?character2 (COUNT(DISTINCT ?movie) AS ?sharedMovies)
WHERE {
  ?character1 ns1:movies ?movie .
  ?character2 ns1:movies ?movie .
  FILTER(?character1 != ?character2)
  FILTER(STR(?character1) &lt; STR(?character2))   # avoid duplicate unordered pairs
}
GROUP BY ?character1 ?character2
HAVING (COUNT(DISTINCT ?movie) &gt;= 2)</t>
  </si>
  <si>
    <t>model='gpt-oss:120b' created_at='2025-11-19T20:05:43.642456687Z' done=True done_reason='stop' total_duration=84686854357 load_duration=1319073484 prompt_eval_count=92071 prompt_eval_duration=75499955312 eval_count=483 eval_duration=7143340263 message=Message(role='assistant', content='PREFIX ns1: &lt;http://dbkwik.webdatacommons.org/marvel.wikia.com/property/&gt;\n\nSELECT ?character1 ?character2 (COUNT(DISTINCT ?movie) AS ?sharedMovies)\nWHERE {\n  ?character1 ns1:movies ?movie .\n  ?character2 ns1:movies ?movie .\n  FILTER(?character1 != ?character2)\n  FILTER(STR(?character1) &lt; STR(?character2))   # avoid duplicate unordered pairs\n}\nGROUP BY ?character1 ?character2\nHAVING (COUNT(DISTINCT ?movie) &gt;= 2)', thinking='We need to answer competency question: "What are all the pairs of characters that are linked through movies and co-appear in at least two movies?"\n\nWe need to use schema to find characters linked through movies. There is property ns1:movies linking characters to movies. Need pairs of characters that share at least two movies (co-appear). So query characters ?c1 ?c2 where both have ns1:movies ?m and there are at least two distinct ?m shared.\n\nWe need to return pairs. Use prefixes defined.\n\nWe must ensure characters are distinct. Use FILTER(?c1 &lt; ?c2) maybe using STR(?c1) &lt; STR(?c2) or sameAs? Use != and ordering.\n\nWe need count of shared movies &gt;=2.\n\nSPARQL: SELECT ?c1 ?c2 (COUNT(DISTINCT ?m) AS ?sharedCount) WHERE {\n  ?c1 ns1:movies ?m .\n  ?c2 ns1:movies ?m .\n  FILTER(?c1 != ?c2)\n}\nGROUP BY ?c1 ?c2\nHAVING (COUNT(DISTINCT ?m) &gt;= 2)\n\nWe might also ensure ?c1 and ?c2 are of type ? maybe not needed.\n\nReturn pairs. Use prefixes: ns1: &lt;http://dbkwik.webdatacommons.org/marvel.wikia.com/property/&gt; .\n\nAlso include maybe rdfs:label? Not required.\n\nReturn only pairs, maybe also shared count optional.\n\nBut question: "What are all the pairs of characters that are linked through movies and co-appear in at least two movies?" So just list pairs. Could also include movies? But pairs only.\n\nThus final query.\n\n',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</si>
  <si>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?character1 ?character2 (COUNT(DISTINCT ?movie) AS ?sharedMovies)
WHERE {
  ?character1 ns1:movies ?movie .
  ?character2 ns1:movies ?movie .
  FILTER(?character1 != ?character2)
  FILTER(STR(?character1) &lt; STR(?character2))   # avoid duplicate unordered pairs
}
GROUP BY ?character1 ?character2
HAVING (COUNT(DISTINCT ?movie) &gt;= 2)</t>
  </si>
  <si>
    <t>{
  "cq_text": "What are all the pairs of characters that are linked through movies and co-appear in at least two movies?",
  "syntax_ok": true,
  "satisfiable": true,
  "deterministic": true,
  "latency": {
    "p50_ms": 275.74,
    "p95_ms": 277.57,
    "mean_ms": 271.97
  },
  "rows": 502,
  "vars": 4,
  "always_unbound_vars": [
    "movie"
  ],
  "lexical_query_overlap": 0.03,
  "semantic_similarity_to_CQ": 0.76,
  "semantic_soft_coverage_to_CQ": 0.78,
  "tuple_cohesion": 0.98,
  "variables": [
    {
      "var": "character1",
      "rows": 502,
      "distinct": 50,
      "null_rate": 0.0,
      "label_resolution_rate": 1.0,
      "diversity_entropy_norm": 0.77,
      "semantic_cohesion": 0.75,
      "dup_ratio": 0.9,
      "bound_rate": 1.0
    },
    {
      "var": "character2",
      "rows": 502,
      "distinct": 44,
      "null_rate": 0.0,
      "label_resolution_rate": 1.0,
      "diversity_entropy_norm": 0.78,
      "semantic_cohesion": 0.74,
      "dup_ratio": 0.91,
      "bound_rate": 1.0
    },
    {
      "var": "movie",
      "rows": 502,
      "distinct": 0,
      "null_rate": 1.0,
      "label_resolution_rate": 0.0,
      "diversity_entropy_norm": 0.0,
      "semantic_cohesion": 1.0,
      "dup_ratio": 0.0,
      "bound_rate": 0.0
    },
    {
      "var": "sharedMovies",
      "rows": 502,
      "distinct": 4,
      "null_rate": 0.0,
      "label_resolution_rate": 1.0,
      "diversity_entropy_norm": 0.44,
      "semantic_cohesion": 0.95,
      "dup_ratio": 0.99,
      "bound_rate": 1.0
    }
  ]
}</t>
  </si>
  <si>
    <t>[{"var": "character1", "rows": 502, "distinct": 50, "null_rate": 0.0, "label_resolution_rate": 1.0, "diversity_entropy_norm": 0.77, "semantic_cohesion": 0.75, "dup_ratio": 0.9, "bound_rate": 1.0}, {"var": "character2", "rows": 502, "distinct": 44, "null_rate": 0.0, "label_resolution_rate": 1.0, "diversity_entropy_norm": 0.78, "semantic_cohesion": 0.74, "dup_ratio": 0.91, "bound_rate": 1.0}, {"var": "movie", "rows": 502, "distinct": 0, "null_rate": 1.0, "label_resolution_rate": 0.0, "diversity_entropy_norm": 0.0, "semantic_cohesion": 1.0, "dup_ratio": 0.0, "bound_rate": 0.0}, {"var": "sharedMovies", "rows": 502, "distinct": 4, "null_rate": 0.0, "label_resolution_rate": 1.0, "diversity_entropy_norm": 0.44, "semantic_cohesion": 0.95, "dup_ratio": 0.99, "bound_rate": 1.0}]</t>
  </si>
  <si>
    <t>PREFIX ns1: &lt;http://dbkwik.webdatacommons.org/marvel.wikia.com/property/&gt;
PREFIX rdfs: &lt;http://www.w3.org/2000/01/rdf-schema#&gt;
SELECT ?teamLabel (GROUP_CONCAT(?memberLabel; separator=", ") AS ?members)
WHERE {
  ?member ns1:teams ?team .
  ?team rdfs:label ?teamLabel .
  ?member rdfs:label ?memberLabel .
}
GROUP BY ?teamLabel</t>
  </si>
  <si>
    <t>model='gpt-oss:120b' created_at='2025-11-19T20:07:07.907815464Z' done=True done_reason='stop' total_duration=83091618867 load_duration=1248977375 prompt_eval_count=92064 prompt_eval_duration=75341306506 eval_count=394 eval_duration=5833636953 message=Message(role='assistant', content='PREFIX ns1: &lt;http://dbkwik.webdatacommons.org/marvel.wikia.com/property/&gt;\nPREFIX rdfs: &lt;http://www.w3.org/2000/01/rdf-schema#&gt;\n\nSELECT ?teamLabel (GROUP_CONCAT(?memberLabel; separator=", ") AS ?members)\nWHERE {\n  ?member ns1:teams ?team .\n  ?team rdfs:label ?teamLabel .\n  ?member rdfs:label ?memberLabel .\n}\nGROUP BY ?teamLabel', thinking='We need to answer competency question: "What are all the teams and the set of members for each team available?" Need to retrieve teams and their members. Look for properties linking teams to members: ns1:teams property appears in many resources indicating members belong to team. Also ns1:teames? Actually ns1:teames is defined earlier as property "Teames". Might be misspelled. We need to find all resources where ns1:teams points to a team? Actually property ns1:teams a rdf:Property; label "Teams". Likely used on characters to indicate team membership. So query: select ?team (maybe label) and collect members ?member where ?member ns1:teams ?team. Use PREFIX ns1. Also get labels for team and member.\n\nThus SPARQL:\n\nPREFIX ns1: &lt;http://dbkwik.webdatacommons.org/marvel.wikia.com/property/&gt;\nPREFIX rdfs: &lt;http://www.w3.org/2000/01/rdf-schema#&gt;\n\nSELECT ?teamLabel (GROUP_CONCAT(?memberLabel; separator=", ") AS ?members)\nWHERE {\n  ?member ns1:teams ?team .\n  ?team rdfs:label ?teamLabel .\n  ?member rdfs:label ?memberLabel .\n}\nGROUP BY ?teamLabel\n\nReturn all teams with members. That should be fine.\n\n',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</si>
  <si>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?teamLabel (GROUP_CONCAT(?memberLabel; separator=", ") AS ?members)
WHERE {
  ?member ns1:teams ?team .
  ?team rdfs:label ?teamLabel .
  ?member rdfs:label ?memberLabel .
}
GROUP BY ?teamLabel</t>
  </si>
  <si>
    <t>{
  "cq_text": "What are all the teams and the set of members for each team available?",
  "syntax_ok": true,
  "satisfiable": true,
  "deterministic": true,
  "latency": {
    "p50_ms": 28.38,
    "p95_ms": 29.47,
    "mean_ms": 28.49
  },
  "rows": 323,
  "vars": 3,
  "always_unbound_vars": [
    "memberLabel"
  ],
  "lexical_query_overlap": 0.06,
  "semantic_similarity_to_CQ": 0.8,
  "semantic_soft_coverage_to_CQ": 0.78,
  "tuple_cohesion": 0.67,
  "variables": [
    {
      "var": "teamLabel",
      "rows": 323,
      "distinct": 323,
      "null_rate": 0.0,
      "label_resolution_rate": 1.0,
      "diversity_entropy_norm": 1.0,
      "semantic_cohesion": 0.68,
      "dup_ratio": 0.0,
      "bound_rate": 1.0
    },
    {
      "var": "memberLabel",
      "rows": 323,
      "distinct": 0,
      "null_rate": 1.0,
      "label_resolution_rate": 0.0,
      "diversity_entropy_norm": 0.0,
      "semantic_cohesion": 1.0,
      "dup_ratio": 0.0,
      "bound_rate": 0.0
    },
    {
      "var": "members",
      "rows": 323,
      "distinct": 224,
      "null_rate": 0.0,
      "label_resolution_rate": 1.0,
      "diversity_entropy_norm": 0.97,
      "semantic_cohesion": 0.56,
      "dup_ratio": 0.31,
      "bound_rate": 1.0
    }
  ]
}</t>
  </si>
  <si>
    <t>["memberLabel"]</t>
  </si>
  <si>
    <t>[{"var": "teamLabel", "rows": 323, "distinct": 323, "null_rate": 0.0, "label_resolution_rate": 1.0, "diversity_entropy_norm": 1.0, "semantic_cohesion": 0.68, "dup_ratio": 0.0, "bound_rate": 1.0}, {"var": "memberLabel", "rows": 323, "distinct": 0, "null_rate": 1.0, "label_resolution_rate": 0.0, "diversity_entropy_norm": 0.0, "semantic_cohesion": 1.0, "dup_ratio": 0.0, "bound_rate": 0.0}, {"var": "members", "rows": 323, "distinct": 224, "null_rate": 0.0, "label_resolution_rate": 1.0, "diversity_entropy_norm": 0.97, "semantic_cohesion": 0.56, "dup_ratio": 0.31, "bound_rate": 1.0}]</t>
  </si>
  <si>
    <t>PREFIX ns1: &lt;http://dbkwik.webdatacommons.org/marvel.wikia.com/property/&gt;
SELECT DISTINCT ?movie ?team
WHERE {
  ?character ns1:movies ?movie .
  ?character ns1:teams ?team .
}</t>
  </si>
  <si>
    <t>model='gpt-oss:120b' created_at='2025-11-19T20:08:30.998604803Z' done=True done_reason='stop' total_duration=82210624754 load_duration=921156432 prompt_eval_count=92069 prompt_eval_duration=75445184334 eval_count=352 eval_duration=5203892177 message=Message(role='assistant', content='PREFIX ns1: &lt;http://dbkwik.webdatacommons.org/marvel.wikia.com/property/&gt;\n\nSELECT DISTINCT ?movie ?team\nWHERE {\n  ?character ns1:movies ?movie .\n  ?character ns1:teams ?team .\n}', thinking='We need to answer competency question: "What are all the movies and the set of teams that have at least one member appearing in them?" So we need to retrieve movies and teams where a team has at least one member appearing in the movie. The schema includes properties: ns1:movies (for characters maybe linking to movies), ns1:teams (for characters linking to teams). We need to find movies and teams such that there exists a character that appears in movie and is a member of team.\n\nThus query: SELECT ?movie ?team WHERE { ?character ns1:movies ?movie . ?character ns1:teams ?team . } Possibly distinct.\n\nWe need to use prefixes defined: ns1: is http://dbkwik.webdatacommons.org/marvel.wikia.com/property/. Use that.\n\nThus query:\n\nPREFIX ns1: &lt;http://dbkwik.webdatacommons.org/marvel.wikia.com/property/&gt;\n\nSELECT DISTINCT ?movie ?team WHERE {\n  ?character ns1:movies ?movie .\n  ?character ns1:teams ?team .\n}\n\nReturn movies and set of teams; maybe grouping? but ask "set of teams that have at least one member appearing in them" So each movie with set of teams. Could use GROUP_CONCAT. But requirement: retrieve movies and set of teams. Could output each pair.\n\nSimplest: list pairs.\n\nThus final answer SPARQL query.\n\n',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</si>
  <si>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?movie ?team
WHERE {
  ?character ns1:movies ?movie .
  ?character ns1:teams ?team .
}</t>
  </si>
  <si>
    <t>{
  "cq_text": "What are all the movies and the set of teams that have at least one member appearing in them?",
  "syntax_ok": true,
  "satisfiable": true,
  "deterministic": true,
  "latency": {
    "p50_ms": 40.74,
    "p95_ms": 42.19,
    "mean_ms": 35.98
  },
  "rows": 430,
  "vars": 2,
  "always_unbound_vars": [],
  "lexical_query_overlap": 0.0,
  "semantic_similarity_to_CQ": 0.79,
  "semantic_soft_coverage_to_CQ": 0.75,
  "tuple_cohesion": 0.88,
  "variables": [
    {
      "var": "movie",
      "rows": 430,
      "distinct": 68,
      "null_rate": 0.0,
      "label_resolution_rate": 1.0,
      "diversity_entropy_norm": 0.83,
      "semantic_cohesion": 0.67,
      "dup_ratio": 0.84,
      "bound_rate": 1.0
    },
    {
      "var": "team",
      "rows": 430,
      "distinct": 138,
      "null_rate": 0.0,
      "label_resolution_rate": 1.0,
      "diversity_entropy_norm": 0.95,
      "semantic_cohesion": 0.6,
      "dup_ratio": 0.68,
      "bound_rate": 1.0
    }
  ]
}</t>
  </si>
  <si>
    <t>[{"var": "movie", "rows": 430, "distinct": 68, "null_rate": 0.0, "label_resolution_rate": 1.0, "diversity_entropy_norm": 0.83, "semantic_cohesion": 0.67, "dup_ratio": 0.84, "bound_rate": 1.0}, {"var": "team", "rows": 430, "distinct": 138, "null_rate": 0.0, "label_resolution_rate": 1.0, "diversity_entropy_norm": 0.95, "semantic_cohesion": 0.6, "dup_ratio": 0.68, "bound_rate": 1.0}]</t>
  </si>
  <si>
    <t>```sparql
PREFIX ns1: &lt;http://dbkwik.webdatacommons.org/marvel.wikia.com/property/&gt;
PREFIX rdfs: &lt;http://www.w3.org/2000/01/rdf-schema#&gt;
SELECT DISTINCT ?location ?locationLabel
WHERE {
  {
    ?character ns1:origin            ?location .
  } UNION {
    ?character ns1:baseofoperations ?location .
  } UNION {
    ?character ns1:placeofbirth      ?location .
  }
  FILTER ( isIRI(?location) )
  OPTIONAL {
    ?location rdfs:label ?locationLabel .
    FILTER (lang(?locationLabel) = "en")
  }
}
```</t>
  </si>
  <si>
    <t>model='gpt-oss:120b' created_at='2025-11-19T20:09:56.542479432Z' done=True done_reason='stop' total_duration=84341681270 load_duration=1520821817 prompt_eval_count=92071 prompt_eval_duration=75436121552 eval_count=451 eval_duration=6675913209 message=Message(role='assistant', content='```sparql\nPREFIX ns1: &lt;http://dbkwik.webdatacommons.org/marvel.wikia.com/property/&gt;\nPREFIX rdfs: &lt;http://www.w3.org/2000/01/rdf-schema#&gt;\n\nSELECT DISTINCT ?location ?locationLabel\nWHERE {\n  {\n    ?character ns1:origin            ?location .\n  } UNION {\n    ?character ns1:baseofoperations ?location .\n  } UNION {\n    ?character ns1:placeofbirth      ?location .\n  }\n  FILTER ( isIRI(?location) )\n  OPTIONAL {\n    ?location rdfs:label ?locationLabel .\n    FILTER (lang(?locationLabel) = "en")\n  }\n}\n```', thinking='The user asks: "What are all locations that are associated with at least one character appearance (e.g., origin or major setting)?"\n\nWe need to produce a SPARQL query using the given TTL schema. We must identify properties that link characters to locations: ns1:origin, ns1:baseofoperations, ns1:placeofbirth, maybe ns1:location? The schema shows ns1:origin a rdf:Property; ns1:baseofoperations a rdf:Property; ns1:placeofbirth a rdf:Property. Also maybe ns1:mainImageSize not location. So locations are entities that appear as values for these properties.\n\nWe need distinct locations that are associated with at least one character appearance.\n\nThus query: select distinct ?location where ?character ns1:origin ?location . UNION ?character ns1:baseofoperations ?location . UNION ?character ns1:placeofbirth ?location . Ensure ?location is a resource (not literal). Use FILTER(isIRI(?location)). Return maybe labels? Could return location and label.\n\nAdd prefixes: ns1: http://dbkwik.webdatacommons.org/marvel.wikia.com/property/. Use SELECT ?location ?label where ... OPTIONAL { ?location rdfs:label ?label . FILTER (lang(?label) = "en") }\n\nNow ensure we only include those locations that have at least one associated character. The query inherently does that.\n\nThus final query.',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</si>
  <si>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?location ?locationLabel
WHERE {
  {
    ?character ns1:origin            ?location .
  } UNION {
    ?character ns1:baseofoperations ?location .
  } UNION {
    ?character ns1:placeofbirth      ?location .
  }
  FILTER ( isIRI(?location) )
  OPTIONAL {
    ?location rdfs:label ?locationLabel .
    FILTER (lang(?locationLabel) = "en")
  }
}</t>
  </si>
  <si>
    <t>{
  "cq_text": "What are all locations that are associated with at least one character appearance (e.g., origin or major setting)?",
  "syntax_ok": true,
  "satisfiable": true,
  "deterministic": true,
  "latency": {
    "p50_ms": 9.46,
    "p95_ms": 17.87,
    "mean_ms": 11.97
  },
  "rows": 2,
  "vars": 2,
  "always_unbound_vars": [
    "locationLabel"
  ],
  "lexical_query_overlap": 0.05,
  "semantic_similarity_to_CQ": 0.63,
  "semantic_soft_coverage_to_CQ": 0.76,
  "tuple_cohesion": 1.0,
  "variables": [
    {
      "var": "location",
      "rows": 2,
      "distinct": 1,
      "null_rate": 0.0,
      "label_resolution_rate": 1.0,
      "diversity_entropy_norm": -1.0,
      "semantic_cohesion": 1.0,
      "dup_ratio": 0.5,
      "bound_rate": 1.0
    },
    {
      "var": "locationLabel",
      "rows": 2,
      "distinct": 0,
      "null_rate": 1.0,
      "label_resolution_rate": 0.0,
      "diversity_entropy_norm": 0.0,
      "semantic_cohesion": 1.0,
      "dup_ratio": 0.0,
      "bound_rate": 0.0
    }
  ]
}</t>
  </si>
  <si>
    <t>["locationLabel"]</t>
  </si>
  <si>
    <t>[{"var": "location", "rows": 2, "distinct": 1, "null_rate": 0.0, "label_resolution_rate": 1.0, "diversity_entropy_norm": -1.0, "semantic_cohesion": 1.0, "dup_ratio": 0.5, "bound_rate": 1.0}, {"var": "locationLabel", "rows": 2, "distinct": 0, "null_rate": 1.0, "label_resolution_rate": 0.0, "diversity_entropy_norm": 0.0, "semantic_cohesion": 1.0, "dup_ratio": 0.0, "bound_rate": 0.0}]</t>
  </si>
  <si>
    <t>PREFIX ns1: &lt;http://dbkwik.webdatacommons.org/marvel.wikia.com/property/&gt;
SELECT DISTINCT ?director ?actor
WHERE {
  ?director ns1:movies ?movie .
  ?actor   ns1:movies ?movie .
  FILTER(?director != ?actor)
}</t>
  </si>
  <si>
    <t>model='gpt-oss:120b' created_at='2025-11-19T20:11:21.225802307Z' done=True done_reason='stop' total_duration=83567170774 load_duration=1015066748 prompt_eval_count=92062 prompt_eval_duration=75440636120 eval_count=433 eval_duration=6376637691 message=Message(role='assistant', content='PREFIX ns1: &lt;http://dbkwik.webdatacommons.org/marvel.wikia.com/property/&gt;\n\nSELECT DISTINCT ?director ?actor\nWHERE {\n  ?director ns1:movies ?movie .\n  ?actor   ns1:movies ?movie .\n  FILTER(?director != ?actor)\n}', thinking='We need to answer: "What are all the director–actor pairs linked through movies available?" Using schema, we need to find director and actor properties linking via movies. Look for properties: ns1:movies maybe used for movies linking characters? In schema, ns1:movies a rdf:Property; description "Movies". Likely used on characters to list movies they appear in? Could also be on movies linking to directors/actors? Let\'s search for director and actor properties: Look for ns1:director? Not defined. Maybe use ns1:movies to connect a director resource to movie resource? Let\'s see any triples with director: Search in data for "director". I don\'t see any property for director. Actors? maybe ns1:actor? Not present. Could be via "movies" linking to movies which have properties "director" and "actor". Need to find any resources with type of movie? Not defined. Might be missing.\n\nBut maybe the intended query: find pairs where a director and an actor are linked through movies using ns1:movies property. For each movie, there are director and actor relationships? Search for triples with predicate ns1:director: not present. Maybe ns1:director not defined. Could be using generic properties like ns1:movies linking from director to movies, and also from actor to movies. So we find all subjects (director) with ns1:movies some movie, and objects (actor) with ns1:movies same movie. Then output pairs.\n\nThus SPARQL: select distinct ?director ?actor where { ?director ns1:movies ?movie . ?actor ns1:movies ?movie . FILTER(?director != ?actor) }.\n\nNeed prefixes: ns1 defined. Use SELECT. Return director and actor.\n\nThus answer.',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</si>
  <si>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?director ?actor
WHERE {
  ?director ns1:movies ?movie .
  ?actor   ns1:movies ?movie .
  FILTER(?director != ?actor)
}</t>
  </si>
  <si>
    <t>{
  "cq_text": "What are all the director\u2013actor pairs linked through movies available?",
  "syntax_ok": true,
  "satisfiable": true,
  "deterministic": true,
  "latency": {
    "p50_ms": 1496.54,
    "p95_ms": 1782.28,
    "mean_ms": 1591.33
  },
  "rows": 76522,
  "vars": 2,
  "always_unbound_vars": [],
  "lexical_query_overlap": 0.11,
  "semantic_similarity_to_CQ": 0.75,
  "semantic_soft_coverage_to_CQ": 0.78,
  "tuple_cohesion": 0.96,
  "variables": [
    {
      "var": "director",
      "rows": 76522,
      "distinct": 286,
      "null_rate": 0.0,
      "label_resolution_rate": 1.0,
      "diversity_entropy_norm": 0.88,
      "semantic_cohesion": 0.66,
      "dup_ratio": 1.0,
      "bound_rate": 1.0
    },
    {
      "var": "actor",
      "rows": 76522,
      "distinct": 286,
      "null_rate": 0.0,
      "label_resolution_rate": 1.0,
      "diversity_entropy_norm": 0.88,
      "semantic_cohesion": 0.66,
      "dup_ratio": 1.0,
      "bound_rate": 1.0
    }
  ]
}</t>
  </si>
  <si>
    <t>[{"var": "director", "rows": 76522, "distinct": 286, "null_rate": 0.0, "label_resolution_rate": 1.0, "diversity_entropy_norm": 0.88, "semantic_cohesion": 0.66, "dup_ratio": 1.0, "bound_rate": 1.0}, {"var": "actor", "rows": 76522, "distinct": 286, "null_rate": 0.0, "label_resolution_rate": 1.0, "diversity_entropy_norm": 0.88, "semantic_cohesion": 0.66, "dup_ratio": 1.0, "bound_rate": 1.0}]</t>
  </si>
  <si>
    <t>PREFIX ns1: &lt;http://dbkwik.webdatacommons.org/marvel.wikia.com/property/&gt;
SELECT ?power (GROUP_CONCAT(DISTINCT ?character; separator=", ") AS ?characters)
WHERE {
  ?character ns1:powers ?power .
}
GROUP BY ?power
ORDER BY ?power</t>
  </si>
  <si>
    <t>model='gpt-oss:120b' created_at='2025-11-19T20:12:43.986142931Z' done=True done_reason='stop' total_duration=81740508635 load_duration=1015854789 prompt_eval_count=92066 prompt_eval_duration=75498618090 eval_count=313 eval_duration=4617517595 message=Message(role='assistant', content='PREFIX ns1: &lt;http://dbkwik.webdatacommons.org/marvel.wikia.com/property/&gt;\n\nSELECT ?power (GROUP_CONCAT(DISTINCT ?character; separator=", ") AS ?characters)\nWHERE {\n  ?character ns1:powers ?power .\n}\nGROUP BY ?power\nORDER BY ?power', thinking='The task: write SPARQL query answering: "What are all the available distinct powers and the set of characters associated with each power?" Use provided schema. We need to retrieve distinct powers and characters associated with each. Need to find property representing powers of characters. Looking at schema: there is ns1:powers a rdf:Property; rdfs:label "Powers". So characters likely have ns1:powers linking to something representing power values. Also there are power grid entries etc. But likely simple: for each character (subjects) that have ns1:powers value (object), get distinct powers and characters. So query: SELECT ?power (GROUP_CONCAT(?character; separator=", ") AS ?characters) WHERE { ?character ns1:powers ?power . } GROUP BY ?power. Need prefixes: ns1 is http://dbkwik.webdatacommons.org/marvel.wikia.com/property/. Use that. Also need maybe distinct power values (maybe literals). So we group.\n\nWrite SPARQL with PREFIX declarations. Use SELECT DISTINCT? Actually need grouping to list characters per power. So use GROUP BY.\n\nReturn power and characters.\n\nThus final query.',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</si>
  <si>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?power (GROUP_CONCAT(DISTINCT ?character; separator=", ") AS ?characters)
WHERE {
  ?character ns1:powers ?power .
}
GROUP BY ?power
ORDER BY ?power</t>
  </si>
  <si>
    <t>{
  "cq_text": "What are all the available distinct powers and the set of characters associated with each power?",
  "syntax_ok": true,
  "satisfiable": true,
  "deterministic": true,
  "latency": {
    "p50_ms": 8.39,
    "p95_ms": 17.24,
    "mean_ms": 11.21
  },
  "rows": 1,
  "vars": 3,
  "always_unbound_vars": [
    "character"
  ],
  "lexical_query_overlap": 0.06,
  "semantic_similarity_to_CQ": 0.78,
  "semantic_soft_coverage_to_CQ": 0.76,
  "tuple_cohesion": 1.0,
  "variables": [
    {
      "var": "power",
      "rows": 1,
      "distinct": 1,
      "null_rate": 0.0,
      "label_resolution_rate": 1.0,
      "diversity_entropy_norm": -1.0,
      "semantic_cohesion": 1.0,
      "dup_ratio": 0.0,
      "bound_rate": 1.0
    },
    {
      "var": "character",
      "rows": 1,
      "distinct": 0,
      "null_rate": 1.0,
      "label_resolution_rate": 0.0,
      "diversity_entropy_norm": 0.0,
      "semantic_cohesion": 1.0,
      "dup_ratio": 0.0,
      "bound_rate": 0.0
    },
    {
      "var": "characters",
      "rows": 1,
      "distinct": 1,
      "null_rate": 0.0,
      "label_resolution_rate": 1.0,
      "diversity_entropy_norm": -1.0,
      "semantic_cohesion": 1.0,
      "dup_ratio": 0.0,
      "bound_rate": 1.0
    }
  ]
}</t>
  </si>
  <si>
    <t>["character"]</t>
  </si>
  <si>
    <t>[{"var": "power", "rows": 1, "distinct": 1, "null_rate": 0.0, "label_resolution_rate": 1.0, "diversity_entropy_norm": -1.0, "semantic_cohesion": 1.0, "dup_ratio": 0.0, "bound_rate": 1.0}, {"var": "character", "rows": 1, "distinct": 0, "null_rate": 1.0, "label_resolution_rate": 0.0, "diversity_entropy_norm": 0.0, "semantic_cohesion": 1.0, "dup_ratio": 0.0, "bound_rate": 0.0}, {"var": "characters", "rows": 1, "distinct": 1, "null_rate": 0.0, "label_resolution_rate": 1.0, "diversity_entropy_norm": -1.0, "semantic_cohesion": 1.0, "dup_ratio": 0.0, "bound_rate": 1.0}]</t>
  </si>
  <si>
    <t>```sparql
PREFIX ns1: &lt;http://dbkwik.webdatacommons.org/marvel.wikia.com/property/&gt;
SELECT ?character1 ?character2 ?movie
WHERE {
  ?character1 ns1:movies ?movie .
  ?character2 ns1:movies ?movie .
  FILTER(?character1 != ?character2) .
  FILTER(STR(?character1) &lt; STR(?character2))
}
```</t>
  </si>
  <si>
    <t>model='gpt-oss:120b' created_at='2025-11-19T20:14:06.577315181Z' done=True done_reason='stop' total_duration=82179895405 load_duration=550786887 prompt_eval_count=92067 prompt_eval_duration=75518789333 eval_count=371 eval_duration=5474195593 message=Message(role='assistant', content='```sparql\nPREFIX ns1: &lt;http://dbkwik.webdatacommons.org/marvel.wikia.com/property/&gt;\n\nSELECT ?character1 ?character2 ?movie\nWHERE {\n  ?character1 ns1:movies ?movie .\n  ?character2 ns1:movies ?movie .\n  FILTER(?character1 != ?character2) .\n  FILTER(STR(?character1) &lt; STR(?character2))\n}\n```', thinking='The user asks: "What are all the pairs of characters available that have co-appeared in a movie?" Need to write SPARQL query based on schema. We need to find pairs of characters that have co-appeared in a movie. In schema, there is property ns1:movies linking something (likely characters) to movies? Let\'s look: ns1:movies a rdf:Property; label "Movies". So likely subjects are characters, objects are movies. So we need to find characters that share a movie. So we need to find ?c1 ?c2 such that both have ns1:movies ?movie, and distinct characters. Return pairs.\n\nWe need to avoid duplicate pairs (order). Use FILTER(?c1 &lt; ?c2) maybe with str? Use sameAs? Use FILTER(?c1 != ?c2) and maybe ordering via STR.\n\nThus query:\n\nSELECT ?char1 ?char2 ?movie WHERE {\n  ?char1 ns1:movies ?movie .\n  ?char2 ns1:movies ?movie .\n  FILTER(?char1 != ?char2) .\n  FILTER(STR(?char1) &lt; STR(?char2))\n}\n\nBut they might want only pairs, not movie. Could include movie.\n\nAdd PREFIX definitions. Use the provided prefixes. Include ns1 prefix.\n\nThus final answer.',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</si>
  <si>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?character1 ?character2 ?movie
WHERE {
  ?character1 ns1:movies ?movie .
  ?character2 ns1:movies ?movie .
  FILTER(?character1 != ?character2) .
  FILTER(STR(?character1) &lt; STR(?character2))
}</t>
  </si>
  <si>
    <t>{
  "cq_text": "What are all the pairs of characters available that have co-appeared in a movie?",
  "syntax_ok": true,
  "satisfiable": true,
  "deterministic": true,
  "latency": {
    "p50_ms": 1185.98,
    "p95_ms": 1381.55,
    "mean_ms": 1239.8
  },
  "rows": 38889,
  "vars": 3,
  "always_unbound_vars": [],
  "lexical_query_overlap": 0.04,
  "semantic_similarity_to_CQ": 0.72,
  "semantic_soft_coverage_to_CQ": 0.74,
  "tuple_cohesion": 0.97,
  "variables": [
    {
      "var": "character1",
      "rows": 38889,
      "distinct": 273,
      "null_rate": 0.0,
      "label_resolution_rate": 1.0,
      "diversity_entropy_norm": 0.87,
      "semantic_cohesion": 0.66,
      "dup_ratio": 0.99,
      "bound_rate": 1.0
    },
    {
      "var": "character2",
      "rows": 38889,
      "distinct": 276,
      "null_rate": 0.0,
      "label_resolution_rate": 1.0,
      "diversity_entropy_norm": 0.86,
      "semantic_cohesion": 0.67,
      "dup_ratio": 0.99,
      "bound_rate": 1.0
    },
    {
      "var": "movie",
      "rows": 38889,
      "distinct": 38,
      "null_rate": 0.0,
      "label_resolution_rate": 0.9230769230769231,
      "diversity_entropy_norm": 0.21,
      "semantic_cohesion": 0.81,
      "dup_ratio": 1.0,
      "bound_rate": 1.0
    }
  ]
}</t>
  </si>
  <si>
    <t>[{"var": "character1", "rows": 38889, "distinct": 273, "null_rate": 0.0, "label_resolution_rate": 1.0, "diversity_entropy_norm": 0.87, "semantic_cohesion": 0.66, "dup_ratio": 0.99, "bound_rate": 1.0}, {"var": "character2", "rows": 38889, "distinct": 276, "null_rate": 0.0, "label_resolution_rate": 1.0, "diversity_entropy_norm": 0.86, "semantic_cohesion": 0.67, "dup_ratio": 0.99, "bound_rate": 1.0}, {"var": "movie", "rows": 38889, "distinct": 38, "null_rate": 0.0, "label_resolution_rate": 0.9230769230769231, "diversity_entropy_norm": 0.21, "semantic_cohesion": 0.81, "dup_ratio": 1.0, "bound_rate": 1.0}]</t>
  </si>
  <si>
    <t>PREFIX ns1: &lt;http://dbkwik.webdatacommons.org/marvel.wikia.com/property/&gt;
SELECT ?character (COUNT(DISTINCT ?movie) AS ?movieCount)
WHERE {
  ?character ns1:movies ?movie .
}
GROUP BY ?character</t>
  </si>
  <si>
    <t>model='gpt-oss:120b' created_at='2025-11-19T20:15:27.990285113Z' done=True done_reason='stop' total_duration=80822063950 load_duration=832349208 prompt_eval_count=92062 prompt_eval_duration=75495472121 eval_count=265 eval_duration=3924308393 message=Message(role='assistant', content='PREFIX ns1: &lt;http://dbkwik.webdatacommons.org/marvel.wikia.com/property/&gt;\n\nSELECT ?character (COUNT(DISTINCT ?movie) AS ?movieCount)\nWHERE {\n  ?character ns1:movies ?movie .\n}\nGROUP BY ?character', thinking='We need to answer competency question: "How many movies does each character appear in (character appearance count)?"\n\nWe need to query the dataset for characters and their appearance in movies. The schema includes property ns1:movies (rdf:Property) which likely links a character to movies. Need to count per character.\n\nThus SPARQL: SELECT ?character (COUNT(?movie) AS ?movieCount) WHERE { ?character ns1:movies ?movie . } GROUP BY ?character\n\nNeed prefixes: ns1 defined as http://dbkwik.webdatacommons.org/marvel.wikia.com/property/\n\nAlso need to include maybe distinct movies per character.\n\nThus:\n\nPREFIX ns1: &lt;http://dbkwik.webdatacommons.org/marvel.wikia.com/property/&gt;\n\nSELECT ?character (COUNT(DISTINCT ?movie) AS ?movieCount) WHERE {\n  ?character ns1:movies ?movie .\n}\nGROUP BY ?character\n\nThat\'s it.\n\nReturn only query.',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</si>
  <si>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?character (COUNT(DISTINCT ?movie) AS ?movieCount)
WHERE {
  ?character ns1:movies ?movie .
}
GROUP BY ?character</t>
  </si>
  <si>
    <t>{
  "cq_text": "How many movies does each character appear in (character appearance count)?",
  "syntax_ok": true,
  "satisfiable": true,
  "deterministic": true,
  "latency": {
    "p50_ms": 36.96,
    "p95_ms": 44.95,
    "mean_ms": 37.54
  },
  "rows": 736,
  "vars": 3,
  "always_unbound_vars": [
    "movie"
  ],
  "lexical_query_overlap": 0.08,
  "semantic_similarity_to_CQ": 0.77,
  "semantic_soft_coverage_to_CQ": 0.82,
  "tuple_cohesion": 0.89,
  "variables": [
    {
      "var": "character",
      "rows": 736,
      "distinct": 413,
      "null_rate": 0.0,
      "label_resolution_rate": 1.0,
      "diversity_entropy_norm": 0.91,
      "semantic_cohesion": 0.64,
      "dup_ratio": 0.44,
      "bound_rate": 1.0
    },
    {
      "var": "movie",
      "rows": 736,
      "distinct": 0,
      "null_rate": 1.0,
      "label_resolution_rate": 0.0,
      "diversity_entropy_norm": 0.0,
      "semantic_cohesion": 1.0,
      "dup_ratio": 0.0,
      "bound_rate": 0.0
    },
    {
      "var": "movieCount",
      "rows": 736,
      "distinct": 8,
      "null_rate": 0.0,
      "label_resolution_rate": 1.0,
      "diversity_entropy_norm": 0.4,
      "semantic_cohesion": 0.96,
      "dup_ratio": 0.99,
      "bound_rate": 1.0
    }
  ]
}</t>
  </si>
  <si>
    <t>[{"var": "character", "rows": 736, "distinct": 413, "null_rate": 0.0, "label_resolution_rate": 1.0, "diversity_entropy_norm": 0.91, "semantic_cohesion": 0.64, "dup_ratio": 0.44, "bound_rate": 1.0}, {"var": "movie", "rows": 736, "distinct": 0, "null_rate": 1.0, "label_resolution_rate": 0.0, "diversity_entropy_norm": 0.0, "semantic_cohesion": 1.0, "dup_ratio": 0.0, "bound_rate": 0.0}, {"var": "movieCount", "rows": 736, "distinct": 8, "null_rate": 0.0, "label_resolution_rate": 1.0, "diversity_entropy_norm": 0.4, "semantic_cohesion": 0.96, "dup_ratio": 0.99, "bound_rate": 1.0}]</t>
  </si>
  <si>
    <t>PREFIX ns1: &lt;http://dbkwik.webdatacommons.org/marvel.wikia.com/property/&gt;
SELECT ?character1 ?character2 (GROUP_CONCAT(DISTINCT ?movie; SEPARATOR=", ") AS ?movies) (COUNT(DISTINCT ?movie) AS ?count)
WHERE {
  ?character1 ns1:movies ?movie .
  ?character2 ns1:movies ?movie .
  FILTER(?character1 != ?character2)
  FILTER(str(?character1) &lt; str(?character2))
}
GROUP BY ?character1 ?character2
HAVING (COUNT(DISTINCT ?movie) &gt; 1)</t>
  </si>
  <si>
    <t>model='gpt-oss:120b' created_at='2025-11-19T20:16:56.202210063Z' done=True done_reason='stop' total_duration=87255351009 load_duration=1268014506 prompt_eval_count=92070 prompt_eval_duration=75443455800 eval_count=655 eval_duration=9679588586 message=Message(role='assistant', content='PREFIX ns1: &lt;http://dbkwik.webdatacommons.org/marvel.wikia.com/property/&gt;\n\nSELECT ?character1 ?character2 (GROUP_CONCAT(DISTINCT ?movie; SEPARATOR=", ") AS ?movies) (COUNT(DISTINCT ?movie) AS ?count)\nWHERE {\n  ?character1 ns1:movies ?movie .\n  ?character2 ns1:movies ?movie .\n  FILTER(?character1 != ?character2)\n  FILTER(str(?character1) &lt; str(?character2))\n}\nGROUP BY ?character1 ?character2\nHAVING (COUNT(DISTINCT ?movie) &gt; 1)', thinking='The user wants a SPARQL query that answers the competency question: "What are all the movies and their counts for each pair of characters that co-appear in multiple movies?" We need to use the provided TTL schema to figure out the relevant properties: movies, characters, co-appear.\n\nWe need to find pairs of characters (two characters) that co-appear in multiple movies, and count the movies per pair. We need to list movies and counts for each pair? The question: "What are all the movies and their counts for each pair of characters that co-appear in multiple movies?" Means for each pair of characters, list the movies they co-appear in and also the count of movies.\n\nThus result should include: character1, character2, ?movie (maybe each movie) and count. But typical query: SELECT ?char1 ?char2 (COUNT(DISTINCT ?movie) AS ?cnt) WHERE { ?char1 ns1:movies ?movie . ?char2 ns1:movies ?movie . FILTER(?char1 != ?char2) FILTER(?char1 &lt; ?char2) } GROUP BY ?char1 ?char2 HAVING (COUNT(DISTINCT ?movie) &gt; 1). Then we also might need to list movies themselves, maybe using GROUP_CONCAT. Could do SELECT ?char1 ?char2 (GROUP_CONCAT(DISTINCT ?movie; separator=", ") AS ?movies) (COUNT(DISTINCT ?movie) AS ?cnt) ...\n\nCheck property: ns1:movies defined in schema: ns1:movies a rdf:Property ; rdfs:label "Movies". So characters likely have ns1:movies linking to movie resources.\n\nThus query:\n\nPREFIX ns1: &lt;http://dbkwik.webdatacommons.org/marvel.wikia.com/property/&gt;\n\nSELECT ?char1 ?char2 (GROUP_CONCAT(DISTINCT ?movie; separator=", ") AS ?movies) (COUNT(DISTINCT ?movie) AS ?cnt) WHERE {\n  ?char1 ns1:movies ?movie .\n  ?char2 ns1:movies ?movie .\n  FILTER(?char1 != ?char2) \n  FILTER(str(?char1) &lt; str(?char2))\n} GROUP BY ?char1 ?char2 HAVING (COUNT(DISTINCT ?movie) &gt; 1)\n\nBetter use ORDER BY maybe.\n\nThe query uses prefixes ns1.\n\nThus answer is that SPARQL query.\n\nWe must output only the SPARQL query, no extra text.',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</si>
  <si>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?character1 ?character2 (GROUP_CONCAT(DISTINCT ?movie; SEPARATOR=", ") AS ?movies) (COUNT(DISTINCT ?movie) AS ?count)
WHERE {
  ?character1 ns1:movies ?movie .
  ?character2 ns1:movies ?movie .
  FILTER(?character1 != ?character2)
  FILTER(str(?character1) &lt; str(?character2))
}
GROUP BY ?character1 ?character2
HAVING (COUNT(DISTINCT ?movie) &gt; 1)</t>
  </si>
  <si>
    <t>{
  "cq_text": "What are all the movies and their counts for each pair of characters that co-appear in multiple movies?",
  "syntax_ok": true,
  "satisfiable": true,
  "deterministic": true,
  "latency": {
    "p50_ms": 303.86,
    "p95_ms": 318.4,
    "mean_ms": 304.97
  },
  "rows": 502,
  "vars": 6,
  "always_unbound_vars": [
    "movie",
    "movie"
  ],
  "lexical_query_overlap": 0.0,
  "semantic_similarity_to_CQ": 0.73,
  "semantic_soft_coverage_to_CQ": 0.78,
  "tuple_cohesion": 0.98,
  "variables": [
    {
      "var": "character1",
      "rows": 502,
      "distinct": 50,
      "null_rate": 0.0,
      "label_resolution_rate": 1.0,
      "diversity_entropy_norm": 0.77,
      "semantic_cohesion": 0.75,
      "dup_ratio": 0.9,
      "bound_rate": 1.0
    },
    {
      "var": "character2",
      "rows": 502,
      "distinct": 44,
      "null_rate": 0.0,
      "label_resolution_rate": 1.0,
      "diversity_entropy_norm": 0.78,
      "semantic_cohesion": 0.74,
      "dup_ratio": 0.91,
      "bound_rate": 1.0
    },
    {
      "var": "movie",
      "rows": 502,
      "distinct": 0,
      "null_rate": 1.0,
      "label_resolution_rate": 0.0,
      "diversity_entropy_norm": 0.0,
      "semantic_cohesion": 1.0,
      "dup_ratio": 0.0,
      "bound_rate": 0.0
    },
    {
      "var": "movies",
      "rows": 502,
      "distinct": 37,
      "null_rate": 0.0,
      "label_resolution_rate": 1.0,
      "diversity_entropy_norm": 0.83,
      "semantic_cohesion": 0.87,
      "dup_ratio": 0.93,
      "bound_rate": 1.0
    },
    {
      "var": "movie",
      "rows": 502,
      "distinct": 0,
      "null_rate": 1.0,
      "label_resolution_rate": 0.0,
      "diversity_entropy_norm": 0.0,
      "semantic_cohesion": 1.0,
      "dup_ratio": 0.0,
      "bound_rate": 0.0
    },
    {
      "var": "count",
      "rows": 502,
      "distinct": 4,
      "null_rate": 0.0,
      "label_resolution_rate": 1.0,
      "diversity_entropy_norm": 0.44,
      "semantic_cohesion": 0.95,
      "dup_ratio": 0.99,
      "bound_rate": 1.0
    }
  ]
}</t>
  </si>
  <si>
    <t>[{"var": "character1", "rows": 502, "distinct": 50, "null_rate": 0.0, "label_resolution_rate": 1.0, "diversity_entropy_norm": 0.77, "semantic_cohesion": 0.75, "dup_ratio": 0.9, "bound_rate": 1.0}, {"var": "character2", "rows": 502, "distinct": 44, "null_rate": 0.0, "label_resolution_rate": 1.0, "diversity_entropy_norm": 0.78, "semantic_cohesion": 0.74, "dup_ratio": 0.91, "bound_rate": 1.0}, {"var": "movie", "rows": 502, "distinct": 0, "null_rate": 1.0, "label_resolution_rate": 0.0, "diversity_entropy_norm": 0.0, "semantic_cohesion": 1.0, "dup_ratio": 0.0, "bound_rate": 0.0}, {"var": "movies", "rows": 502, "distinct": 37, "null_rate": 0.0, "label_resolution_rate": 1.0, "diversity_entropy_norm": 0.83, "semantic_cohesion": 0.87, "dup_ratio": 0.93, "bound_rate": 1.0}, {"var": "movie", "rows": 502, "distinct": 0, "null_rate": 1.0, "label_resolution_rate": 0.0, "diversity_entropy_norm": 0.0, "semantic_cohesion": 1.0, "dup_ratio": 0.0, "bound_rate": 0.0}, {"var": "count", "rows": 502, "distinct": 4, "null_rate": 0.0, "label_resolution_rate": 1.0, "diversity_entropy_norm": 0.44, "semantic_cohesion": 0.95, "dup_ratio": 0.99, "bound_rate": 1.0}]</t>
  </si>
  <si>
    <t>PREFIX ns1: &lt;http://dbkwik.webdatacommons.org/marvel.wikia.com/property/&gt;
SELECT ?team (GROUP_CONCAT(DISTINCT ?movie; SEPARATOR=", ") AS ?movies)
WHERE {
  ?member ns1:teams ?team .
  ?member ns1:movies ?movie .
}
GROUP BY ?team
ORDER BY ?team</t>
  </si>
  <si>
    <t>model='gpt-oss:120b' created_at='2025-11-19T20:18:18.845981466Z' done=True done_reason='stop' total_duration=81680425945 load_duration=733747775 prompt_eval_count=92074 prompt_eval_duration=75433264139 eval_count=332 eval_duration=4916310700 message=Message(role='assistant', content='PREFIX ns1: &lt;http://dbkwik.webdatacommons.org/marvel.wikia.com/property/&gt;\n\nSELECT ?team (GROUP_CONCAT(DISTINCT ?movie; SEPARATOR=", ") AS ?movies)\nWHERE {\n  ?member ns1:teams ?team .\n  ?member ns1:movies ?movie .\n}\nGROUP BY ?team\nORDER BY ?team', thinking='We need to answer competency question: "What are all the unions of movies for each of the teams in which any of their members appear (team-level filmography)?"\n\nWe need to retrieve unions of movies (i.e., list of movies) for each team, where any of the team members appear. So need to find for each team (ns1:teams property) maybe teams are resources. Then members of team? We need members appear in movies via ns1:movies property on characters? Actually ns1:movies property appears on characters linking to movies. So query: for each team, find members (maybe property ns1:teams linking from character to team). So we need find ?team ?movie where there exists ?member ns1:teams ?team and ?member ns1:movies ?movie. Then union of movies per team: we can use GROUP_CONCAT? but want list of movies. Could return distinct movies per team. Use SELECT ?team (GROUP_CONCAT(DISTINCT ?movie; separator=", ") AS ?movies). That gives union.\n\nNeed prefixes: ns1: http://dbkwik.webdatacommons.org/marvel.wikia.com/property/. Use that.\n\nWrite query.\n\n',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</si>
  <si>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?team (GROUP_CONCAT(DISTINCT ?movie; SEPARATOR=", ") AS ?movies)
WHERE {
  ?member ns1:teams ?team .
  ?member ns1:movies ?movie .
}
GROUP BY ?team
ORDER BY ?team</t>
  </si>
  <si>
    <t>{
  "cq_text": "What are all the unions of movies for each of the teams in which any of their members appear (team-level filmography)?",
  "syntax_ok": true,
  "satisfiable": true,
  "deterministic": true,
  "latency": {
    "p50_ms": 23.05,
    "p95_ms": 23.25,
    "mean_ms": 22.95
  },
  "rows": 140,
  "vars": 3,
  "always_unbound_vars": [
    "movie"
  ],
  "lexical_query_overlap": 0.04,
  "semantic_similarity_to_CQ": 0.76,
  "semantic_soft_coverage_to_CQ": 0.78,
  "tuple_cohesion": 0.72,
  "variables": [
    {
      "var": "team",
      "rows": 140,
      "distinct": 137,
      "null_rate": 0.0,
      "label_resolution_rate": 1.0,
      "diversity_entropy_norm": 1.0,
      "semantic_cohesion": 0.59,
      "dup_ratio": 0.02,
      "bound_rate": 1.0
    },
    {
      "var": "movie",
      "rows": 140,
      "distinct": 0,
      "null_rate": 1.0,
      "label_resolution_rate": 0.0,
      "diversity_entropy_norm": 0.0,
      "semantic_cohesion": 1.0,
      "dup_ratio": 0.0,
      "bound_rate": 0.0
    },
    {
      "var": "movies",
      "rows": 140,
      "distinct": 59,
      "null_rate": 0.0,
      "label_resolution_rate": 1.0,
      "diversity_entropy_norm": 0.92,
      "semantic_cohesion": 0.79,
      "dup_ratio": 0.58,
      "bound_rate": 1.0
    }
  ]
}</t>
  </si>
  <si>
    <t>[{"var": "team", "rows": 140, "distinct": 137, "null_rate": 0.0, "label_resolution_rate": 1.0, "diversity_entropy_norm": 1.0, "semantic_cohesion": 0.59, "dup_ratio": 0.02, "bound_rate": 1.0}, {"var": "movie", "rows": 140, "distinct": 0, "null_rate": 1.0, "label_resolution_rate": 0.0, "diversity_entropy_norm": 0.0, "semantic_cohesion": 1.0, "dup_ratio": 0.0, "bound_rate": 0.0}, {"var": "movies", "rows": 140, "distinct": 59, "null_rate": 0.0, "label_resolution_rate": 1.0, "diversity_entropy_norm": 0.92, "semantic_cohesion": 0.79, "dup_ratio": 0.58, "bound_rate": 1.0}]</t>
  </si>
  <si>
    <t>PREFIX ns1: &lt;http://dbkwik.webdatacommons.org/marvel.wikia.com/property/&gt;
SELECT ?character (COUNT(?power) AS ?powerCount)
WHERE {
  ?character ns1:powers ?power .
}
GROUP BY ?character
ORDER BY DESC(?powerCount)</t>
  </si>
  <si>
    <t>model='gpt-oss:120b' created_at='2025-11-19T20:19:43.685203829Z' done=True done_reason='stop' total_duration=83542203180 load_duration=1010238502 prompt_eval_count=92069 prompt_eval_duration=75433041102 eval_count=435 eval_duration=6428128127 message=Message(role='assistant', content='PREFIX ns1: &lt;http://dbkwik.webdatacommons.org/marvel.wikia.com/property/&gt;\n\nSELECT ?character (COUNT(?power) AS ?powerCount)\nWHERE {\n  ?character ns1:powers ?power .\n}\nGROUP BY ?character\nORDER BY DESC(?powerCount)', thinking='We need to write SPARQL query answering: "Who are the distinct characters that possess a power, their counts, and rank-ordered by popularity?" We need to find characters that have a power (i.e., maybe ns1:powers property). Count? popularity likely property? Possibly ns1:popularity? Not in schema. Search for "popularity".Search for popularity.We can search within TTL for "popularity".No explicit property named popularity appears. Perhaps "popularity" is indicated by "ns1:popularity" but not in schema.\n\nMaybe there is property "ns1:popularity"? Not defined but could exist.\n\nCheck for ns1:popularity in the data.Search for "popularity".We didn\'t find. Maybe popularity indicated by "ns1:popularity" used elsewhere.\n\nBut perhaps "popularity" could be derived from number of incoming links? But we need simple query: characters with a power (ns1:powers) and count of something (maybe number of powers?). "their counts" could be count of powers each character has. So we need distinct characters that have ns1:powers property, count how many power values, order by count descending (popularity).\n\nThus query: SELECT ?character (COUNT(?power) AS ?count) WHERE { ?character ns1:powers ?power } GROUP BY ?character ORDER BY DESC(?count)\n\nNeed prefixes: ns1: &lt;http://dbkwik.webdatacommons.org/marvel.wikia.com/property/&gt; .\n\nThus final SPARQL.\n\n',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</si>
  <si>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?character (COUNT(?power) AS ?powerCount)
WHERE {
  ?character ns1:powers ?power .
}
GROUP BY ?character
ORDER BY DESC(?powerCount)</t>
  </si>
  <si>
    <t>{
  "cq_text": "Who are the distinct characters that possess a power, their counts, and rank-ordered by popularity?",
  "syntax_ok": true,
  "satisfiable": true,
  "deterministic": true,
  "latency": {
    "p50_ms": 14.58,
    "p95_ms": 14.69,
    "mean_ms": 14.18
  },
  "rows": 1,
  "vars": 3,
  "always_unbound_vars": [
    "power"
  ],
  "lexical_query_overlap": 0.06,
  "semantic_similarity_to_CQ": 0.69,
  "semantic_soft_coverage_to_CQ": 0.73,
  "tuple_cohesion": 1.0,
  "variables": [
    {
      "var": "character",
      "rows": 1,
      "distinct": 1,
      "null_rate": 0.0,
      "label_resolution_rate": 1.0,
      "diversity_entropy_norm": -1.0,
      "semantic_cohesion": 1.0,
      "dup_ratio": 0.0,
      "bound_rate": 1.0
    },
    {
      "var": "power",
      "rows": 1,
      "distinct": 0,
      "null_rate": 1.0,
      "label_resolution_rate": 0.0,
      "diversity_entropy_norm": 0.0,
      "semantic_cohesion": 1.0,
      "dup_ratio": 0.0,
      "bound_rate": 0.0
    },
    {
      "var": "powerCount",
      "rows": 1,
      "distinct": 1,
      "null_rate": 0.0,
      "label_resolution_rate": 1.0,
      "diversity_entropy_norm": -1.0,
      "semantic_cohesion": 1.0,
      "dup_ratio": 0.0,
      "bound_rate": 1.0
    }
  ]
}</t>
  </si>
  <si>
    <t>```sparql
PREFIX ns1: &lt;http://dbkwik.webdatacommons.org/marvel.wikia.com/property/&gt;
SELECT ?character (GROUP_CONCAT(DISTINCT ?team; separator=", ") AS ?teams)
WHERE {
  ?character ns1:teames ?team .
}
GROUP BY ?character
HAVING (COUNT(DISTINCT ?team) &gt; 1)
```</t>
  </si>
  <si>
    <t>model='gpt-oss:120b' created_at='2025-11-19T20:21:08.202924404Z' done=True done_reason='stop' total_duration=83754037700 load_duration=984290944 prompt_eval_count=92071 prompt_eval_duration=75514111395 eval_count=440 eval_duration=6502576055 message=Message(role='assistant', content='```sparql\nPREFIX ns1: &lt;http://dbkwik.webdatacommons.org/marvel.wikia.com/property/&gt;\n\nSELECT ?character (GROUP_CONCAT(DISTINCT ?team; separator=", ") AS ?teams)\nWHERE {\n  ?character ns1:teames ?team .\n}\nGROUP BY ?character\nHAVING (COUNT(DISTINCT ?team) &gt; 1)\n```', thinking='We need to answer competency question: "Who are all the bridge characters that are members of more than one team, and what are those team combinations?"\n\nWe need to find characters who are "bridge characters" (likely meaning characters that serve as bridges between teams?). In Marvel schema, maybe property ns1:teames (note spelling) is used for team membership. Search for "teames". In schema, ns1:teames a rdf:Property ; label "Teames". So property indicates team membership.\n\nBridge characters likely are characters that appear in multiple team pages bridging them? Possibly there is property ns1:bridge? Let\'s search for "bridge". In TTL there is no property named bridge, but there is ns1:bridge defined as a property (label "border"). Not helpful.\n\nMaybe "bridge characters" are characters that have property ns1:teames linking to multiple teams? So we need to find resources where ns1:teames appears multiple times (multiple objects). Use SPARQL to query characters (subjects) with at least two distinct team objects via ns1:teames, and also perhaps a property indicating they are bridge? Might be indicated by being part of two teams, i.e., bridging.\n\nThus query: SELECT ?character (GROUP_CONCAT(DISTINCT ?team; separator=", ") AS ?teams) WHERE {\n ?character ns1:teames ?team .\n}\nGROUP BY ?character\nHAVING (COUNT(DISTINCT ?team) &gt; 1)\n\nWe need to output character and team combinations.\n\nAlso need prefixes: ns1 is http://dbkwik.webdatacommons.org/marvel.wikia.com/property/.\n\nAdd SELECT.\n\nReturn maybe distinct teams.\n\nThus final query.\n\n',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</si>
  <si>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?character (GROUP_CONCAT(DISTINCT ?team; separator=", ") AS ?teams)
WHERE {
  ?character ns1:teames ?team .
}
GROUP BY ?character
HAVING (COUNT(DISTINCT ?team) &gt; 1)</t>
  </si>
  <si>
    <t>{
  "cq_text": "Who are all the bridge characters that are members of more than one team, and what are those team combinations?",
  "syntax_ok": true,
  "satisfiable": true,
  "deterministic": true,
  "latency": {
    "p50_ms": 17.23,
    "p95_ms": 17.81,
    "mean_ms": 16.66
  },
  "rows": 0,
  "vars": 3,
  "always_unbound_vars": [
    "character",
    "team",
    "teams"
  ],
  "lexical_query_overlap": 0.05,
  "semantic_similarity_to_CQ": 0.76,
  "semantic_soft_coverage_to_CQ": 0.76,
  "tuple_cohesion": null,
  "variables": [
    {
      "var": "character",
      "rows": 0,
      "distinct": 0,
      "null_rate": 1.0,
      "label_resolution_rate": 0.0,
      "diversity_entropy_norm": 0.0,
      "semantic_cohesion": 1.0,
      "dup_ratio": 0.0,
      "bound_rate": 0.0
    },
    {
      "var": "team",
      "rows": 0,
      "distinct": 0,
      "null_rate": 1.0,
      "label_resolution_rate": 0.0,
      "diversity_entropy_norm": 0.0,
      "semantic_cohesion": 1.0,
      "dup_ratio": 0.0,
      "bound_rate": 0.0
    },
    {
      "var": "teams",
      "rows": 0,
      "distinct": 0,
      "null_rate": 1.0,
      "label_resolution_rate": 0.0,
      "diversity_entropy_norm": 0.0,
      "semantic_cohesion": 1.0,
      "dup_ratio": 0.0,
      "bound_rate": 0.0
    }
  ]
}</t>
  </si>
  <si>
    <t>["character", "team", "teams"]</t>
  </si>
  <si>
    <t>[{"var": "character", "rows": 0, "distinct": 0, "null_rate": 1.0, "label_resolution_rate": 0.0, "diversity_entropy_norm": 0.0, "semantic_cohesion": 1.0, "dup_ratio": 0.0, "bound_rate": 0.0}, {"var": "team", "rows": 0, "distinct": 0, "null_rate": 1.0, "label_resolution_rate": 0.0, "diversity_entropy_norm": 0.0, "semantic_cohesion": 1.0, "dup_ratio": 0.0, "bound_rate": 0.0}, {"var": "teams", "rows": 0, "distinct": 0, "null_rate": 1.0, "label_resolution_rate": 0.0, "diversity_entropy_norm": 0.0, "semantic_cohesion": 1.0, "dup_ratio": 0.0, "bound_rate": 0.0}]</t>
  </si>
  <si>
    <t>PREFIX ns1: &lt;http://dbkwik.webdatacommons.org/marvel.wikia.com/property/&gt;
SELECT ?actor (GROUP_CONCAT(DISTINCT ?character; separator=", ") AS ?characters)
WHERE {
  ?actor ns1:movies ?movie .
  ?movie ns1:mainCharacter ?character .
}
GROUP BY ?actor</t>
  </si>
  <si>
    <t>model='gpt-oss:120b' created_at='2025-11-19T20:22:30.511839404Z' done=True done_reason='stop' total_duration=81809577692 load_duration=862362749 prompt_eval_count=92069 prompt_eval_duration=75477278455 eval_count=327 eval_duration=4831418776 message=Message(role='assistant', content='PREFIX ns1: &lt;http://dbkwik.webdatacommons.org/marvel.wikia.com/property/&gt;\n\nSELECT ?actor (GROUP_CONCAT(DISTINCT ?character; separator=", ") AS ?characters)\nWHERE {\n  ?actor ns1:movies ?movie .\n  ?movie ns1:mainCharacter ?character .\n}\nGROUP BY ?actor', thinking='We need to answer competency question: "What are all the sets of characters that have been portrayed across all movies by each of the actors?" We need sets of characters portrayed across all movies by each actor. Need schema to find relationships: actors, movies, characters portrayed. Look for properties linking actors to movies and characters. In schema, there is property ns1:movies (rdfs:label "Movies") likely linking something (maybe actors) to movies. Also ns1:mainCharacter linking maybe movies to characters. For actors, maybe resource type Person not explicit but we can query any subject ?actor ns1:movies ?movie. Then for each movie, find its main characters via ns1:mainCharacter ?character. Then group characters per actor. Query: SELECT ?actor (GROUP_CONCAT(DISTINCT ?character; separator=", ") AS ?characters) WHERE { ?actor ns1:movies ?movie . ?movie ns1:mainCharacter ?character . } GROUP BY ?actor\n\nNeed prefixes: ns1 defined as http://dbkwik.webdatacommons.org/marvel.wikia.com/property/. Use PREFIX ns1: ...\n\nReturn each actor and set of characters.\n\nThus final SPARQL.\n\n',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</si>
  <si>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?actor (GROUP_CONCAT(DISTINCT ?character; separator=", ") AS ?characters)
WHERE {
  ?actor ns1:movies ?movie .
  ?movie ns1:mainCharacter ?character .
}
GROUP BY ?actor</t>
  </si>
  <si>
    <t>{
  "cq_text": "What are all the sets of characters that have been portrayed across all movies by each of the actors?",
  "syntax_ok": true,
  "satisfiable": true,
  "deterministic": true,
  "latency": {
    "p50_ms": 23.36,
    "p95_ms": 25.47,
    "mean_ms": 23.58
  },
  "rows": 1,
  "vars": 3,
  "always_unbound_vars": [
    "character"
  ],
  "lexical_query_overlap": 0.0,
  "semantic_similarity_to_CQ": 0.71,
  "semantic_soft_coverage_to_CQ": 0.76,
  "tuple_cohesion": 1.0,
  "variables": [
    {
      "var": "actor",
      "rows": 1,
      "distinct": 1,
      "null_rate": 0.0,
      "label_resolution_rate": 1.0,
      "diversity_entropy_norm": -1.0,
      "semantic_cohesion": 1.0,
      "dup_ratio": 0.0,
      "bound_rate": 1.0
    },
    {
      "var": "character",
      "rows": 1,
      "distinct": 0,
      "null_rate": 1.0,
      "label_resolution_rate": 0.0,
      "diversity_entropy_norm": 0.0,
      "semantic_cohesion": 1.0,
      "dup_ratio": 0.0,
      "bound_rate": 0.0
    },
    {
      "var": "characters",
      "rows": 1,
      "distinct": 1,
      "null_rate": 0.0,
      "label_resolution_rate": 1.0,
      "diversity_entropy_norm": -1.0,
      "semantic_cohesion": 1.0,
      "dup_ratio": 0.0,
      "bound_rate": 1.0
    }
  ]
}</t>
  </si>
  <si>
    <t>[{"var": "actor", "rows": 1, "distinct": 1, "null_rate": 0.0, "label_resolution_rate": 1.0, "diversity_entropy_norm": -1.0, "semantic_cohesion": 1.0, "dup_ratio": 0.0, "bound_rate": 1.0}, {"var": "character", "rows": 1, "distinct": 0, "null_rate": 1.0, "label_resolution_rate": 0.0, "diversity_entropy_norm": 0.0, "semantic_cohesion": 1.0, "dup_ratio": 0.0, "bound_rate": 0.0}, {"var": "characters", "rows": 1, "distinct": 1, "null_rate": 0.0, "label_resolution_rate": 1.0, "diversity_entropy_norm": -1.0, "semantic_cohesion": 1.0, "dup_ratio": 0.0, "bound_rate": 1.0}]</t>
  </si>
  <si>
    <t>```sparql
PREFIX ns1: &lt;http://dbkwik.webdatacommons.org/marvel.wikia.com/property/&gt;
PREFIX rdfs: &lt;http://www.w3.org/2000/01/rdf-schema#&gt;
SELECT ?locationLabel (COUNT(DISTINCT ?entity) AS ?associationCount)
WHERE {
  ?entity (ns1:baseofoperations | ns1:placeofbirth | ns1:origin) ?location .
  ?location rdfs:label ?locationLabel .
}
GROUP BY ?locationLabel
HAVING (COUNT(DISTINCT ?entity) &gt; 1)
```</t>
  </si>
  <si>
    <t>model='gpt-oss:120b' created_at='2025-11-19T20:24:00.104967397Z' done=True done_reason='stop' total_duration=88557154828 load_duration=1236999888 prompt_eval_count=92073 prompt_eval_duration=75491555821 eval_count=738 eval_duration=10886975154 message=Message(role='assistant', content='```sparql\nPREFIX ns1: &lt;http://dbkwik.webdatacommons.org/marvel.wikia.com/property/&gt;\nPREFIX rdfs: &lt;http://www.w3.org/2000/01/rdf-schema#&gt;\n\nSELECT ?locationLabel (COUNT(DISTINCT ?entity) AS ?associationCount)\nWHERE {\n  ?entity (ns1:baseofoperations | ns1:placeofbirth | ns1:origin) ?location .\n  ?location rdfs:label ?locationLabel .\n}\nGROUP BY ?locationLabel\nHAVING (COUNT(DISTINCT ?entity) &gt; 1)\n```', thinking='We need to answer: "What are all the locations used as settings or associated contexts for multiple movies and/or characters and the counts of those associations?" So need to find locations (likely entities with type maybe "Location"? In schema, there is property ns1:baseofoperations, ns1:placeofbirth, ns1:origin etc. But location entities might be places like "Wakanda", "Atlantic Ocean", "Baltimore", etc. Need to count how many movies and/or characters are associated with each location. How to define association? Probably any triple where location appears as value of property linking to a movie or character. We need to count distinct movies and distinct characters linked to each location. We need to consider both movies and characters. There is property ns1:movies linking characters to movies maybe. Also location may appear in ns1:baseofoperations, ns1:placeofbirth, ns1:origin, ns1:location? I didn\'t see a location property. There is ns1:baseofoperations for teams. Also ns1:placeofbirth for characters. Also ns1:origin maybe a location entity. Also maybe ns1:videos? Not. Also there are location-specific entries like "Atlantic Ocean". Might be linked via ns1:origin or ns1:placeofbirth. For movies, maybe there is property ns1:movies linking a character to a movie, not location. So to count movies associated with a location, we need movies that have that location as something? Not clear.\n\nMaybe there is property ns1:setting? Not present.\n\nGiven limited time, maybe assume location entities appear as objects of ns1:baseofoperations, ns1:placeofbirth, ns1:origin, ns1:location? We\'ll count distinct characters that have those properties pointing to location. For movies, maybe movies have property ns1:location? Not present. So perhaps only characters count. But question says "multiple movies and/or characters". So if a location is linked to more than one entity (movie or character). Use distinct ?entity where ?entity ns1:baseofoperations|ns1:placeofbirth|ns1:origin ?location. Also maybe ns1:movies? Not.\n\nWe\'ll produce SPARQL that selects location and count of distinct ?entity. Use GROUP BY.\n\nPREFIX ns1: &lt;http://dbkwik.webdatacommons.org/marvel.wikia.com/property/&gt;\n\nSELECT ?location (COUNT(DISTINCT ?entity) AS ?count) WHERE {\n  ?entity (ns1:baseofoperations|ns1:placeofbirth|ns1:origin) ?location .\n}\nGROUP BY ?location\nHAVING (COUNT(DISTINCT ?entity) &gt; 1)\n\nReturn location and count.\n\nReturn labels? Might need to get rdfs:label of location.\n\nAdd OPTIONAL ?location rdfs:label ?locLabel.\n\nSelect ?locLabel and count.\n\nSo final query.\n\n',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</si>
  <si>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?locationLabel (COUNT(DISTINCT ?entity) AS ?associationCount)
WHERE {
  ?entity (ns1:baseofoperations | ns1:placeofbirth | ns1:origin) ?location .
  ?location rdfs:label ?locationLabel .
}
GROUP BY ?locationLabel
HAVING (COUNT(DISTINCT ?entity) &gt; 1)</t>
  </si>
  <si>
    <t>{
  "cq_text": "What are all the locations used as settings or associated contexts for multiple movies and/or characters and the counts of those associations?",
  "syntax_ok": true,
  "satisfiable": true,
  "deterministic": true,
  "latency": {
    "p50_ms": 14.89,
    "p95_ms": 18.81,
    "mean_ms": 15.81
  },
  "rows": 0,
  "vars": 3,
  "always_unbound_vars": [
    "locationLabel",
    "entity",
    "associationCount"
  ],
  "lexical_query_overlap": 0.0,
  "semantic_similarity_to_CQ": 0.67,
  "semantic_soft_coverage_to_CQ": 0.73,
  "tuple_cohesion": null,
  "variables": [
    {
      "var": "locationLabel",
      "rows": 0,
      "distinct": 0,
      "null_rate": 1.0,
      "label_resolution_rate": 0.0,
      "diversity_entropy_norm": 0.0,
      "semantic_cohesion": 1.0,
      "dup_ratio": 0.0,
      "bound_rate": 0.0
    },
    {
      "var": "entity",
      "rows": 0,
      "distinct": 0,
      "null_rate": 1.0,
      "label_resolution_rate": 0.0,
      "diversity_entropy_norm": 0.0,
      "semantic_cohesion": 1.0,
      "dup_ratio": 0.0,
      "bound_rate": 0.0
    },
    {
      "var": "associationCount",
      "rows": 0,
      "distinct": 0,
      "null_rate": 1.0,
      "label_resolution_rate": 0.0,
      "diversity_entropy_norm": 0.0,
      "semantic_cohesion": 1.0,
      "dup_ratio": 0.0,
      "bound_rate": 0.0
    }
  ]
}</t>
  </si>
  <si>
    <t>["locationLabel", "entity", "associationCount"]</t>
  </si>
  <si>
    <t>[{"var": "locationLabel", "rows": 0, "distinct": 0, "null_rate": 1.0, "label_resolution_rate": 0.0, "diversity_entropy_norm": 0.0, "semantic_cohesion": 1.0, "dup_ratio": 0.0, "bound_rate": 0.0}, {"var": "entity", "rows": 0, "distinct": 0, "null_rate": 1.0, "label_resolution_rate": 0.0, "diversity_entropy_norm": 0.0, "semantic_cohesion": 1.0, "dup_ratio": 0.0, "bound_rate": 0.0}, {"var": "associationCount", "rows": 0, "distinct": 0, "null_rate": 1.0, "label_resolution_rate": 0.0, "diversity_entropy_norm": 0.0, "semantic_cohesion": 1.0, "dup_ratio": 0.0, "bound_rate": 0.0}]</t>
  </si>
  <si>
    <t xml:space="preserve">PREFIX ns1: &lt;http://dbkwik.webdatacommons.org/marvel.wikia.com/property/&gt;
SELECT ?movie 
       (COUNT(DISTINCT ?team)   AS ?uniqueTeams) 
       (COUNT(DISTINCT ?power)  AS ?uniquePowers) 
       (COUNT(DISTINCT ?loc)    AS ?uniqueLocations)
WHERE {
  ?character ns1:movies ?movie .
  OPTIONAL { ?character ns1:teams ?team . }
  OPTIONAL { ?character ns1:powers ?power . }
  OPTIONAL { ?character ns1:placeofbirth ?loc . }
}
GROUP BY ?movie
</t>
  </si>
  <si>
    <t>model='gpt-oss:120b' created_at='2025-11-19T20:25:26.902336586Z' done=True done_reason='stop' total_duration=86008628582 load_duration=810107998 prompt_eval_count=92073 prompt_eval_duration=75551392566 eval_count=597 eval_duration=8800359616 message=Message(role='assistant', content='PREFIX ns1: &lt;http://dbkwik.webdatacommons.org/marvel.wikia.com/property/&gt;\n\nSELECT ?movie \n       (COUNT(DISTINCT ?team)   AS ?uniqueTeams) \n       (COUNT(DISTINCT ?power)  AS ?uniquePowers) \n       (COUNT(DISTINCT ?loc)    AS ?uniqueLocations)\nWHERE {\n  ?character ns1:movies ?movie .\n\n  OPTIONAL { ?character ns1:teams ?team . }\n  OPTIONAL { ?character ns1:powers ?power . }\n  OPTIONAL { ?character ns1:placeofbirth ?loc . }\n}\nGROUP BY ?movie\n', thinking='We need to write a SPARQL query answering: "What is the number of unique teams, unique powers, and unique locations represented via their characters for each of the movies?" So per movie, count distinct teams, powers, locations that are represented via characters (i.e., characters appearing in that movie have teams, powers, locations). We need schema to find properties linking characters to movies, and characters to teams/powers/locations. Look at schema: many properties like ns1:movies linking a character to a movie? Actually earlier we saw ns1:movies a rdf:Property with label "Movies". Likely used on characters to indicate movies they appear in. Also ns1:teams linking characters to teams. ns1:powers linking characters to powers. ns1:placeofbirth maybe location? Also ns1:baseofoperations, ns1:location? There\'s ns1:placeofbirth, ns1:baseofoperations (maybe location). Also ns1:origin maybe location. Could also use ns1:placeofbirth. The competency asks "unique teams, unique powers, and unique locations represented via their characters for each of the movies". So for each movie, get characters that have ns1:movies linking to that movie, then count distinct ns1:teams, ns1:powers, and distinct locations (maybe ns1:placeofbirth, ns1:baseofoperations, ns1:origin). Could use UNION of those location properties.\n\nSimplify: assume location is ns1:placeofbirth. Use that.\n\nThus query:\n\nSELECT ?movie (COUNT(DISTINCT ?team) AS ?teamCount) (COUNT(DISTINCT ?power) AS ?powerCount) (COUNT(DISTINCT ?loc) AS ?locationCount)\nWHERE {\n  ?character ns1:movies ?movie .\n  OPTIONAL { ?character ns1:teams ?team . }\n  OPTIONAL { ?character ns1:powers ?power . }\n  OPTIONAL { ?character ns1:placeofbirth ?loc . }\n}\nGROUP BY ?movie\n\nNeed prefixes: ns1 is defined as http://dbkwik.webdatacommons.org/marvel.wikia.com/property/. Use that.\n\nWrite full SPARQL.',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</si>
  <si>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?movie 
       (COUNT(DISTINCT ?team)   AS ?uniqueTeams) 
       (COUNT(DISTINCT ?power)  AS ?uniquePowers) 
       (COUNT(DISTINCT ?loc)    AS ?uniqueLocations)
WHERE {
  ?character ns1:movies ?movie .
  OPTIONAL { ?character ns1:teams ?team . }
  OPTIONAL { ?character ns1:powers ?power . }
  OPTIONAL { ?character ns1:placeofbirth ?loc . }
}
GROUP BY ?movie</t>
  </si>
  <si>
    <t>{
  "cq_text": "What is the number of unique teams, unique powers, and unique locations represented via their characters for each of the movies?",
  "syntax_ok": true,
  "satisfiable": true,
  "deterministic": true,
  "latency": {
    "p50_ms": 68.67,
    "p95_ms": 74.58,
    "mean_ms": 68.95
  },
  "rows": 391,
  "vars": 7,
  "always_unbound_vars": [
    "team",
    "power",
    "loc"
  ],
  "lexical_query_overlap": 0.0,
  "semantic_similarity_to_CQ": 0.74,
  "semantic_soft_coverage_to_CQ": 0.8,
  "tuple_cohesion": 0.91,
  "variables": [
    {
      "var": "movie",
      "rows": 391,
      "distinct": 363,
      "null_rate": 0.0,
      "label_resolution_rate": 0.9654178674351584,
      "diversity_entropy_norm": 0.99,
      "semantic_cohesion": 0.63,
      "dup_ratio": 0.07,
      "bound_rate": 1.0
    },
    {
      "var": "team",
      "rows": 391,
      "distinct": 0,
      "null_rate": 1.0,
      "label_resolution_rate": 0.0,
      "diversity_entropy_norm": 0.0,
      "semantic_cohesion": 1.0,
      "dup_ratio": 0.0,
      "bound_rate": 0.0
    },
    {
      "var": "uniqueTeams",
      "rows": 391,
      "distinct": 21,
      "null_rate": 0.0,
      "label_resolution_rate": 1.0,
      "diversity_entropy_norm": 0.29,
      "semantic_cohesion": 0.96,
      "dup_ratio": 0.95,
      "bound_rate": 1.0
    },
    {
      "var": "power",
      "rows": 391,
      "distinct": 0,
      "null_rate": 1.0,
      "label_resolution_rate": 0.0,
      "diversity_entropy_norm": 0.0,
      "semantic_cohesion": 1.0,
      "dup_ratio": 0.0,
      "bound_rate": 0.0
    },
    {
      "var": "uniquePowers",
      "rows": 391,
      "distinct": 1,
      "null_rate": 0.0,
      "label_resolution_rate": 1.0,
      "diversity_entropy_norm": -1.0,
      "semantic_cohesion": 1.0,
      "dup_ratio": 1.0,
      "bound_rate": 1.0
    },
    {
      "var": "loc",
      "rows": 391,
      "distinct": 0,
      "null_rate": 1.0,
      "label_resolution_rate": 0.0,
      "diversity_entropy_norm": 0.0,
      "semantic_cohesion": 1.0,
      "dup_ratio": 0.0,
      "bound_rate": 0.0
    },
    {
      "var": "uniqueLocations",
      "rows": 391,
      "distinct": 1,
      "null_rate": 0.0,
      "label_resolution_rate": 1.0,
      "diversity_entropy_norm": -1.0,
      "semantic_cohesion": 1.0,
      "dup_ratio": 1.0,
      "bound_rate": 1.0
    }
  ]
}</t>
  </si>
  <si>
    <t>["team", "power", "loc"]</t>
  </si>
  <si>
    <t>[{"var": "movie", "rows": 391, "distinct": 363, "null_rate": 0.0, "label_resolution_rate": 0.9654178674351584, "diversity_entropy_norm": 0.99, "semantic_cohesion": 0.63, "dup_ratio": 0.07, "bound_rate": 1.0}, {"var": "team", "rows": 391, "distinct": 0, "null_rate": 1.0, "label_resolution_rate": 0.0, "diversity_entropy_norm": 0.0, "semantic_cohesion": 1.0, "dup_ratio": 0.0, "bound_rate": 0.0}, {"var": "uniqueTeams", "rows": 391, "distinct": 21, "null_rate": 0.0, "label_resolution_rate": 1.0, "diversity_entropy_norm": 0.29, "semantic_cohesion": 0.96, "dup_ratio": 0.95, "bound_rate": 1.0}, {"var": "power", "rows": 391, "distinct": 0, "null_rate": 1.0, "label_resolution_rate": 0.0, "diversity_entropy_norm": 0.0, "semantic_cohesion": 1.0, "dup_ratio": 0.0, "bound_rate": 0.0}, {"var": "uniquePowers", "rows": 391, "distinct": 1, "null_rate": 0.0, "label_resolution_rate": 1.0, "diversity_entropy_norm": -1.0, "semantic_cohesion": 1.0, "dup_ratio": 1.0, "bound_rate": 1.0}, {"var": "loc", "rows": 391, "distinct": 0, "null_rate": 1.0, "label_resolution_rate": 0.0, "diversity_entropy_norm": 0.0, "semantic_cohesion": 1.0, "dup_ratio": 0.0, "bound_rate": 0.0}, {"var": "uniqueLocations", "rows": 391, "distinct": 1, "null_rate": 0.0, "label_resolution_rate": 1.0, "diversity_entropy_norm": -1.0, "semantic_cohesion": 1.0, "dup_ratio": 1.0, "bound_rate": 1.0}]</t>
  </si>
  <si>
    <t>PREFIX ns1: &lt;http://dbkwik.webdatacommons.org/marvel.wikia.com/property/&gt;
SELECT DISTINCT ?character ?coCharacter ?movie
WHERE {
  ?character ns1:movies ?movie .
  ?coCharacter ns1:movies ?movie .
  FILTER(?character != ?coCharacter)
} ORDER BY ?character ?coCharacter ?movie</t>
  </si>
  <si>
    <t>model='gpt-oss:120b' created_at='2025-11-19T20:26:50.877624014Z' done=True done_reason='stop' total_duration=82828254581 load_duration=1271811641 prompt_eval_count=92072 prompt_eval_duration=75447995926 eval_count=371 eval_duration=5468443263 message=Message(role='assistant', content='PREFIX ns1: &lt;http://dbkwik.webdatacommons.org/marvel.wikia.com/property/&gt;\n\nSELECT DISTINCT ?character ?coCharacter ?movie\nWHERE {\n  ?character ns1:movies ?movie .\n  ?coCharacter ns1:movies ?movie .\n  FILTER(?character != ?coCharacter)\n} ORDER BY ?character ?coCharacter ?movie', thinking='We need to write a SPARQL query that answers: "Who are all the other characters connected via shared movie appearances for each of the characters (character co-appearance network)?"\n\nInterpretation: For each character, find other characters that appear in any same movie(s). So we need to output pairs (character, cocharacter) maybe distinct. Use property ns1:movies linking characters to movies. So pattern: ?char ns1:movies ?movie . Then other ?co ns1:movies ?movie . Exclude ?char = ?co. Possibly distinct. Return ?char ?co ?movie maybe.\n\nNeed prefixes: ns1 defined as http://dbkwik.webdatacommons.org/marvel.wikia.com/property/\n\nThus query:\n\nPREFIX ns1: &lt;http://dbkwik.webdatacommons.org/marvel.wikia.com/property/&gt;\n\nSELECT ?character ?coCharacter ?movie WHERE {\n  ?character ns1:movies ?movie .\n  ?coCharacter ns1:movies ?movie .\n  FILTER(?character != ?coCharacter)\n}\nORDER BY ?character ?coCharacter\n\nThat returns all pairs. Might also want distinct pairs. Use SELECT DISTINCT. Provide efficient: use distinct and maybe filter with less than to avoid duplicate symmetric pairs? Could use FILTER (str(?character) &lt; str(?coCharacter)) to avoid duplicates. But spec didn\'t ask for unique ordering.\n\nWill output that.',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</si>
  <si>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?character ?coCharacter ?movie
WHERE {
  ?character ns1:movies ?movie .
  ?coCharacter ns1:movies ?movie .
  FILTER(?character != ?coCharacter)
} ORDER BY ?character ?coCharacter ?movie</t>
  </si>
  <si>
    <t>{
  "cq_text": "Who are all the other characters connected via shared movie appearances for each of the characters (character co-appearance network)?",
  "syntax_ok": true,
  "satisfiable": true,
  "deterministic": true,
  "latency": {
    "p50_ms": 3123.69,
    "p95_ms": 3226.99,
    "mean_ms": 3060.93
  },
  "rows": 77778,
  "vars": 3,
  "always_unbound_vars": [],
  "lexical_query_overlap": 0.12,
  "semantic_similarity_to_CQ": 0.7,
  "semantic_soft_coverage_to_CQ": 0.77,
  "tuple_cohesion": 0.97,
  "variables": [
    {
      "var": "character",
      "rows": 77778,
      "distinct": 286,
      "null_rate": 0.0,
      "label_resolution_rate": 1.0,
      "diversity_entropy_norm": 0.88,
      "semantic_cohesion": 0.66,
      "dup_ratio": 1.0,
      "bound_rate": 1.0
    },
    {
      "var": "coCharacter",
      "rows": 77778,
      "distinct": 286,
      "null_rate": 0.0,
      "label_resolution_rate": 1.0,
      "diversity_entropy_norm": 0.88,
      "semantic_cohesion": 0.66,
      "dup_ratio": 1.0,
      "bound_rate": 1.0
    },
    {
      "var": "movie",
      "rows": 77778,
      "distinct": 38,
      "null_rate": 0.0,
      "label_resolution_rate": 0.9230769230769231,
      "diversity_entropy_norm": 0.21,
      "semantic_cohesion": 0.81,
      "dup_ratio": 1.0,
      "bound_rate": 1.0
    }
  ]
}</t>
  </si>
  <si>
    <t>[{"var": "character", "rows": 77778, "distinct": 286, "null_rate": 0.0, "label_resolution_rate": 1.0, "diversity_entropy_norm": 0.88, "semantic_cohesion": 0.66, "dup_ratio": 1.0, "bound_rate": 1.0}, {"var": "coCharacter", "rows": 77778, "distinct": 286, "null_rate": 0.0, "label_resolution_rate": 1.0, "diversity_entropy_norm": 0.88, "semantic_cohesion": 0.66, "dup_ratio": 1.0, "bound_rate": 1.0}, {"var": "movie", "rows": 77778, "distinct": 38, "null_rate": 0.0, "label_resolution_rate": 0.9230769230769231, "diversity_entropy_norm": 0.21, "semantic_cohesion": 0.81, "dup_ratio": 1.0, "bound_rate": 1.0}]</t>
  </si>
  <si>
    <t>PREFIX ns1: &lt;http://dbkwik.webdatacommons.org/marvel.wikia.com/property/&gt;
PREFIX rdfs: &lt;http://www.w3.org/2000/01/rdf-schema#&gt;
SELECT ?teamLabel ?powerLabel (COUNT(?member) AS ?memberCount)
WHERE {
  ?member ns1:powers ?power .
  ?member ns1:teams ?team .
  ?team rdfs:label ?teamLabel .
  ?power rdfs:label ?powerLabel .
}
GROUP BY ?teamLabel ?powerLabel
ORDER BY ?teamLabel DESC(?memberCount)</t>
  </si>
  <si>
    <t>model='gpt-oss:120b' created_at='2025-11-19T20:28:15.97551408Z' done=True done_reason='stop' total_duration=84640377736 load_duration=1090450415 prompt_eval_count=92085 prompt_eval_duration=75498981239 eval_count=495 eval_duration=7297253589 message=Message(role='assistant', content='PREFIX ns1: &lt;http://dbkwik.webdatacommons.org/marvel.wikia.com/property/&gt;\nPREFIX rdfs: &lt;http://www.w3.org/2000/01/rdf-schema#&gt;\n\nSELECT ?teamLabel ?powerLabel (COUNT(?member) AS ?memberCount)\nWHERE {\n  ?member ns1:powers ?power .\n  ?member ns1:teams ?team .\n  ?team rdfs:label ?teamLabel .\n  ?power rdfs:label ?powerLabel .\n}\nGROUP BY ?teamLabel ?powerLabel\nORDER BY ?teamLabel DESC(?memberCount)', thinking='We need to answer competency question: "What are all the distributions of powers among each team\'s members, grouped by teams, for comparing teams for computability (e.g., which powers are most characteristic of each team)?"\n\nWe need to retrieve distributions of powers among each team\'s members, grouped by teams. Schema defines property ns1:powers (Powers). Also ns1:teams property linking characters to teams? ns1:teams used on characters. We need to get for each team, list of powers of its members, maybe aggregated count. SPARQL can group by team and power, count. So query: select ?team ?power (COUNT(?member) AS ?count) where ?member ns1:powers ?power; ?member ns1:teams ?team. Group by ?team ?power. Order maybe by count desc.\n\nUse prefixes: ns1: &lt;http://dbkwik.webdatacommons.org/marvel.wikia.com/property/&gt; . Use SELECT.\n\nReturn maybe team label and power label. Use rdfs:label for readability. So need to get ?teamLabel, ?powerLabel, ?count.\n\nQuery:\n\nPREFIX ns1: &lt;http://dbkwik.webdatacommons.org/marvel.wikia.com/property/&gt;\nPREFIX rdfs: &lt;http://www.w3.org/2000/01/rdf-schema#&gt;\n\nSELECT ?teamLabel ?powerLabel (COUNT(?member) AS ?memberCount)\nWHERE {\n  ?member ns1:powers ?power .\n  ?member ns1:teams ?team .\n  ?team rdfs:label ?teamLabel .\n  ?power rdfs:label ?powerLabel .\n}\nGROUP BY ?teamLabel ?powerLabel\nORDER BY ?teamLabel DESC(?memberCount)\n\nThat\'s fine.\n\n',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</si>
  <si>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?teamLabel ?powerLabel (COUNT(?member) AS ?memberCount)
WHERE {
  ?member ns1:powers ?power .
  ?member ns1:teams ?team .
  ?team rdfs:label ?teamLabel .
  ?power rdfs:label ?powerLabel .
}
GROUP BY ?teamLabel ?powerLabel
ORDER BY ?teamLabel DESC(?memberCount)</t>
  </si>
  <si>
    <t>{
  "cq_text": "What are all the distributions of powers among each team's members, grouped by teams,  for comparing teams for computability (e.g., which powers are most characteristic of each team)?",
  "syntax_ok": true,
  "satisfiable": false,
  "deterministic": true,
  "latency": {
    "p50_ms": 8.7,
    "p95_ms": 9.01,
    "mean_ms": 8.69
  },
  "rows": 0,
  "vars": 4,
  "always_unbound_vars": [
    "teamLabel",
    "powerLabel",
    "member",
    "memberCount"
  ],
  "lexical_query_overlap": 0.03,
  "semantic_similarity_to_CQ": 0.69,
  "semantic_soft_coverage_to_CQ": 0.78,
  "tuple_cohesion": null,
  "variables": [
    {
      "var": "teamLabel",
      "rows": 0,
      "distinct": 0,
      "null_rate": 1.0,
      "label_resolution_rate": 0.0,
      "diversity_entropy_norm": 0.0,
      "semantic_cohesion": 1.0,
      "dup_ratio": 0.0,
      "bound_rate": 0.0
    },
    {
      "var": "powerLabel",
      "rows": 0,
      "distinct": 0,
      "null_rate": 1.0,
      "label_resolution_rate": 0.0,
      "diversity_entropy_norm": 0.0,
      "semantic_cohesion": 1.0,
      "dup_ratio": 0.0,
      "bound_rate": 0.0
    },
    {
      "var": "member",
      "rows": 0,
      "distinct": 0,
      "null_rate": 1.0,
      "label_resolution_rate": 0.0,
      "diversity_entropy_norm": 0.0,
      "semantic_cohesion": 1.0,
      "dup_ratio": 0.0,
      "bound_rate": 0.0
    },
    {
      "var": "memberCount",
      "rows": 0,
      "distinct": 0,
      "null_rate": 1.0,
      "label_resolution_rate": 0.0,
      "diversity_entropy_norm": 0.0,
      "semantic_cohesion": 1.0,
      "dup_ratio": 0.0,
      "bound_rate": 0.0
    }
  ]
}</t>
  </si>
  <si>
    <t>["teamLabel", "powerLabel", "member", "memberCount"]</t>
  </si>
  <si>
    <t>[{"var": "teamLabel", "rows": 0, "distinct": 0, "null_rate": 1.0, "label_resolution_rate": 0.0, "diversity_entropy_norm": 0.0, "semantic_cohesion": 1.0, "dup_ratio": 0.0, "bound_rate": 0.0}, {"var": "powerLabel", "rows": 0, "distinct": 0, "null_rate": 1.0, "label_resolution_rate": 0.0, "diversity_entropy_norm": 0.0, "semantic_cohesion": 1.0, "dup_ratio": 0.0, "bound_rate": 0.0}, {"var": "member", "rows": 0, "distinct": 0, "null_rate": 1.0, "label_resolution_rate": 0.0, "diversity_entropy_norm": 0.0, "semantic_cohesion": 1.0, "dup_ratio": 0.0, "bound_rate": 0.0}, {"var": "memberCount", "rows": 0, "distinct": 0, "null_rate": 1.0, "label_resolution_rate": 0.0, "diversity_entropy_norm": 0.0, "semantic_cohesion": 1.0, "dup_ratio": 0.0, "bound_rate":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</si>
</sst>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112</v>
      </c>
      <c r="D2" t="s">
        <v>113</v>
      </c>
      <c r="E2" t="s">
        <v>114</v>
      </c>
      <c r="F2" t="s">
        <v>115</v>
      </c>
      <c r="G2" t="b">
        <v>1</v>
      </c>
      <c r="H2" t="b">
        <v>1</v>
      </c>
      <c r="I2" t="b">
        <v>1</v>
      </c>
      <c r="J2">
        <v>1</v>
      </c>
      <c r="K2">
        <v>2</v>
      </c>
      <c r="L2">
        <v>17.61</v>
      </c>
      <c r="M2">
        <v>18.23</v>
      </c>
      <c r="N2">
        <v>17.66</v>
      </c>
      <c r="O2">
        <v>0</v>
      </c>
      <c r="P2">
        <v>0.68</v>
      </c>
      <c r="Q2">
        <v>0.74</v>
      </c>
      <c r="R2">
        <v>1</v>
      </c>
      <c r="S2" t="s">
        <v>27</v>
      </c>
      <c r="T2" t="s">
        <v>116</v>
      </c>
      <c r="U2" t="s">
        <v>28</v>
      </c>
      <c r="V2">
        <v>1</v>
      </c>
      <c r="W2">
        <v>1</v>
      </c>
      <c r="X2">
        <v>1</v>
      </c>
      <c r="Y2">
        <v>0</v>
      </c>
    </row>
    <row r="3" spans="1:25" x14ac:dyDescent="0.2">
      <c r="A3" t="s">
        <v>29</v>
      </c>
      <c r="B3" t="s">
        <v>30</v>
      </c>
      <c r="C3" t="s">
        <v>117</v>
      </c>
      <c r="D3" t="s">
        <v>118</v>
      </c>
      <c r="E3" t="s">
        <v>119</v>
      </c>
      <c r="F3" t="s">
        <v>120</v>
      </c>
      <c r="G3" t="b">
        <v>1</v>
      </c>
      <c r="H3" t="b">
        <v>1</v>
      </c>
      <c r="I3" t="b">
        <v>1</v>
      </c>
      <c r="J3">
        <v>1464</v>
      </c>
      <c r="K3">
        <v>1</v>
      </c>
      <c r="L3">
        <v>57.5</v>
      </c>
      <c r="M3">
        <v>59.57</v>
      </c>
      <c r="N3">
        <v>56.33</v>
      </c>
      <c r="O3">
        <v>0</v>
      </c>
      <c r="P3">
        <v>0.74</v>
      </c>
      <c r="Q3">
        <v>0.74</v>
      </c>
      <c r="R3">
        <v>0.68</v>
      </c>
      <c r="S3" t="s">
        <v>27</v>
      </c>
      <c r="T3" t="s">
        <v>121</v>
      </c>
      <c r="U3" t="s">
        <v>28</v>
      </c>
      <c r="V3">
        <v>1</v>
      </c>
      <c r="W3">
        <v>1</v>
      </c>
      <c r="X3">
        <v>1</v>
      </c>
      <c r="Y3">
        <v>0.73</v>
      </c>
    </row>
    <row r="4" spans="1:25" x14ac:dyDescent="0.2">
      <c r="A4" t="s">
        <v>31</v>
      </c>
      <c r="B4" t="s">
        <v>32</v>
      </c>
      <c r="C4" t="s">
        <v>122</v>
      </c>
      <c r="D4" t="s">
        <v>123</v>
      </c>
      <c r="E4" t="s">
        <v>124</v>
      </c>
      <c r="F4" t="s">
        <v>125</v>
      </c>
      <c r="G4" t="b">
        <v>0</v>
      </c>
      <c r="H4" t="b">
        <v>0</v>
      </c>
      <c r="I4" t="b">
        <v>0</v>
      </c>
      <c r="J4">
        <v>0</v>
      </c>
      <c r="K4">
        <v>0</v>
      </c>
      <c r="O4">
        <v>0</v>
      </c>
      <c r="P4">
        <v>0</v>
      </c>
      <c r="Q4">
        <v>0</v>
      </c>
      <c r="R4">
        <v>0</v>
      </c>
      <c r="S4" t="s">
        <v>27</v>
      </c>
      <c r="T4" t="s">
        <v>27</v>
      </c>
      <c r="U4" t="s">
        <v>28</v>
      </c>
      <c r="V4">
        <v>0</v>
      </c>
      <c r="W4">
        <v>0</v>
      </c>
      <c r="X4">
        <v>0</v>
      </c>
      <c r="Y4">
        <v>0</v>
      </c>
    </row>
    <row r="5" spans="1:25" x14ac:dyDescent="0.2">
      <c r="A5" t="s">
        <v>33</v>
      </c>
      <c r="B5" t="s">
        <v>34</v>
      </c>
      <c r="C5" t="s">
        <v>126</v>
      </c>
      <c r="D5" t="s">
        <v>127</v>
      </c>
      <c r="E5" t="s">
        <v>128</v>
      </c>
      <c r="F5" t="s">
        <v>129</v>
      </c>
      <c r="G5" t="b">
        <v>1</v>
      </c>
      <c r="H5" t="b">
        <v>0</v>
      </c>
      <c r="I5" t="b">
        <v>1</v>
      </c>
      <c r="J5">
        <v>0</v>
      </c>
      <c r="K5">
        <v>2</v>
      </c>
      <c r="L5">
        <v>16.96</v>
      </c>
      <c r="M5">
        <v>17.86</v>
      </c>
      <c r="N5">
        <v>17.22</v>
      </c>
      <c r="O5">
        <v>0.05</v>
      </c>
      <c r="P5">
        <v>0.71</v>
      </c>
      <c r="Q5">
        <v>0.75</v>
      </c>
      <c r="S5" t="s">
        <v>130</v>
      </c>
      <c r="T5" t="s">
        <v>131</v>
      </c>
      <c r="U5" t="s">
        <v>28</v>
      </c>
      <c r="V5">
        <v>1</v>
      </c>
      <c r="W5">
        <v>0</v>
      </c>
      <c r="X5">
        <v>0.5</v>
      </c>
      <c r="Y5">
        <v>0.33333333333333331</v>
      </c>
    </row>
    <row r="6" spans="1:25" x14ac:dyDescent="0.2">
      <c r="A6" t="s">
        <v>35</v>
      </c>
      <c r="B6" t="s">
        <v>36</v>
      </c>
      <c r="C6" t="s">
        <v>132</v>
      </c>
      <c r="D6" t="s">
        <v>133</v>
      </c>
      <c r="E6" t="s">
        <v>134</v>
      </c>
      <c r="F6" t="s">
        <v>135</v>
      </c>
      <c r="G6" t="b">
        <v>1</v>
      </c>
      <c r="H6" t="b">
        <v>1</v>
      </c>
      <c r="I6" t="b">
        <v>1</v>
      </c>
      <c r="J6">
        <v>2</v>
      </c>
      <c r="K6">
        <v>2</v>
      </c>
      <c r="L6">
        <v>15.51</v>
      </c>
      <c r="M6">
        <v>15.87</v>
      </c>
      <c r="N6">
        <v>15.62</v>
      </c>
      <c r="O6">
        <v>0.04</v>
      </c>
      <c r="P6">
        <v>0.68</v>
      </c>
      <c r="Q6">
        <v>0.76</v>
      </c>
      <c r="R6">
        <v>1</v>
      </c>
      <c r="S6" t="s">
        <v>27</v>
      </c>
      <c r="T6" t="s">
        <v>136</v>
      </c>
      <c r="U6" t="s">
        <v>28</v>
      </c>
      <c r="V6">
        <v>1</v>
      </c>
      <c r="W6">
        <v>1</v>
      </c>
      <c r="X6">
        <v>1</v>
      </c>
      <c r="Y6">
        <v>0</v>
      </c>
    </row>
    <row r="7" spans="1:25" x14ac:dyDescent="0.2">
      <c r="A7" t="s">
        <v>37</v>
      </c>
      <c r="B7" t="s">
        <v>38</v>
      </c>
      <c r="C7" t="s">
        <v>137</v>
      </c>
      <c r="D7" t="s">
        <v>138</v>
      </c>
      <c r="E7" t="s">
        <v>139</v>
      </c>
      <c r="F7" t="s">
        <v>140</v>
      </c>
      <c r="G7" t="b">
        <v>1</v>
      </c>
      <c r="H7" t="b">
        <v>1</v>
      </c>
      <c r="I7" t="b">
        <v>1</v>
      </c>
      <c r="J7">
        <v>3449</v>
      </c>
      <c r="K7">
        <v>2</v>
      </c>
      <c r="L7">
        <v>130.76</v>
      </c>
      <c r="M7">
        <v>134.38</v>
      </c>
      <c r="N7">
        <v>131.69</v>
      </c>
      <c r="O7">
        <v>0.05</v>
      </c>
      <c r="P7">
        <v>0.71</v>
      </c>
      <c r="Q7">
        <v>0.79</v>
      </c>
      <c r="R7">
        <v>0.95</v>
      </c>
      <c r="S7" t="s">
        <v>27</v>
      </c>
      <c r="T7" t="s">
        <v>141</v>
      </c>
      <c r="U7" t="s">
        <v>28</v>
      </c>
      <c r="V7">
        <v>1</v>
      </c>
      <c r="W7">
        <v>1</v>
      </c>
      <c r="X7">
        <v>1</v>
      </c>
      <c r="Y7">
        <v>0.40500000000000003</v>
      </c>
    </row>
    <row r="8" spans="1:25" x14ac:dyDescent="0.2">
      <c r="A8" t="s">
        <v>39</v>
      </c>
      <c r="B8" t="s">
        <v>40</v>
      </c>
      <c r="C8" t="s">
        <v>142</v>
      </c>
      <c r="D8" t="s">
        <v>143</v>
      </c>
      <c r="E8" t="s">
        <v>144</v>
      </c>
      <c r="F8" t="s">
        <v>145</v>
      </c>
      <c r="G8" t="b">
        <v>1</v>
      </c>
      <c r="H8" t="b">
        <v>0</v>
      </c>
      <c r="I8" t="b">
        <v>1</v>
      </c>
      <c r="J8">
        <v>0</v>
      </c>
      <c r="K8">
        <v>2</v>
      </c>
      <c r="L8">
        <v>7186.21</v>
      </c>
      <c r="M8">
        <v>7212.15</v>
      </c>
      <c r="N8">
        <v>7150.68</v>
      </c>
      <c r="O8">
        <v>0.05</v>
      </c>
      <c r="P8">
        <v>0.7</v>
      </c>
      <c r="Q8">
        <v>0.77</v>
      </c>
      <c r="S8" t="s">
        <v>146</v>
      </c>
      <c r="T8" t="s">
        <v>147</v>
      </c>
      <c r="U8" t="s">
        <v>28</v>
      </c>
      <c r="V8">
        <v>1</v>
      </c>
      <c r="W8">
        <v>0</v>
      </c>
      <c r="X8">
        <v>0.5</v>
      </c>
      <c r="Y8">
        <v>0.33333333333333331</v>
      </c>
    </row>
    <row r="9" spans="1:25" x14ac:dyDescent="0.2">
      <c r="A9" t="s">
        <v>41</v>
      </c>
      <c r="B9" t="s">
        <v>42</v>
      </c>
      <c r="C9" t="s">
        <v>148</v>
      </c>
      <c r="D9" t="s">
        <v>149</v>
      </c>
      <c r="E9" t="s">
        <v>150</v>
      </c>
      <c r="F9" t="s">
        <v>151</v>
      </c>
      <c r="G9" t="b">
        <v>1</v>
      </c>
      <c r="H9" t="b">
        <v>1</v>
      </c>
      <c r="I9" t="b">
        <v>1</v>
      </c>
      <c r="J9">
        <v>1</v>
      </c>
      <c r="K9">
        <v>2</v>
      </c>
      <c r="L9">
        <v>7.61</v>
      </c>
      <c r="M9">
        <v>14.18</v>
      </c>
      <c r="N9">
        <v>9.75</v>
      </c>
      <c r="O9">
        <v>0</v>
      </c>
      <c r="P9">
        <v>0.77</v>
      </c>
      <c r="Q9">
        <v>0.77</v>
      </c>
      <c r="R9">
        <v>1</v>
      </c>
      <c r="S9" t="s">
        <v>27</v>
      </c>
      <c r="T9" t="s">
        <v>43</v>
      </c>
      <c r="U9" t="s">
        <v>28</v>
      </c>
      <c r="V9">
        <v>1</v>
      </c>
      <c r="W9">
        <v>1</v>
      </c>
      <c r="X9">
        <v>1</v>
      </c>
      <c r="Y9">
        <v>0</v>
      </c>
    </row>
    <row r="10" spans="1:25" x14ac:dyDescent="0.2">
      <c r="A10" t="s">
        <v>44</v>
      </c>
      <c r="B10" t="s">
        <v>45</v>
      </c>
      <c r="C10" t="s">
        <v>152</v>
      </c>
      <c r="D10" t="s">
        <v>153</v>
      </c>
      <c r="E10" t="s">
        <v>154</v>
      </c>
      <c r="F10" t="s">
        <v>155</v>
      </c>
      <c r="G10" t="b">
        <v>1</v>
      </c>
      <c r="H10" t="b">
        <v>1</v>
      </c>
      <c r="I10" t="b">
        <v>1</v>
      </c>
      <c r="J10">
        <v>401</v>
      </c>
      <c r="K10">
        <v>2</v>
      </c>
      <c r="L10">
        <v>30.16</v>
      </c>
      <c r="M10">
        <v>30.2</v>
      </c>
      <c r="N10">
        <v>30.17</v>
      </c>
      <c r="O10">
        <v>0</v>
      </c>
      <c r="P10">
        <v>0.8</v>
      </c>
      <c r="Q10">
        <v>0.79</v>
      </c>
      <c r="R10">
        <v>0.68</v>
      </c>
      <c r="S10" t="s">
        <v>27</v>
      </c>
      <c r="T10" t="s">
        <v>156</v>
      </c>
      <c r="U10" t="s">
        <v>28</v>
      </c>
      <c r="V10">
        <v>1</v>
      </c>
      <c r="W10">
        <v>1</v>
      </c>
      <c r="X10">
        <v>1</v>
      </c>
      <c r="Y10">
        <v>0.65166666666666673</v>
      </c>
    </row>
    <row r="11" spans="1:25" x14ac:dyDescent="0.2">
      <c r="A11" t="s">
        <v>46</v>
      </c>
      <c r="B11" t="s">
        <v>47</v>
      </c>
      <c r="C11" t="s">
        <v>157</v>
      </c>
      <c r="D11" t="s">
        <v>158</v>
      </c>
      <c r="E11" t="s">
        <v>159</v>
      </c>
      <c r="F11" t="s">
        <v>160</v>
      </c>
      <c r="G11" t="b">
        <v>1</v>
      </c>
      <c r="H11" t="b">
        <v>0</v>
      </c>
      <c r="I11" t="b">
        <v>1</v>
      </c>
      <c r="J11">
        <v>0</v>
      </c>
      <c r="K11">
        <v>1</v>
      </c>
      <c r="L11">
        <v>14.86</v>
      </c>
      <c r="M11">
        <v>14.9</v>
      </c>
      <c r="N11">
        <v>14.82</v>
      </c>
      <c r="O11">
        <v>0</v>
      </c>
      <c r="P11">
        <v>0.61</v>
      </c>
      <c r="Q11">
        <v>0.75</v>
      </c>
      <c r="S11" t="s">
        <v>161</v>
      </c>
      <c r="T11" t="s">
        <v>162</v>
      </c>
      <c r="U11" t="s">
        <v>28</v>
      </c>
      <c r="V11">
        <v>1</v>
      </c>
      <c r="W11">
        <v>0</v>
      </c>
      <c r="X11">
        <v>0.5</v>
      </c>
      <c r="Y11">
        <v>0.33333333333333331</v>
      </c>
    </row>
    <row r="12" spans="1:25" x14ac:dyDescent="0.2">
      <c r="A12" t="s">
        <v>48</v>
      </c>
      <c r="B12" t="s">
        <v>49</v>
      </c>
      <c r="C12" t="s">
        <v>163</v>
      </c>
      <c r="D12" t="s">
        <v>164</v>
      </c>
      <c r="E12" t="s">
        <v>165</v>
      </c>
      <c r="F12" t="s">
        <v>166</v>
      </c>
      <c r="G12" t="b">
        <v>1</v>
      </c>
      <c r="H12" t="b">
        <v>0</v>
      </c>
      <c r="I12" t="b">
        <v>1</v>
      </c>
      <c r="J12">
        <v>0</v>
      </c>
      <c r="K12">
        <v>2</v>
      </c>
      <c r="L12">
        <v>16.91</v>
      </c>
      <c r="M12">
        <v>17.2</v>
      </c>
      <c r="N12">
        <v>16.05</v>
      </c>
      <c r="O12">
        <v>0</v>
      </c>
      <c r="P12">
        <v>0.73</v>
      </c>
      <c r="Q12">
        <v>0.74</v>
      </c>
      <c r="S12" t="s">
        <v>146</v>
      </c>
      <c r="T12" t="s">
        <v>147</v>
      </c>
      <c r="U12" t="s">
        <v>28</v>
      </c>
      <c r="V12">
        <v>1</v>
      </c>
      <c r="W12">
        <v>0</v>
      </c>
      <c r="X12">
        <v>0.5</v>
      </c>
      <c r="Y12">
        <v>0.33333333333333331</v>
      </c>
    </row>
    <row r="13" spans="1:25" x14ac:dyDescent="0.2">
      <c r="A13" t="s">
        <v>50</v>
      </c>
      <c r="B13" t="s">
        <v>51</v>
      </c>
      <c r="C13" t="s">
        <v>167</v>
      </c>
      <c r="D13" t="s">
        <v>168</v>
      </c>
      <c r="E13" t="s">
        <v>169</v>
      </c>
      <c r="F13" t="s">
        <v>170</v>
      </c>
      <c r="G13" t="b">
        <v>1</v>
      </c>
      <c r="H13" t="b">
        <v>1</v>
      </c>
      <c r="I13" t="b">
        <v>1</v>
      </c>
      <c r="J13">
        <v>1</v>
      </c>
      <c r="K13">
        <v>2</v>
      </c>
      <c r="L13">
        <v>17.84</v>
      </c>
      <c r="M13">
        <v>18.100000000000001</v>
      </c>
      <c r="N13">
        <v>16.989999999999998</v>
      </c>
      <c r="O13">
        <v>7.0000000000000007E-2</v>
      </c>
      <c r="P13">
        <v>0.78</v>
      </c>
      <c r="Q13">
        <v>0.8</v>
      </c>
      <c r="R13">
        <v>1</v>
      </c>
      <c r="S13" t="s">
        <v>27</v>
      </c>
      <c r="T13" t="s">
        <v>171</v>
      </c>
      <c r="U13" t="s">
        <v>28</v>
      </c>
      <c r="V13">
        <v>1</v>
      </c>
      <c r="W13">
        <v>1</v>
      </c>
      <c r="X13">
        <v>1</v>
      </c>
      <c r="Y13">
        <v>0</v>
      </c>
    </row>
    <row r="14" spans="1:25" x14ac:dyDescent="0.2">
      <c r="A14" t="s">
        <v>52</v>
      </c>
      <c r="B14" t="s">
        <v>53</v>
      </c>
      <c r="C14" t="s">
        <v>172</v>
      </c>
      <c r="D14" t="s">
        <v>173</v>
      </c>
      <c r="E14" t="s">
        <v>174</v>
      </c>
      <c r="F14" t="s">
        <v>175</v>
      </c>
      <c r="G14" t="b">
        <v>1</v>
      </c>
      <c r="H14" t="b">
        <v>1</v>
      </c>
      <c r="I14" t="b">
        <v>1</v>
      </c>
      <c r="J14">
        <v>1033</v>
      </c>
      <c r="K14">
        <v>2</v>
      </c>
      <c r="L14">
        <v>48.11</v>
      </c>
      <c r="M14">
        <v>52.7</v>
      </c>
      <c r="N14">
        <v>49.23</v>
      </c>
      <c r="O14">
        <v>0.13</v>
      </c>
      <c r="P14">
        <v>0.7</v>
      </c>
      <c r="Q14">
        <v>0.79</v>
      </c>
      <c r="R14">
        <v>0.79</v>
      </c>
      <c r="S14" t="s">
        <v>27</v>
      </c>
      <c r="T14" t="s">
        <v>54</v>
      </c>
      <c r="U14" t="s">
        <v>57</v>
      </c>
      <c r="V14">
        <v>1</v>
      </c>
      <c r="W14">
        <v>1</v>
      </c>
      <c r="X14">
        <v>1</v>
      </c>
      <c r="Y14">
        <v>0.5116666666666666</v>
      </c>
    </row>
    <row r="15" spans="1:25" x14ac:dyDescent="0.2">
      <c r="A15" t="s">
        <v>55</v>
      </c>
      <c r="B15" t="s">
        <v>56</v>
      </c>
      <c r="C15" t="s">
        <v>176</v>
      </c>
      <c r="D15" t="s">
        <v>177</v>
      </c>
      <c r="E15" t="s">
        <v>178</v>
      </c>
      <c r="F15" t="s">
        <v>179</v>
      </c>
      <c r="G15" t="b">
        <v>0</v>
      </c>
      <c r="H15" t="b">
        <v>0</v>
      </c>
      <c r="I15" t="b">
        <v>0</v>
      </c>
      <c r="J15">
        <v>0</v>
      </c>
      <c r="K15">
        <v>0</v>
      </c>
      <c r="O15">
        <v>0</v>
      </c>
      <c r="P15">
        <v>0</v>
      </c>
      <c r="Q15">
        <v>0</v>
      </c>
      <c r="R15">
        <v>0</v>
      </c>
      <c r="S15" t="s">
        <v>27</v>
      </c>
      <c r="T15" t="s">
        <v>27</v>
      </c>
      <c r="U15" t="s">
        <v>57</v>
      </c>
      <c r="V15">
        <v>0</v>
      </c>
      <c r="W15">
        <v>0</v>
      </c>
      <c r="X15">
        <v>0</v>
      </c>
      <c r="Y15">
        <v>0</v>
      </c>
    </row>
    <row r="16" spans="1:25" x14ac:dyDescent="0.2">
      <c r="A16" t="s">
        <v>58</v>
      </c>
      <c r="B16" t="s">
        <v>59</v>
      </c>
      <c r="C16" t="s">
        <v>180</v>
      </c>
      <c r="D16" t="s">
        <v>181</v>
      </c>
      <c r="E16" t="s">
        <v>182</v>
      </c>
      <c r="F16" t="s">
        <v>183</v>
      </c>
      <c r="G16" t="b">
        <v>1</v>
      </c>
      <c r="H16" t="b">
        <v>1</v>
      </c>
      <c r="I16" t="b">
        <v>1</v>
      </c>
      <c r="J16">
        <v>432</v>
      </c>
      <c r="K16">
        <v>3</v>
      </c>
      <c r="L16">
        <v>42.18</v>
      </c>
      <c r="M16">
        <v>42.63</v>
      </c>
      <c r="N16">
        <v>41.77</v>
      </c>
      <c r="O16">
        <v>0.16</v>
      </c>
      <c r="P16">
        <v>0.75</v>
      </c>
      <c r="Q16">
        <v>0.82</v>
      </c>
      <c r="R16">
        <v>0.92</v>
      </c>
      <c r="S16" t="s">
        <v>27</v>
      </c>
      <c r="T16" t="s">
        <v>60</v>
      </c>
      <c r="U16" t="s">
        <v>57</v>
      </c>
      <c r="V16">
        <v>1</v>
      </c>
      <c r="W16">
        <v>1</v>
      </c>
      <c r="X16">
        <v>1</v>
      </c>
      <c r="Y16">
        <v>0.44</v>
      </c>
    </row>
    <row r="17" spans="1:25" x14ac:dyDescent="0.2">
      <c r="A17" t="s">
        <v>61</v>
      </c>
      <c r="B17" t="s">
        <v>62</v>
      </c>
      <c r="C17" t="s">
        <v>184</v>
      </c>
      <c r="D17" t="s">
        <v>185</v>
      </c>
      <c r="E17" t="s">
        <v>186</v>
      </c>
      <c r="F17" t="s">
        <v>187</v>
      </c>
      <c r="G17" t="b">
        <v>1</v>
      </c>
      <c r="H17" t="b">
        <v>0</v>
      </c>
      <c r="I17" t="b">
        <v>1</v>
      </c>
      <c r="J17">
        <v>0</v>
      </c>
      <c r="K17">
        <v>3</v>
      </c>
      <c r="L17">
        <v>16.690000000000001</v>
      </c>
      <c r="M17">
        <v>17.98</v>
      </c>
      <c r="N17">
        <v>14.06</v>
      </c>
      <c r="O17">
        <v>0.14000000000000001</v>
      </c>
      <c r="P17">
        <v>0.73</v>
      </c>
      <c r="Q17">
        <v>0.78</v>
      </c>
      <c r="S17" t="s">
        <v>63</v>
      </c>
      <c r="T17" t="s">
        <v>64</v>
      </c>
      <c r="U17" t="s">
        <v>57</v>
      </c>
      <c r="V17">
        <v>1</v>
      </c>
      <c r="W17">
        <v>0</v>
      </c>
      <c r="X17">
        <v>0.5</v>
      </c>
      <c r="Y17">
        <v>0.33333333333333331</v>
      </c>
    </row>
    <row r="18" spans="1:25" x14ac:dyDescent="0.2">
      <c r="A18" t="s">
        <v>65</v>
      </c>
      <c r="B18" t="s">
        <v>66</v>
      </c>
      <c r="C18" t="s">
        <v>188</v>
      </c>
      <c r="D18" t="s">
        <v>189</v>
      </c>
      <c r="E18" t="s">
        <v>190</v>
      </c>
      <c r="F18" t="s">
        <v>191</v>
      </c>
      <c r="G18" t="b">
        <v>1</v>
      </c>
      <c r="H18" t="b">
        <v>1</v>
      </c>
      <c r="I18" t="b">
        <v>1</v>
      </c>
      <c r="J18">
        <v>502</v>
      </c>
      <c r="K18">
        <v>4</v>
      </c>
      <c r="L18">
        <v>275.74</v>
      </c>
      <c r="M18">
        <v>277.57</v>
      </c>
      <c r="N18">
        <v>271.97000000000003</v>
      </c>
      <c r="O18">
        <v>0.03</v>
      </c>
      <c r="P18">
        <v>0.76</v>
      </c>
      <c r="Q18">
        <v>0.78</v>
      </c>
      <c r="R18">
        <v>0.98</v>
      </c>
      <c r="S18" t="s">
        <v>67</v>
      </c>
      <c r="T18" t="s">
        <v>192</v>
      </c>
      <c r="U18" t="s">
        <v>57</v>
      </c>
      <c r="V18">
        <v>1</v>
      </c>
      <c r="W18">
        <v>0.75</v>
      </c>
      <c r="X18">
        <v>0.875</v>
      </c>
      <c r="Y18">
        <v>0.3125</v>
      </c>
    </row>
    <row r="19" spans="1:25" x14ac:dyDescent="0.2">
      <c r="A19" t="s">
        <v>68</v>
      </c>
      <c r="B19" t="s">
        <v>69</v>
      </c>
      <c r="C19" t="s">
        <v>193</v>
      </c>
      <c r="D19" t="s">
        <v>194</v>
      </c>
      <c r="E19" t="s">
        <v>195</v>
      </c>
      <c r="F19" t="s">
        <v>196</v>
      </c>
      <c r="G19" t="b">
        <v>1</v>
      </c>
      <c r="H19" t="b">
        <v>1</v>
      </c>
      <c r="I19" t="b">
        <v>1</v>
      </c>
      <c r="J19">
        <v>323</v>
      </c>
      <c r="K19">
        <v>3</v>
      </c>
      <c r="L19">
        <v>28.38</v>
      </c>
      <c r="M19">
        <v>29.47</v>
      </c>
      <c r="N19">
        <v>28.49</v>
      </c>
      <c r="O19">
        <v>0.06</v>
      </c>
      <c r="P19">
        <v>0.8</v>
      </c>
      <c r="Q19">
        <v>0.78</v>
      </c>
      <c r="R19">
        <v>0.67</v>
      </c>
      <c r="S19" t="s">
        <v>197</v>
      </c>
      <c r="T19" t="s">
        <v>198</v>
      </c>
      <c r="U19" t="s">
        <v>57</v>
      </c>
      <c r="V19">
        <v>1</v>
      </c>
      <c r="W19">
        <v>0.66666666666666674</v>
      </c>
      <c r="X19">
        <v>0.83333333333333337</v>
      </c>
      <c r="Y19">
        <v>0.60222222222222221</v>
      </c>
    </row>
    <row r="20" spans="1:25" x14ac:dyDescent="0.2">
      <c r="A20" t="s">
        <v>70</v>
      </c>
      <c r="B20" t="s">
        <v>71</v>
      </c>
      <c r="C20" t="s">
        <v>199</v>
      </c>
      <c r="D20" t="s">
        <v>200</v>
      </c>
      <c r="E20" t="s">
        <v>201</v>
      </c>
      <c r="F20" t="s">
        <v>202</v>
      </c>
      <c r="G20" t="b">
        <v>1</v>
      </c>
      <c r="H20" t="b">
        <v>1</v>
      </c>
      <c r="I20" t="b">
        <v>1</v>
      </c>
      <c r="J20">
        <v>430</v>
      </c>
      <c r="K20">
        <v>2</v>
      </c>
      <c r="L20">
        <v>40.74</v>
      </c>
      <c r="M20">
        <v>42.19</v>
      </c>
      <c r="N20">
        <v>35.979999999999997</v>
      </c>
      <c r="O20">
        <v>0</v>
      </c>
      <c r="P20">
        <v>0.79</v>
      </c>
      <c r="Q20">
        <v>0.75</v>
      </c>
      <c r="R20">
        <v>0.88</v>
      </c>
      <c r="S20" t="s">
        <v>27</v>
      </c>
      <c r="T20" t="s">
        <v>203</v>
      </c>
      <c r="U20" t="s">
        <v>57</v>
      </c>
      <c r="V20">
        <v>1</v>
      </c>
      <c r="W20">
        <v>1</v>
      </c>
      <c r="X20">
        <v>1</v>
      </c>
      <c r="Y20">
        <v>0.49833333333333329</v>
      </c>
    </row>
    <row r="21" spans="1:25" x14ac:dyDescent="0.2">
      <c r="A21" t="s">
        <v>72</v>
      </c>
      <c r="B21" t="s">
        <v>73</v>
      </c>
      <c r="C21" t="s">
        <v>204</v>
      </c>
      <c r="D21" t="s">
        <v>205</v>
      </c>
      <c r="E21" t="s">
        <v>206</v>
      </c>
      <c r="F21" t="s">
        <v>207</v>
      </c>
      <c r="G21" t="b">
        <v>1</v>
      </c>
      <c r="H21" t="b">
        <v>1</v>
      </c>
      <c r="I21" t="b">
        <v>1</v>
      </c>
      <c r="J21">
        <v>2</v>
      </c>
      <c r="K21">
        <v>2</v>
      </c>
      <c r="L21">
        <v>9.4600000000000009</v>
      </c>
      <c r="M21">
        <v>17.87</v>
      </c>
      <c r="N21">
        <v>11.97</v>
      </c>
      <c r="O21">
        <v>0.05</v>
      </c>
      <c r="P21">
        <v>0.63</v>
      </c>
      <c r="Q21">
        <v>0.76</v>
      </c>
      <c r="R21">
        <v>1</v>
      </c>
      <c r="S21" t="s">
        <v>208</v>
      </c>
      <c r="T21" t="s">
        <v>209</v>
      </c>
      <c r="U21" t="s">
        <v>57</v>
      </c>
      <c r="V21">
        <v>1</v>
      </c>
      <c r="W21">
        <v>0.5</v>
      </c>
      <c r="X21">
        <v>0.75</v>
      </c>
      <c r="Y21">
        <v>8.3333333333333329E-2</v>
      </c>
    </row>
    <row r="22" spans="1:25" x14ac:dyDescent="0.2">
      <c r="A22" t="s">
        <v>74</v>
      </c>
      <c r="B22" t="s">
        <v>75</v>
      </c>
      <c r="C22" t="s">
        <v>210</v>
      </c>
      <c r="D22" t="s">
        <v>211</v>
      </c>
      <c r="E22" t="s">
        <v>212</v>
      </c>
      <c r="F22" t="s">
        <v>213</v>
      </c>
      <c r="G22" t="b">
        <v>1</v>
      </c>
      <c r="H22" t="b">
        <v>1</v>
      </c>
      <c r="I22" t="b">
        <v>1</v>
      </c>
      <c r="J22">
        <v>76522</v>
      </c>
      <c r="K22">
        <v>2</v>
      </c>
      <c r="L22">
        <v>1496.54</v>
      </c>
      <c r="M22">
        <v>1782.28</v>
      </c>
      <c r="N22">
        <v>1591.33</v>
      </c>
      <c r="O22">
        <v>0.11</v>
      </c>
      <c r="P22">
        <v>0.75</v>
      </c>
      <c r="Q22">
        <v>0.78</v>
      </c>
      <c r="R22">
        <v>0.96</v>
      </c>
      <c r="S22" t="s">
        <v>27</v>
      </c>
      <c r="T22" t="s">
        <v>214</v>
      </c>
      <c r="U22" t="s">
        <v>57</v>
      </c>
      <c r="V22">
        <v>1</v>
      </c>
      <c r="W22">
        <v>1</v>
      </c>
      <c r="X22">
        <v>1</v>
      </c>
      <c r="Y22">
        <v>0.40666666666666668</v>
      </c>
    </row>
    <row r="23" spans="1:25" x14ac:dyDescent="0.2">
      <c r="A23" t="s">
        <v>76</v>
      </c>
      <c r="B23" t="s">
        <v>77</v>
      </c>
      <c r="C23" t="s">
        <v>215</v>
      </c>
      <c r="D23" t="s">
        <v>216</v>
      </c>
      <c r="E23" t="s">
        <v>217</v>
      </c>
      <c r="F23" t="s">
        <v>218</v>
      </c>
      <c r="G23" t="b">
        <v>1</v>
      </c>
      <c r="H23" t="b">
        <v>1</v>
      </c>
      <c r="I23" t="b">
        <v>1</v>
      </c>
      <c r="J23">
        <v>1</v>
      </c>
      <c r="K23">
        <v>3</v>
      </c>
      <c r="L23">
        <v>8.39</v>
      </c>
      <c r="M23">
        <v>17.239999999999998</v>
      </c>
      <c r="N23">
        <v>11.21</v>
      </c>
      <c r="O23">
        <v>0.06</v>
      </c>
      <c r="P23">
        <v>0.78</v>
      </c>
      <c r="Q23">
        <v>0.76</v>
      </c>
      <c r="R23">
        <v>1</v>
      </c>
      <c r="S23" t="s">
        <v>219</v>
      </c>
      <c r="T23" t="s">
        <v>220</v>
      </c>
      <c r="U23" t="s">
        <v>57</v>
      </c>
      <c r="V23">
        <v>1</v>
      </c>
      <c r="W23">
        <v>0.66666666666666674</v>
      </c>
      <c r="X23">
        <v>0.83333333333333337</v>
      </c>
      <c r="Y23">
        <v>0.1111111111111111</v>
      </c>
    </row>
    <row r="24" spans="1:25" x14ac:dyDescent="0.2">
      <c r="A24" t="s">
        <v>78</v>
      </c>
      <c r="B24" t="s">
        <v>79</v>
      </c>
      <c r="C24" t="s">
        <v>221</v>
      </c>
      <c r="D24" t="s">
        <v>222</v>
      </c>
      <c r="E24" t="s">
        <v>223</v>
      </c>
      <c r="F24" t="s">
        <v>224</v>
      </c>
      <c r="G24" t="b">
        <v>1</v>
      </c>
      <c r="H24" t="b">
        <v>1</v>
      </c>
      <c r="I24" t="b">
        <v>1</v>
      </c>
      <c r="J24">
        <v>38889</v>
      </c>
      <c r="K24">
        <v>3</v>
      </c>
      <c r="L24">
        <v>1185.98</v>
      </c>
      <c r="M24">
        <v>1381.55</v>
      </c>
      <c r="N24">
        <v>1239.8</v>
      </c>
      <c r="O24">
        <v>0.04</v>
      </c>
      <c r="P24">
        <v>0.72</v>
      </c>
      <c r="Q24">
        <v>0.74</v>
      </c>
      <c r="R24">
        <v>0.97</v>
      </c>
      <c r="S24" t="s">
        <v>27</v>
      </c>
      <c r="T24" t="s">
        <v>225</v>
      </c>
      <c r="U24" t="s">
        <v>57</v>
      </c>
      <c r="V24">
        <v>1</v>
      </c>
      <c r="W24">
        <v>1</v>
      </c>
      <c r="X24">
        <v>1</v>
      </c>
      <c r="Y24">
        <v>0.3133333333333333</v>
      </c>
    </row>
    <row r="25" spans="1:25" x14ac:dyDescent="0.2">
      <c r="A25" t="s">
        <v>80</v>
      </c>
      <c r="B25" t="s">
        <v>81</v>
      </c>
      <c r="C25" t="s">
        <v>226</v>
      </c>
      <c r="D25" t="s">
        <v>227</v>
      </c>
      <c r="E25" t="s">
        <v>228</v>
      </c>
      <c r="F25" t="s">
        <v>229</v>
      </c>
      <c r="G25" t="b">
        <v>1</v>
      </c>
      <c r="H25" t="b">
        <v>1</v>
      </c>
      <c r="I25" t="b">
        <v>1</v>
      </c>
      <c r="J25">
        <v>736</v>
      </c>
      <c r="K25">
        <v>3</v>
      </c>
      <c r="L25">
        <v>36.96</v>
      </c>
      <c r="M25">
        <v>44.95</v>
      </c>
      <c r="N25">
        <v>37.54</v>
      </c>
      <c r="O25">
        <v>0.08</v>
      </c>
      <c r="P25">
        <v>0.77</v>
      </c>
      <c r="Q25">
        <v>0.82</v>
      </c>
      <c r="R25">
        <v>0.89</v>
      </c>
      <c r="S25" t="s">
        <v>67</v>
      </c>
      <c r="T25" t="s">
        <v>230</v>
      </c>
      <c r="U25" t="s">
        <v>87</v>
      </c>
      <c r="V25">
        <v>1</v>
      </c>
      <c r="W25">
        <v>0.66666666666666674</v>
      </c>
      <c r="X25">
        <v>0.83333333333333337</v>
      </c>
      <c r="Y25">
        <v>0.36444444444444452</v>
      </c>
    </row>
    <row r="26" spans="1:25" x14ac:dyDescent="0.2">
      <c r="A26" t="s">
        <v>82</v>
      </c>
      <c r="B26" t="s">
        <v>83</v>
      </c>
      <c r="C26" t="s">
        <v>231</v>
      </c>
      <c r="D26" t="s">
        <v>232</v>
      </c>
      <c r="E26" t="s">
        <v>233</v>
      </c>
      <c r="F26" t="s">
        <v>234</v>
      </c>
      <c r="G26" t="b">
        <v>1</v>
      </c>
      <c r="H26" t="b">
        <v>1</v>
      </c>
      <c r="I26" t="b">
        <v>1</v>
      </c>
      <c r="J26">
        <v>502</v>
      </c>
      <c r="K26">
        <v>6</v>
      </c>
      <c r="L26">
        <v>303.86</v>
      </c>
      <c r="M26">
        <v>318.39999999999998</v>
      </c>
      <c r="N26">
        <v>304.97000000000003</v>
      </c>
      <c r="O26">
        <v>0</v>
      </c>
      <c r="P26">
        <v>0.73</v>
      </c>
      <c r="Q26">
        <v>0.78</v>
      </c>
      <c r="R26">
        <v>0.98</v>
      </c>
      <c r="S26" t="s">
        <v>84</v>
      </c>
      <c r="T26" t="s">
        <v>235</v>
      </c>
      <c r="U26" t="s">
        <v>87</v>
      </c>
      <c r="V26">
        <v>1</v>
      </c>
      <c r="W26">
        <v>0.66666666666666674</v>
      </c>
      <c r="X26">
        <v>0.83333333333333337</v>
      </c>
      <c r="Y26">
        <v>0.32111111111111112</v>
      </c>
    </row>
    <row r="27" spans="1:25" x14ac:dyDescent="0.2">
      <c r="A27" t="s">
        <v>85</v>
      </c>
      <c r="B27" t="s">
        <v>86</v>
      </c>
      <c r="C27" t="s">
        <v>236</v>
      </c>
      <c r="D27" t="s">
        <v>237</v>
      </c>
      <c r="E27" t="s">
        <v>238</v>
      </c>
      <c r="F27" t="s">
        <v>239</v>
      </c>
      <c r="G27" t="b">
        <v>1</v>
      </c>
      <c r="H27" t="b">
        <v>1</v>
      </c>
      <c r="I27" t="b">
        <v>1</v>
      </c>
      <c r="J27">
        <v>140</v>
      </c>
      <c r="K27">
        <v>3</v>
      </c>
      <c r="L27">
        <v>23.05</v>
      </c>
      <c r="M27">
        <v>23.25</v>
      </c>
      <c r="N27">
        <v>22.95</v>
      </c>
      <c r="O27">
        <v>0.04</v>
      </c>
      <c r="P27">
        <v>0.76</v>
      </c>
      <c r="Q27">
        <v>0.78</v>
      </c>
      <c r="R27">
        <v>0.72</v>
      </c>
      <c r="S27" t="s">
        <v>67</v>
      </c>
      <c r="T27" t="s">
        <v>240</v>
      </c>
      <c r="U27" t="s">
        <v>87</v>
      </c>
      <c r="V27">
        <v>1</v>
      </c>
      <c r="W27">
        <v>0.66666666666666674</v>
      </c>
      <c r="X27">
        <v>0.83333333333333337</v>
      </c>
      <c r="Y27">
        <v>0.54888888888888887</v>
      </c>
    </row>
    <row r="28" spans="1:25" x14ac:dyDescent="0.2">
      <c r="A28" t="s">
        <v>88</v>
      </c>
      <c r="B28" t="s">
        <v>89</v>
      </c>
      <c r="C28" t="s">
        <v>241</v>
      </c>
      <c r="D28" t="s">
        <v>242</v>
      </c>
      <c r="E28" t="s">
        <v>243</v>
      </c>
      <c r="F28" t="s">
        <v>244</v>
      </c>
      <c r="G28" t="b">
        <v>1</v>
      </c>
      <c r="H28" t="b">
        <v>1</v>
      </c>
      <c r="I28" t="b">
        <v>1</v>
      </c>
      <c r="J28">
        <v>1</v>
      </c>
      <c r="K28">
        <v>3</v>
      </c>
      <c r="L28">
        <v>14.58</v>
      </c>
      <c r="M28">
        <v>14.69</v>
      </c>
      <c r="N28">
        <v>14.18</v>
      </c>
      <c r="O28">
        <v>0.06</v>
      </c>
      <c r="P28">
        <v>0.69</v>
      </c>
      <c r="Q28">
        <v>0.73</v>
      </c>
      <c r="R28">
        <v>1</v>
      </c>
      <c r="S28" t="s">
        <v>90</v>
      </c>
      <c r="T28" t="s">
        <v>91</v>
      </c>
      <c r="U28" t="s">
        <v>87</v>
      </c>
      <c r="V28">
        <v>1</v>
      </c>
      <c r="W28">
        <v>0.66666666666666674</v>
      </c>
      <c r="X28">
        <v>0.83333333333333337</v>
      </c>
      <c r="Y28">
        <v>0.1111111111111111</v>
      </c>
    </row>
    <row r="29" spans="1:25" x14ac:dyDescent="0.2">
      <c r="A29" t="s">
        <v>92</v>
      </c>
      <c r="B29" t="s">
        <v>93</v>
      </c>
      <c r="C29" t="s">
        <v>245</v>
      </c>
      <c r="D29" t="s">
        <v>246</v>
      </c>
      <c r="E29" t="s">
        <v>247</v>
      </c>
      <c r="F29" t="s">
        <v>248</v>
      </c>
      <c r="G29" t="b">
        <v>1</v>
      </c>
      <c r="H29" t="b">
        <v>1</v>
      </c>
      <c r="I29" t="b">
        <v>1</v>
      </c>
      <c r="J29">
        <v>0</v>
      </c>
      <c r="K29">
        <v>3</v>
      </c>
      <c r="L29">
        <v>17.23</v>
      </c>
      <c r="M29">
        <v>17.809999999999999</v>
      </c>
      <c r="N29">
        <v>16.66</v>
      </c>
      <c r="O29">
        <v>0.05</v>
      </c>
      <c r="P29">
        <v>0.76</v>
      </c>
      <c r="Q29">
        <v>0.76</v>
      </c>
      <c r="S29" t="s">
        <v>249</v>
      </c>
      <c r="T29" t="s">
        <v>250</v>
      </c>
      <c r="U29" t="s">
        <v>87</v>
      </c>
      <c r="V29">
        <v>1</v>
      </c>
      <c r="W29">
        <v>0</v>
      </c>
      <c r="X29">
        <v>0.5</v>
      </c>
      <c r="Y29">
        <v>0.33333333333333331</v>
      </c>
    </row>
    <row r="30" spans="1:25" x14ac:dyDescent="0.2">
      <c r="A30" t="s">
        <v>94</v>
      </c>
      <c r="B30" t="s">
        <v>95</v>
      </c>
      <c r="C30" t="s">
        <v>251</v>
      </c>
      <c r="D30" t="s">
        <v>252</v>
      </c>
      <c r="E30" t="s">
        <v>253</v>
      </c>
      <c r="F30" t="s">
        <v>254</v>
      </c>
      <c r="G30" t="b">
        <v>1</v>
      </c>
      <c r="H30" t="b">
        <v>1</v>
      </c>
      <c r="I30" t="b">
        <v>1</v>
      </c>
      <c r="J30">
        <v>1</v>
      </c>
      <c r="K30">
        <v>3</v>
      </c>
      <c r="L30">
        <v>23.36</v>
      </c>
      <c r="M30">
        <v>25.47</v>
      </c>
      <c r="N30">
        <v>23.58</v>
      </c>
      <c r="O30">
        <v>0</v>
      </c>
      <c r="P30">
        <v>0.71</v>
      </c>
      <c r="Q30">
        <v>0.76</v>
      </c>
      <c r="R30">
        <v>1</v>
      </c>
      <c r="S30" t="s">
        <v>219</v>
      </c>
      <c r="T30" t="s">
        <v>255</v>
      </c>
      <c r="U30" t="s">
        <v>87</v>
      </c>
      <c r="V30">
        <v>1</v>
      </c>
      <c r="W30">
        <v>0.66666666666666674</v>
      </c>
      <c r="X30">
        <v>0.83333333333333337</v>
      </c>
      <c r="Y30">
        <v>0.1111111111111111</v>
      </c>
    </row>
    <row r="31" spans="1:25" x14ac:dyDescent="0.2">
      <c r="A31" t="s">
        <v>96</v>
      </c>
      <c r="B31" t="s">
        <v>97</v>
      </c>
      <c r="C31" t="s">
        <v>256</v>
      </c>
      <c r="D31" t="s">
        <v>257</v>
      </c>
      <c r="E31" t="s">
        <v>258</v>
      </c>
      <c r="F31" t="s">
        <v>259</v>
      </c>
      <c r="G31" t="b">
        <v>1</v>
      </c>
      <c r="H31" t="b">
        <v>1</v>
      </c>
      <c r="I31" t="b">
        <v>1</v>
      </c>
      <c r="J31">
        <v>0</v>
      </c>
      <c r="K31">
        <v>3</v>
      </c>
      <c r="L31">
        <v>14.89</v>
      </c>
      <c r="M31">
        <v>18.809999999999999</v>
      </c>
      <c r="N31">
        <v>15.81</v>
      </c>
      <c r="O31">
        <v>0</v>
      </c>
      <c r="P31">
        <v>0.67</v>
      </c>
      <c r="Q31">
        <v>0.73</v>
      </c>
      <c r="S31" t="s">
        <v>260</v>
      </c>
      <c r="T31" t="s">
        <v>261</v>
      </c>
      <c r="U31" t="s">
        <v>87</v>
      </c>
      <c r="V31">
        <v>1</v>
      </c>
      <c r="W31">
        <v>0</v>
      </c>
      <c r="X31">
        <v>0.5</v>
      </c>
      <c r="Y31">
        <v>0.33333333333333331</v>
      </c>
    </row>
    <row r="32" spans="1:25" x14ac:dyDescent="0.2">
      <c r="A32" t="s">
        <v>98</v>
      </c>
      <c r="B32" t="s">
        <v>99</v>
      </c>
      <c r="C32" t="s">
        <v>262</v>
      </c>
      <c r="D32" t="s">
        <v>263</v>
      </c>
      <c r="E32" t="s">
        <v>264</v>
      </c>
      <c r="F32" t="s">
        <v>265</v>
      </c>
      <c r="G32" t="b">
        <v>1</v>
      </c>
      <c r="H32" t="b">
        <v>1</v>
      </c>
      <c r="I32" t="b">
        <v>1</v>
      </c>
      <c r="J32">
        <v>391</v>
      </c>
      <c r="K32">
        <v>7</v>
      </c>
      <c r="L32">
        <v>68.67</v>
      </c>
      <c r="M32">
        <v>74.58</v>
      </c>
      <c r="N32">
        <v>68.95</v>
      </c>
      <c r="O32">
        <v>0</v>
      </c>
      <c r="P32">
        <v>0.74</v>
      </c>
      <c r="Q32">
        <v>0.8</v>
      </c>
      <c r="R32">
        <v>0.91</v>
      </c>
      <c r="S32" t="s">
        <v>266</v>
      </c>
      <c r="T32" t="s">
        <v>267</v>
      </c>
      <c r="U32" t="s">
        <v>87</v>
      </c>
      <c r="V32">
        <v>1</v>
      </c>
      <c r="W32">
        <v>0.5714285714285714</v>
      </c>
      <c r="X32">
        <v>0.7857142857142857</v>
      </c>
      <c r="Y32">
        <v>0.17476190476190481</v>
      </c>
    </row>
    <row r="33" spans="1:25" x14ac:dyDescent="0.2">
      <c r="A33" t="s">
        <v>100</v>
      </c>
      <c r="B33" t="s">
        <v>101</v>
      </c>
      <c r="C33" t="s">
        <v>268</v>
      </c>
      <c r="D33" t="s">
        <v>269</v>
      </c>
      <c r="E33" t="s">
        <v>270</v>
      </c>
      <c r="F33" t="s">
        <v>271</v>
      </c>
      <c r="G33" t="b">
        <v>1</v>
      </c>
      <c r="H33" t="b">
        <v>1</v>
      </c>
      <c r="I33" t="b">
        <v>1</v>
      </c>
      <c r="J33">
        <v>77778</v>
      </c>
      <c r="K33">
        <v>3</v>
      </c>
      <c r="L33">
        <v>3123.69</v>
      </c>
      <c r="M33">
        <v>3226.99</v>
      </c>
      <c r="N33">
        <v>3060.93</v>
      </c>
      <c r="O33">
        <v>0.12</v>
      </c>
      <c r="P33">
        <v>0.7</v>
      </c>
      <c r="Q33">
        <v>0.77</v>
      </c>
      <c r="R33">
        <v>0.97</v>
      </c>
      <c r="S33" t="s">
        <v>27</v>
      </c>
      <c r="T33" t="s">
        <v>272</v>
      </c>
      <c r="U33" t="s">
        <v>87</v>
      </c>
      <c r="V33">
        <v>1</v>
      </c>
      <c r="W33">
        <v>1</v>
      </c>
      <c r="X33">
        <v>1</v>
      </c>
      <c r="Y33">
        <v>0.31555555555555548</v>
      </c>
    </row>
    <row r="34" spans="1:25" x14ac:dyDescent="0.2">
      <c r="A34" t="s">
        <v>102</v>
      </c>
      <c r="B34" t="s">
        <v>103</v>
      </c>
      <c r="C34" t="s">
        <v>273</v>
      </c>
      <c r="D34" t="s">
        <v>274</v>
      </c>
      <c r="E34" t="s">
        <v>275</v>
      </c>
      <c r="F34" t="s">
        <v>276</v>
      </c>
      <c r="G34" t="b">
        <v>1</v>
      </c>
      <c r="H34" t="b">
        <v>0</v>
      </c>
      <c r="I34" t="b">
        <v>1</v>
      </c>
      <c r="J34">
        <v>0</v>
      </c>
      <c r="K34">
        <v>4</v>
      </c>
      <c r="L34">
        <v>8.6999999999999993</v>
      </c>
      <c r="M34">
        <v>9.01</v>
      </c>
      <c r="N34">
        <v>8.69</v>
      </c>
      <c r="O34">
        <v>0.03</v>
      </c>
      <c r="P34">
        <v>0.69</v>
      </c>
      <c r="Q34">
        <v>0.78</v>
      </c>
      <c r="S34" t="s">
        <v>277</v>
      </c>
      <c r="T34" t="s">
        <v>278</v>
      </c>
      <c r="U34" t="s">
        <v>87</v>
      </c>
      <c r="V34">
        <v>1</v>
      </c>
      <c r="W34">
        <v>0</v>
      </c>
      <c r="X34">
        <v>0.5</v>
      </c>
      <c r="Y34">
        <v>0.33333333333333331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108</v>
      </c>
      <c r="B1" s="2" t="s">
        <v>109</v>
      </c>
      <c r="C1" s="2" t="s">
        <v>110</v>
      </c>
      <c r="D1" s="2" t="s">
        <v>111</v>
      </c>
    </row>
    <row r="2" spans="1:4" x14ac:dyDescent="0.2">
      <c r="A2" t="str" cm="1">
        <f t="array" ref="A2:A4">_xlfn.UNIQUE(All!U2:U34)</f>
        <v>simple</v>
      </c>
      <c r="B2">
        <f>COUNTIF(All!U2:U34,Filter!A2)</f>
        <v>12</v>
      </c>
      <c r="C2">
        <f>COUNTIFS(All!$G:$G, TRUE, All!$U:$U, A2)</f>
        <v>11</v>
      </c>
      <c r="D2">
        <f>COUNTIFS(All!$G:$G, TRUE,
          All!$H:$H, TRUE,
          All!$I:$I, TRUE,
          All!$U:$U, A2)</f>
        <v>7</v>
      </c>
    </row>
    <row r="3" spans="1:4" x14ac:dyDescent="0.2">
      <c r="A3" t="str">
        <v>moderate</v>
      </c>
      <c r="B3">
        <f>COUNTIF(All!U3:U35,Filter!A3)</f>
        <v>11</v>
      </c>
      <c r="C3">
        <f>COUNTIFS(All!$G:$G, TRUE, All!$U:$U, A3)</f>
        <v>10</v>
      </c>
      <c r="D3">
        <f>COUNTIFS(All!$G:$G, TRUE,
          All!$H:$H, TRUE,
          All!$I:$I, TRUE,
          All!$U:$U, A3)</f>
        <v>9</v>
      </c>
    </row>
    <row r="4" spans="1:4" x14ac:dyDescent="0.2">
      <c r="A4" t="str">
        <v>complex</v>
      </c>
      <c r="B4">
        <f>COUNTIF(All!U4:U36,Filter!A4)</f>
        <v>10</v>
      </c>
      <c r="C4">
        <f>COUNTIFS(All!$G:$G, TRUE, All!$U:$U, A4)</f>
        <v>10</v>
      </c>
      <c r="D4">
        <f>COUNTIFS(All!$G:$G, TRUE,
          All!$H:$H, TRUE,
          All!$I:$I, TRUE,
          All!$U:$U, A4)</f>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104</v>
      </c>
      <c r="P1" s="1" t="s">
        <v>105</v>
      </c>
      <c r="Q1" s="1" t="s">
        <v>106</v>
      </c>
    </row>
    <row r="2" spans="1:17" x14ac:dyDescent="0.2">
      <c r="A2" t="s">
        <v>28</v>
      </c>
      <c r="B2" s="3">
        <f>AVERAGEIFS(All!$J:$J,
            All!$G:$G, TRUE,
            All!$H:$H, TRUE,
            All!$I:$I, TRUE,
            All!$U:$U, A2)</f>
        <v>759.85714285714289</v>
      </c>
      <c r="C2" s="3">
        <f>AVERAGEIFS(All!K:K,
            All!$G:$G, TRUE,
            All!$H:$H, TRUE,
            All!$I:$I, TRUE,
            All!$U:$U, $A2)</f>
        <v>1.8571428571428572</v>
      </c>
      <c r="D2" s="3">
        <f>AVERAGEIFS(All!L:L,
            All!$G:$G, TRUE,
            All!$H:$H, TRUE,
            All!$I:$I, TRUE,
            All!$U:$U, $A2)</f>
        <v>39.57</v>
      </c>
      <c r="E2" s="3">
        <f>AVERAGEIFS(All!M:M,
            All!$G:$G, TRUE,
            All!$H:$H, TRUE,
            All!$I:$I, TRUE,
            All!$U:$U, $A2)</f>
        <v>41.504285714285722</v>
      </c>
      <c r="F2" s="3">
        <f>AVERAGEIFS(All!N:N,
            All!$G:$G, TRUE,
            All!$H:$H, TRUE,
            All!$I:$I, TRUE,
            All!$U:$U, $A2)</f>
        <v>39.744285714285716</v>
      </c>
      <c r="G2" s="3">
        <f>AVERAGEIFS(All!O:O,
            All!$G:$G, TRUE,
            All!$H:$H, TRUE,
            All!$I:$I, TRUE,
            All!$U:$U, $A2)</f>
        <v>2.2857142857142857E-2</v>
      </c>
      <c r="H2" s="3">
        <f>AVERAGEIFS(All!P:P,
            All!$G:$G, TRUE,
            All!$H:$H, TRUE,
            All!$I:$I, TRUE,
            All!$U:$U, $A2)</f>
        <v>0.73714285714285721</v>
      </c>
      <c r="I2" s="3">
        <f>AVERAGEIFS(All!Q:Q,
            All!$G:$G, TRUE,
            All!$H:$H, TRUE,
            All!$I:$I, TRUE,
            All!$U:$U, $A2)</f>
        <v>0.76999999999999991</v>
      </c>
      <c r="J2" s="3">
        <f>AVERAGEIFS(All!R:R,
            All!$G:$G, TRUE,
            All!$H:$H, TRUE,
            All!$I:$I, TRUE,
            All!$U:$U, $A2)</f>
        <v>0.90142857142857136</v>
      </c>
      <c r="K2" s="3">
        <f>AVERAGEIFS(All!V:V,
            All!$G:$G, TRUE,
            All!$H:$H, TRUE,
            All!$I:$I, TRUE,
            All!$U:$U, $A2)</f>
        <v>1</v>
      </c>
      <c r="L2" s="3">
        <f>AVERAGEIFS(All!W:W,
            All!$G:$G, TRUE,
            All!$H:$H, TRUE,
            All!$I:$I, TRUE,
            All!$U:$U, $A2)</f>
        <v>1</v>
      </c>
      <c r="M2" s="3">
        <f>AVERAGEIFS(All!X:X,
            All!$G:$G, TRUE,
            All!$H:$H, TRUE,
            All!$I:$I, TRUE,
            All!$U:$U, $A2)</f>
        <v>1</v>
      </c>
      <c r="N2" s="3">
        <f>AVERAGEIFS(All!Y:Y,
            All!$G:$G, TRUE,
            All!$H:$H, TRUE,
            All!$I:$I, TRUE,
            All!$U:$U, $A2)</f>
        <v>0.25523809523809521</v>
      </c>
      <c r="O2" s="3">
        <f>COUNTIFS(All!G:G,TRUE,All!$U:$U,$A2)/COUNTIF(All!$U2:$U34,Filter!$A2)</f>
        <v>0.91666666666666663</v>
      </c>
      <c r="P2" s="3">
        <f>COUNTIFS(All!H:H,TRUE,All!$U:$U,$A2)/COUNTIF(All!$U2:$U34,Filter!$A2)</f>
        <v>0.58333333333333337</v>
      </c>
      <c r="Q2" s="3">
        <f>COUNTIFS(All!I:I,TRUE,All!$U:$U,$A2)/COUNTIF(All!$U2:$U34,Filter!$A2)</f>
        <v>0.91666666666666663</v>
      </c>
    </row>
    <row r="3" spans="1:17" x14ac:dyDescent="0.2">
      <c r="A3" t="s">
        <v>57</v>
      </c>
      <c r="B3" s="3">
        <f>AVERAGEIFS(All!$J:$J,
            All!$G:$G, TRUE,
            All!$H:$H, TRUE,
            All!$I:$I, TRUE,
            All!$U:$U, A3)</f>
        <v>13126</v>
      </c>
      <c r="C3" s="3">
        <f>AVERAGEIFS(All!K:K,
            All!$G:$G, TRUE,
            All!$H:$H, TRUE,
            All!$I:$I, TRUE,
            All!$U:$U, $A3)</f>
        <v>2.6666666666666665</v>
      </c>
      <c r="D3" s="3">
        <f>AVERAGEIFS(All!L:L,
            All!$G:$G, TRUE,
            All!$H:$H, TRUE,
            All!$I:$I, TRUE,
            All!$U:$U, $A3)</f>
        <v>348.39111111111112</v>
      </c>
      <c r="E3" s="3">
        <f>AVERAGEIFS(All!M:M,
            All!$G:$G, TRUE,
            All!$H:$H, TRUE,
            All!$I:$I, TRUE,
            All!$U:$U, $A3)</f>
        <v>404.83333333333331</v>
      </c>
      <c r="F3" s="3">
        <f>AVERAGEIFS(All!N:N,
            All!$G:$G, TRUE,
            All!$H:$H, TRUE,
            All!$I:$I, TRUE,
            All!$U:$U, $A3)</f>
        <v>364.63888888888891</v>
      </c>
      <c r="G3" s="3">
        <f>AVERAGEIFS(All!O:O,
            All!$G:$G, TRUE,
            All!$H:$H, TRUE,
            All!$I:$I, TRUE,
            All!$U:$U, $A3)</f>
        <v>7.1111111111111125E-2</v>
      </c>
      <c r="H3" s="3">
        <f>AVERAGEIFS(All!P:P,
            All!$G:$G, TRUE,
            All!$H:$H, TRUE,
            All!$I:$I, TRUE,
            All!$U:$U, $A3)</f>
        <v>0.74222222222222223</v>
      </c>
      <c r="I3" s="3">
        <f>AVERAGEIFS(All!Q:Q,
            All!$G:$G, TRUE,
            All!$H:$H, TRUE,
            All!$I:$I, TRUE,
            All!$U:$U, $A3)</f>
        <v>0.77333333333333332</v>
      </c>
      <c r="J3" s="3">
        <f>AVERAGEIFS(All!R:R,
            All!$G:$G, TRUE,
            All!$H:$H, TRUE,
            All!$I:$I, TRUE,
            All!$U:$U, $A3)</f>
        <v>0.90777777777777779</v>
      </c>
      <c r="K3" s="3">
        <f>AVERAGEIFS(All!V:V,
            All!$G:$G, TRUE,
            All!$H:$H, TRUE,
            All!$I:$I, TRUE,
            All!$U:$U, $A3)</f>
        <v>1</v>
      </c>
      <c r="L3" s="3">
        <f>AVERAGEIFS(All!W:W,
            All!$G:$G, TRUE,
            All!$H:$H, TRUE,
            All!$I:$I, TRUE,
            All!$U:$U, $A3)</f>
        <v>0.84259259259259267</v>
      </c>
      <c r="M3" s="3">
        <f>AVERAGEIFS(All!X:X,
            All!$G:$G, TRUE,
            All!$H:$H, TRUE,
            All!$I:$I, TRUE,
            All!$U:$U, $A3)</f>
        <v>0.92129629629629639</v>
      </c>
      <c r="N3" s="3">
        <f>AVERAGEIFS(All!Y:Y,
            All!$G:$G, TRUE,
            All!$H:$H, TRUE,
            All!$I:$I, TRUE,
            All!$U:$U, $A3)</f>
        <v>0.36435185185185193</v>
      </c>
      <c r="O3" s="3">
        <f>COUNTIFS(All!G:G,TRUE,All!$U:$U,$A3)/COUNTIF(All!$U3:$U35,Filter!$A3)</f>
        <v>0.90909090909090906</v>
      </c>
      <c r="P3" s="3">
        <f>COUNTIFS(All!H:H,TRUE,All!$U:$U,$A3)/COUNTIF(All!$U3:$U35,Filter!$A3)</f>
        <v>0.81818181818181823</v>
      </c>
      <c r="Q3" s="3">
        <f>COUNTIFS(All!I:I,TRUE,All!$U:$U,$A3)/COUNTIF(All!$U3:$U35,Filter!$A3)</f>
        <v>0.90909090909090906</v>
      </c>
    </row>
    <row r="4" spans="1:17" x14ac:dyDescent="0.2">
      <c r="A4" t="s">
        <v>87</v>
      </c>
      <c r="B4" s="3">
        <f>AVERAGEIFS(All!$J:$J,
            All!$G:$G, TRUE,
            All!$H:$H, TRUE,
            All!$I:$I, TRUE,
            All!$U:$U, A4)</f>
        <v>8838.7777777777774</v>
      </c>
      <c r="C4" s="3">
        <f>AVERAGEIFS(All!K:K,
            All!$G:$G, TRUE,
            All!$H:$H, TRUE,
            All!$I:$I, TRUE,
            All!$U:$U, $A4)</f>
        <v>3.7777777777777777</v>
      </c>
      <c r="D4" s="3">
        <f>AVERAGEIFS(All!L:L,
            All!$G:$G, TRUE,
            All!$H:$H, TRUE,
            All!$I:$I, TRUE,
            All!$U:$U, $A4)</f>
        <v>402.92111111111109</v>
      </c>
      <c r="E4" s="3">
        <f>AVERAGEIFS(All!M:M,
            All!$G:$G, TRUE,
            All!$H:$H, TRUE,
            All!$I:$I, TRUE,
            All!$U:$U, $A4)</f>
        <v>418.32777777777778</v>
      </c>
      <c r="F4" s="3">
        <f>AVERAGEIFS(All!N:N,
            All!$G:$G, TRUE,
            All!$H:$H, TRUE,
            All!$I:$I, TRUE,
            All!$U:$U, $A4)</f>
        <v>396.17444444444442</v>
      </c>
      <c r="G4" s="3">
        <f>AVERAGEIFS(All!O:O,
            All!$G:$G, TRUE,
            All!$H:$H, TRUE,
            All!$I:$I, TRUE,
            All!$U:$U, $A4)</f>
        <v>3.888888888888889E-2</v>
      </c>
      <c r="H4" s="3">
        <f>AVERAGEIFS(All!P:P,
            All!$G:$G, TRUE,
            All!$H:$H, TRUE,
            All!$I:$I, TRUE,
            All!$U:$U, $A4)</f>
        <v>0.72555555555555562</v>
      </c>
      <c r="I4" s="3">
        <f>AVERAGEIFS(All!Q:Q,
            All!$G:$G, TRUE,
            All!$H:$H, TRUE,
            All!$I:$I, TRUE,
            All!$U:$U, $A4)</f>
        <v>0.77</v>
      </c>
      <c r="J4" s="3">
        <f>AVERAGEIFS(All!R:R,
            All!$G:$G, TRUE,
            All!$H:$H, TRUE,
            All!$I:$I, TRUE,
            All!$U:$U, $A4)</f>
        <v>0.92428571428571427</v>
      </c>
      <c r="K4" s="3">
        <f>AVERAGEIFS(All!V:V,
            All!$G:$G, TRUE,
            All!$H:$H, TRUE,
            All!$I:$I, TRUE,
            All!$U:$U, $A4)</f>
        <v>1</v>
      </c>
      <c r="L4" s="3">
        <f>AVERAGEIFS(All!W:W,
            All!$G:$G, TRUE,
            All!$H:$H, TRUE,
            All!$I:$I, TRUE,
            All!$U:$U, $A4)</f>
        <v>0.544973544973545</v>
      </c>
      <c r="M4" s="3">
        <f>AVERAGEIFS(All!X:X,
            All!$G:$G, TRUE,
            All!$H:$H, TRUE,
            All!$I:$I, TRUE,
            All!$U:$U, $A4)</f>
        <v>0.77248677248677255</v>
      </c>
      <c r="N4" s="3">
        <f>AVERAGEIFS(All!Y:Y,
            All!$G:$G, TRUE,
            All!$H:$H, TRUE,
            All!$I:$I, TRUE,
            All!$U:$U, $A4)</f>
        <v>0.29040564373897709</v>
      </c>
      <c r="O4" s="3">
        <f>COUNTIFS(All!G:G,TRUE,All!$U:$U,$A4)/COUNTIF(All!$U4:$U36,Filter!$A4)</f>
        <v>1</v>
      </c>
      <c r="P4" s="3">
        <f>COUNTIFS(All!H:H,TRUE,All!$U:$U,$A4)/COUNTIF(All!$U4:$U36,Filter!$A4)</f>
        <v>0.9</v>
      </c>
      <c r="Q4" s="3">
        <f>COUNTIFS(All!I:I,TRUE,All!$U:$U,$A4)/COUNTIF(All!$U4:$U36,Filter!$A4)</f>
        <v>1</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104</v>
      </c>
      <c r="P1" s="4" t="s">
        <v>105</v>
      </c>
      <c r="Q1" s="4" t="s">
        <v>106</v>
      </c>
    </row>
    <row r="2" spans="1:17" x14ac:dyDescent="0.2">
      <c r="A2" s="3" t="s">
        <v>107</v>
      </c>
      <c r="B2" s="3">
        <f>AVERAGEIFS(All!J:J,All!$G:$G, TRUE,All!$H:$H, TRUE,All!$I:$I, TRUE)</f>
        <v>8120.08</v>
      </c>
      <c r="C2" s="3">
        <f>AVERAGEIFS(All!K:K,All!$G:$G, TRUE,All!$H:$H, TRUE,All!$I:$I, TRUE)</f>
        <v>2.84</v>
      </c>
      <c r="D2" s="3">
        <f>AVERAGEIFS(All!L:L,All!$G:$G, TRUE,All!$H:$H, TRUE,All!$I:$I, TRUE)</f>
        <v>281.55200000000002</v>
      </c>
      <c r="E2" s="3">
        <f>AVERAGEIFS(All!M:M,All!$G:$G, TRUE,All!$H:$H, TRUE,All!$I:$I, TRUE)</f>
        <v>307.95920000000001</v>
      </c>
      <c r="F2" s="3">
        <f>AVERAGEIFS(All!N:N,All!$G:$G, TRUE,All!$H:$H, TRUE,All!$I:$I, TRUE)</f>
        <v>285.02119999999996</v>
      </c>
      <c r="G2" s="3">
        <f>AVERAGEIFS(All!O:O,All!$G:$G, TRUE,All!$H:$H, TRUE,All!$I:$I, TRUE)</f>
        <v>4.5999999999999999E-2</v>
      </c>
      <c r="H2" s="3">
        <f>AVERAGEIFS(All!P:P,All!$G:$G, TRUE,All!$H:$H, TRUE,All!$I:$I, TRUE)</f>
        <v>0.73480000000000001</v>
      </c>
      <c r="I2" s="3">
        <f>AVERAGEIFS(All!Q:Q,All!$G:$G, TRUE,All!$H:$H, TRUE,All!$I:$I, TRUE)</f>
        <v>0.7712</v>
      </c>
      <c r="J2" s="3">
        <f>AVERAGEIFS(All!R:R,All!$G:$G, TRUE,All!$H:$H, TRUE,All!$I:$I, TRUE)</f>
        <v>0.91086956521739126</v>
      </c>
      <c r="K2" s="3">
        <f>AVERAGEIFS(All!V:V,All!$G:$G, TRUE,All!$H:$H, TRUE,All!$I:$I, TRUE)</f>
        <v>1</v>
      </c>
      <c r="L2" s="3">
        <f>AVERAGEIFS(All!W:W,All!$G:$G, TRUE,All!$H:$H, TRUE,All!$I:$I, TRUE)</f>
        <v>0.77952380952380962</v>
      </c>
      <c r="M2" s="3">
        <f>AVERAGEIFS(All!X:X,All!$G:$G, TRUE,All!$H:$H, TRUE,All!$I:$I, TRUE)</f>
        <v>0.88976190476190453</v>
      </c>
      <c r="N2" s="3">
        <f>AVERAGEIFS(All!Y:Y,All!$G:$G, TRUE,All!$H:$H, TRUE,All!$I:$I, TRUE)</f>
        <v>0.30717936507936494</v>
      </c>
      <c r="O2" s="3">
        <f>COUNTIFS(All!G:G,TRUE)/COUNTA(All!$U2:$U34)</f>
        <v>0.93939393939393945</v>
      </c>
      <c r="P2" s="3">
        <f>COUNTIFS(All!H:H,TRUE)/COUNTA(All!$U2:$U34)</f>
        <v>0.75757575757575757</v>
      </c>
      <c r="Q2" s="3">
        <f>COUNTIFS(All!I:I,TRUE)/COUNTA(All!$U2:$U34)</f>
        <v>0.93939393939393945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2025-11-27T18:50:39Z</dcterms:modified>
</cp:coreProperties>
</file>