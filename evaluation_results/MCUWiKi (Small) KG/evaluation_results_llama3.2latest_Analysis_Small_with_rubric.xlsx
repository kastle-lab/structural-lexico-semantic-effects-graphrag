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6B17C86F-A273-514D-9774-D3593BAAD0C1}"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<sst xmlns="http://schemas.openxmlformats.org/spreadsheetml/2006/main" count="364" uniqueCount="236">
  <si>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</si>
  <si>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</si>
  <si>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</si>
  <si>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</si>
  <si>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</si>
  <si>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</si>
  <si>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</si>
  <si>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</si>
  <si>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</si>
  <si>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</si>
  <si>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</si>
  <si>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</si>
  <si>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</si>
  <si>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</si>
  <si>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</si>
  <si>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</si>
  <si>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</si>
  <si>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</si>
  <si>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</si>
  <si>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</si>
  <si>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</si>
  <si>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</si>
  <si>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</si>
  <si>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</si>
  <si>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</si>
  <si>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</si>
  <si>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t>
  </si>
  <si>
    <t>simple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</si>
  <si>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</si>
  <si>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</si>
  <si>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</si>
  <si>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</si>
  <si>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</si>
  <si>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</si>
  <si>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</si>
  <si>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</si>
  <si>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</si>
  <si>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</si>
  <si>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</si>
  <si>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</si>
  <si>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</si>
  <si>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moderate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</si>
  <si>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</si>
  <si>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</si>
  <si>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</si>
  <si>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</si>
  <si>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</si>
  <si>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</si>
  <si>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</si>
  <si>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</si>
  <si>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</si>
  <si>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</si>
  <si>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</si>
  <si>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</si>
  <si>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complex</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</si>
  <si>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</si>
  <si>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</si>
  <si>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</si>
  <si>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</si>
  <si>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</si>
  <si>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</si>
  <si>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</si>
  <si>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syntax_ok_rate</t>
  </si>
  <si>
    <t>satisfiable_rate</t>
  </si>
  <si>
    <t>deterministic_rate</t>
  </si>
  <si>
    <t>ALL</t>
  </si>
  <si>
    <t>Complexity</t>
  </si>
  <si>
    <t>Total</t>
  </si>
  <si>
    <t>Valid Syntax</t>
  </si>
  <si>
    <t>Valid all</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</si>
  <si>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</si>
  <si>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SELECT [string(concat('http://dbkwik.webdatacommons.org/marvelcinematicuniverse.wikia.com/', lang))] FROM `marvel-cinematic-universe-wikipedia` WHERE Lang = 'en';</t>
  </si>
  <si>
    <t>model='llama3.2:latest' created_at='2025-11-18T02:20:54.275932959Z' done=True done_reason='stop' total_duration=147530611135 load_duration=7915761398 prompt_eval_count=107792 prompt_eval_duration=137840628682 eval_count=47 eval_duration=1426422071 message=Message(role='assistant', content="SELECT [string(concat('http://dbkwik.webdatacommons.org/marvelcinematicuniverse.wikia.com/', lang))] FROM `marvel-cinematic-universe-wikipedia` WHERE Lang = 'en';",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</si>
  <si>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[string(concat('http://dbkwik.webdatacommons.org/marvelcinematicuniverse.wikia.com/', lang))] FROM `marvel-cinematic-universe-wikipedia` WHERE Lang = 'en';</t>
  </si>
  <si>
    <t>ERROR: QueryBadFormed: A bad request has been sent to the endpoint: probably the SPARQL query is badly formed. 
Response:
b'Parse error: Encountered " "[" "[ "" at line 13, column 8.\n'</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</si>
  <si>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</si>
  <si>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SELECT ?s ?l ?o 
WHERE {
  ?s a &lt;http://dbkwik.webdatacommons.org/marvelcinematicuniverse.wikia.com/class/character&gt; .
  SERVICE &lt;http://dbkwik.webdatacommons.org/marvelcinematicuniverse.wikia.com/resource/sparqlquery&gt; {
    CONSTRUCT { ?s ?l ?o } 
    SELECT * FROM ?s WHERE { ?s a &lt;http://dbkwik.webdatacommons.org/marvelcinematicuniverse.wikia.com/class/character&gt; } 
  }
}</t>
  </si>
  <si>
    <t>model='llama3.2:latest' created_at='2025-11-18T02:23:19.370423469Z' done=True done_reason='stop' total_duration=144808245520 load_duration=1045788051 prompt_eval_count=107798 prompt_eval_duration=139628460602 eval_count=121 eval_duration=3706070253 message=Message(role='assistant', content='SELECT ?s ?l ?o \nWHERE {\n  ?s a &lt;http://dbkwik.webdatacommons.org/marvelcinematicuniverse.wikia.com/class/character&gt; .\n  SERVICE &lt;http://dbkwik.webdatacommons.org/marvelcinematicuniverse.wikia.com/resource/sparqlquery&gt; {\n    CONSTRUCT { ?s ?l ?o } \n    SELECT * FROM ?s WHERE { ?s a &lt;http://dbkwik.webdatacommons.org/marvelcinematicuniverse.wikia.com/class/character&gt; } \n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</si>
  <si>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 ?l ?o 
WHERE {
  ?s a &lt;http://dbkwik.webdatacommons.org/marvelcinematicuniverse.wikia.com/class/character&gt; .
  SERVICE &lt;http://dbkwik.webdatacommons.org/marvelcinematicuniverse.wikia.com/resource/sparqlquery&gt; {
    CONSTRUCT { ?s ?l ?o } 
    SELECT * FROM ?s WHERE { ?s a &lt;http://dbkwik.webdatacommons.org/marvelcinematicuniverse.wikia.com/class/character&gt; } 
  }
}</t>
  </si>
  <si>
    <t>ERROR: QueryBadFormed: A bad request has been sent to the endpoint: probably the SPARQL query is badly formed. 
Response:
b'Parse error: Encountered " "construct" "CONSTRUCT "" at line 16, column 5.\n'</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</si>
  <si>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</si>
  <si>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SELECT ?p ?o 
WHERE {
  ?o a &lt;http://dbkwik.webdatacommons.org/marvelcinematicuniverse.wikia.com/class/character&gt; .
  ?p rdfs:label "real name"@en .
}</t>
  </si>
  <si>
    <t>model='llama3.2:latest' created_at='2025-11-18T02:25:42.205697641Z' done=True done_reason='stop' total_duration=142558017572 load_duration=910318250 prompt_eval_count=107800 prompt_eval_duration=139693166804 eval_count=52 eval_duration=1583247441 message=Message(role='assistant', content='SELECT ?p ?o \nWHERE {\n  ?o a &lt;http://dbkwik.webdatacommons.org/marvelcinematicuniverse.wikia.com/class/character&gt; .\n  ?p rdfs:label "real name"@en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</si>
  <si>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?p ?o 
WHERE {
  ?o a &lt;http://dbkwik.webdatacommons.org/marvelcinematicuniverse.wikia.com/class/character&gt; .
  ?p rdfs:label "real name"@en .
}</t>
  </si>
  <si>
    <t>{
  "cq_text": "What are the real names and/or primary aliases for each of the characters?",
  "syntax_ok": true,
  "satisfiable": true,
  "deterministic": true,
  "latency": {
    "p50_ms": 82.55,
    "p95_ms": 83.16,
    "mean_ms": 77.96
  },
  "rows": 2262,
  "vars": 0,
  "always_unbound_vars": [],
  "lexical_query_overlap": 0.04,
  "semantic_similarity_to_CQ": 0.7,
  "semantic_soft_coverage_to_CQ": 0.75,
  "tuple_cohesion": null,
  "variables": []
}</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</si>
  <si>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</si>
  <si>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PREFIX dc: &lt;http://purl.org/dc/elements/1.1/&gt;
PREFIX dcterms: &lt;http://purl.org/dc/terms/&gt;
SELECT ?s ?o
WHERE {
  ?s rdfs:label ?o .
}
ORDER BY DESC(?o)
```</t>
  </si>
  <si>
    <t>model='llama3.2:latest' created_at='2025-11-18T02:28:05.268520251Z' done=True done_reason='stop' total_duration=142821487471 load_duration=895978272 prompt_eval_count=107811 prompt_eval_duration=139717178176 eval_count=60 eval_duration=1826983034 message=Message(role='assistant', content='```\nPREFIX dc: &lt;http://purl.org/dc/elements/1.1/&gt;\nPREFIX dcterms: &lt;http://purl.org/dc/terms/&gt;\n\nSELECT ?s ?o\nWHERE {\n  ?s rdfs:label ?o .\n}\nORDER BY DESC(?o)\n```', thinking=None, images=None, tool_calls=None)</t>
  </si>
  <si>
    <t>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SELECT ?s ?o
WHERE {
  ?s rdfs:label ?o .
}
ORDER BY DESC(?o)</t>
  </si>
  <si>
    <t>{
  "cq_text": "What are all the associated species or types (e.g., human, Asgardian, AI) for each of the characters?",
  "syntax_ok": true,
  "satisfiable": true,
  "deterministic": true,
  "latency": {
    "p50_ms": 603.29,
    "p95_ms": 812.4,
    "mean_ms": 652.85
  },
  "rows": 18905,
  "vars": 0,
  "always_unbound_vars": [],
  "lexical_query_overlap": 0.0,
  "semantic_similarity_to_CQ": 0.56,
  "semantic_soft_coverage_to_CQ": 0.65,
  "tuple_cohesion": null,
  "variables": []
}</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</si>
  <si>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</si>
  <si>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SELECT ?item 
WHERE {
  BIND( 
    http://dbkwik.webdatacommons.org/marvelcinematicuniverse.wikia.com/resource/AKA_Freak_Accident
  ) AS item 
}
RETURN ?item</t>
  </si>
  <si>
    <t>model='llama3.2:latest' created_at='2025-11-18T02:30:27.998824821Z' done=True done_reason='stop' total_duration=142450314067 load_duration=846041015 prompt_eval_count=107809 prompt_eval_duration=139730114388 eval_count=49 eval_duration=1502046231 message=Message(role='assistant', content='SELECT ?item \nWHERE {\n  BIND( \n    http://dbkwik.webdatacommons.org/marvelcinematicuniverse.wikia.com/resource/AKA_Freak_Accident\n  ) AS item \n}\nRETURN ?item',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</si>
  <si>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?item 
WHERE {
  BIND( 
    http://dbkwik.webdatacommons.org/marvelcinematicuniverse.wikia.com/resource/AKA_Freak_Accident
  ) AS item 
}
RETURN ?item</t>
  </si>
  <si>
    <t>ERROR: QueryBadFormed: A bad request has been sent to the endpoint: probably the SPARQL query is badly formed. 
Response:
b'Parse error: Line 15, column 5: Unresolved prefixed name: http:\n'</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</si>
  <si>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</si>
  <si>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SELECT [url] FROM dbkwik.webdatacommons.org/marvelcinematicuniverse.wikia.com WHERE label IN ( "0-8-4", "0-8-4_(disambiguation)", "10th Precinct Police Station", "15th Precinct Police Station", "A.I.M. Employees", "A.I.M. Leaders", "A.I.M. Operatives", "Agents of S.H.I.E.L.D.", "Agents of S.H.I.E.L.D.: Academy", "Agents of S.H.I.E.L.D.: Agents of HYDRA", "Agents of S.H.I.E.L.D.: Declassified", "Agents of S.H.I.E.L.D.: Fallen Agent", "Agents of S.H.I.E.L.D.: Ghost Rider", "Agents of S.H.I.E.L.D.: LMD", "Agents of S.H.I.E.L.D.: Season Four Declassified", "Agents of S.H.I.E.L.D.: Season One Declassified", "Agent Carter (Season One)/Home Video", "Agent Carter (Season Two)/Home Video", "Alaska", "All the Stars", "Allen Maldonado", "Alisa Jones", "Amanda Rea", "Amphibian Alien", "Andrea Di Vito", "Andres Mossa", "André Sogliuzzo", "Anna Boden", "Anon", "Ant-Man (2015 film)", "Ant-Man and the Wasp (2018 film)", "Ant-Man: All Hail the King", "Anthony Mackie", "Anthony Molinari", "Antoine Triplett", "Aurora", "Ashley Adams", "Athens", "Atlas Academy", "Atreus Plastics", "Attack on Grotto", "Attack on Harold Meachum", "Attack on Hive", "Attack on the IFID Headquarters", "Attack on Jotunheim", "Ambush at Bay Ridge Rail Yard", "Ambush at Colleen O'Brien's Apartment", "Ambush in Afterlife", "Ambush on Billy Russo", "Ambush on Luke Cage", "Ambush on Turk Barrett", "Amphibian Alien", "Amy Vuckovich", "Anderson (Agent)", "Andi Bushell", "Andy Nicholson", "Antoine Triplett", "Aranda de Duero", "Argentina", "Ark", "Asano Robotics",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"Alias Investigations", "Aleta Ravager Clan", "Alexander Pierce",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t>
  </si>
  <si>
    <t>model='llama3.2:latest' created_at='2025-11-18T02:33:34.712955011Z' done=True done_reason='stop' total_duration=186456247446 load_duration=826323101 prompt_eval_count=107804 prompt_eval_duration=139662833384 eval_count=1418 eval_duration=44516435991 message=Message(role='assistant', content='SELECT [url] FROM dbkwik.webdatacommons.org/marvelcinematicuniverse.wikia.com WHERE label IN ( "0-8-4", "0-8-4_(disambiguation)", "10th Precinct Police Station", "15th Precinct Police Station", "A.I.M. Employees", "A.I.M. Leaders", "A.I.M. Operatives", "Agents of S.H.I.E.L.D.", "Agents of S.H.I.E.L.D.: Academy", "Agents of S.H.I.E.L.D.: Agents of HYDRA", "Agents of S.H.I.E.L.D.: Declassified", "Agents of S.H.I.E.L.D.: Fallen Agent", "Agents of S.H.I.E.L.D.: Ghost Rider", "Agents of S.H.I.E.L.D.: LMD", "Agents of S.H.I.E.L.D.: Season Four Declassified", "Agents of S.H.I.E.L.D.: Season One Declassified", "Agent Carter (Season One)/Home Video", "Agent Carter (Season Two)/Home Video", "Alaska", "All the Stars", "Allen Maldonado", "Alisa Jones", "Amanda Rea", "Amphibian Alien", "Andrea Di Vito", "Andres Mossa", "André Sogliuzzo", "Anna Boden", "Anon", "Ant-Man (2015 film)", "Ant-Man and the Wasp (2018 film)", "Ant-Man: All Hail the King", "Anthony Mackie", "Anthony Molinari", "Antoine Triplett", "Aurora", "Ashley Adams", "Athens", "Atlas Academy", "Atreus Plastics", "Attack on Grotto", "Attack on Harold Meachum", "Attack on Hive", "Attack on the IFID Headquarters", "Attack on Jotunheim", "Ambush at Bay Ridge Rail Yard", "Ambush at Colleen O\'Brien\'s Apartment", "Ambush in Afterlife", "Ambush on Billy Russo", "Ambush on Luke Cage", "Ambush on Turk Barrett", "Amphibian Alien", "Amy Vuckovich", "Anderson (Agent)", "Andi Bushell", "Andy Nicholson", "Antoine Triplett", "Aranda de Duero", "Argentina", "Ark", "Asano Robotics",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"Alias Investigations", "Aleta Ravager Clan", "Alexander Pierce",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</si>
  <si>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[url] FROM dbkwik.webdatacommons.org/marvelcinematicuniverse.wikia.com WHERE label IN ( "0-8-4", "0-8-4_(disambiguation)", "10th Precinct Police Station", "15th Precinct Police Station", "A.I.M. Employees", "A.I.M. Leaders", "A.I.M. Operatives", "Agents of S.H.I.E.L.D.", "Agents of S.H.I.E.L.D.: Academy", "Agents of S.H.I.E.L.D.: Agents of HYDRA", "Agents of S.H.I.E.L.D.: Declassified", "Agents of S.H.I.E.L.D.: Fallen Agent", "Agents of S.H.I.E.L.D.: Ghost Rider", "Agents of S.H.I.E.L.D.: LMD", "Agents of S.H.I.E.L.D.: Season Four Declassified", "Agents of S.H.I.E.L.D.: Season One Declassified", "Agent Carter (Season One)/Home Video", "Agent Carter (Season Two)/Home Video", "Alaska", "All the Stars", "Allen Maldonado", "Alisa Jones", "Amanda Rea", "Amphibian Alien", "Andrea Di Vito", "Andres Mossa", "André Sogliuzzo", "Anna Boden", "Anon", "Ant-Man (2015 film)", "Ant-Man and the Wasp (2018 film)", "Ant-Man: All Hail the King", "Anthony Mackie", "Anthony Molinari", "Antoine Triplett", "Aurora", "Ashley Adams", "Athens", "Atlas Academy", "Atreus Plastics", "Attack on Grotto", "Attack on Harold Meachum", "Attack on Hive", "Attack on the IFID Headquarters", "Attack on Jotunheim", "Ambush at Bay Ridge Rail Yard", "Ambush at Colleen O'Brien's Apartment", "Ambush in Afterlife", "Ambush on Billy Russo", "Ambush on Luke Cage", "Ambush on Turk Barrett", "Amphibian Alien", "Amy Vuckovich", "Anderson (Agent)", "Andi Bushell", "Andy Nicholson", "Antoine Triplett", "Aranda de Duero", "Argentina", "Ark", "Asano Robotics",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"Alias Investigations", "Aleta Ravager Clan", "Alexander Pierce",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</si>
  <si>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</si>
  <si>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SELECT * FROM ? WHERE label = "0-8-4 (Code)"</t>
  </si>
  <si>
    <t>model='llama3.2:latest' created_at='2025-11-18T02:35:56.462683885Z' done=True done_reason='stop' total_duration=141459346052 load_duration=949118231 prompt_eval_count=107798 prompt_eval_duration=139659585303 eval_count=17 eval_duration=510242986 message=Message(role='assistant', content='SELECT * FROM ? WHERE label = "0-8-4 (Code)"',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</si>
  <si>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 FROM ? WHERE label = "0-8-4 (Code)"</t>
  </si>
  <si>
    <t>ERROR: QueryBadFormed: A bad request has been sent to the endpoint: probably the SPARQL query is badly formed. 
Response:
b'Parse error: Encountered " "?" "? "" at line 13, column 15.\n'</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</si>
  <si>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</si>
  <si>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`SELECT ?item 
WHERE {
  BIND("0-8-4") AS item
} LIMIT 1`</t>
  </si>
  <si>
    <t>model='llama3.2:latest' created_at='2025-11-18T02:38:18.469416851Z' done=True done_reason='stop' total_duration=141734655555 load_duration=953843284 prompt_eval_count=107799 prompt_eval_duration=139675389570 eval_count=25 eval_duration=756947446 message=Message(role='assistant', content='`SELECT ?item \nWHERE {\n  BIND("0-8-4") AS item\n} LIMIT 1`',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</si>
  <si>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?item 
WHERE {
  BIND("0-8-4") AS item
} LIMIT 1`</t>
  </si>
  <si>
    <t>ERROR: QueryBadFormed: A bad request has been sent to the endpoint: probably the SPARQL query is badly formed. 
Response:
b'Parse error: Encountered " ")" ") "" at line 14, column 15.\n'</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</si>
  <si>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</si>
  <si>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PREFIX ns1: &lt;http://dbkwik.webdatacommons.org/marvelcinematicuniverse.wikia.com/property/&gt;
PREFIX ns2: &lt;http://dbkwik.webdatacommons.org/marvelcinematicuniverse.wikia.com/property/&gt;
SELECT ?s ?p ?o WHERE {
  ?s ?p ?o .
  FILTER (REGEX(str(?s), "[0-9]+"))
}
```
This SPARQL query retrieves all the values of `?s` where `?s`, `?p`, and `?o` are all numeric strings, specifically those that start with `[0-9]`.</t>
  </si>
  <si>
    <t>model='llama3.2:latest' created_at='2025-11-18T02:40:43.936254096Z' done=True done_reason='stop' total_duration=145187385394 load_duration=848761824 prompt_eval_count=107800 prompt_eval_duration=139680359153 eval_count=136 eval_duration=4219774212 message=Message(role='assistant', content='```\nPREFIX ns1: &lt;http://dbkwik.webdatacommons.org/marvelcinematicuniverse.wikia.com/property/&gt;\nPREFIX ns2: &lt;http://dbkwik.webdatacommons.org/marvelcinematicuniverse.wikia.com/property/&gt;\n\nSELECT ?s ?p ?o WHERE {\n  ?s ?p ?o .\n  FILTER (REGEX(str(?s), "[0-9]+"))\n}\n```\n\nThis SPARQL query retrieves all the values of `?s` where `?s`, `?p`, and `?o` are all numeric strings, specifically those that start with `[0-9]`.', thinking=None, images=None, tool_calls=None)</t>
  </si>
  <si>
    <t>PREFIX dc: &lt;http://purl.org/dc/elements/1.1/&gt;
PREFIX dcterms: &lt;http://purl.org/dc/terms/&gt;
PREFIX foaf: &lt;http://xmlns.com/foaf/0.1/&gt;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PREFIX ns2: &lt;http://dbkwik.webdatacommons.org/marvelcinematicuniverse.wikia.com/property/&gt;
SELECT ?s ?p ?o WHERE {
  ?s ?p ?o .
  FILTER (REGEX(str(?s), "[0-9]+"))
}</t>
  </si>
  <si>
    <t>{
  "cq_text": "What are all the team or organization affiliations for each of the characters?",
  "syntax_ok": true,
  "satisfiable": true,
  "deterministic": true,
  "latency": {
    "p50_ms": 9589.59,
    "p95_ms": 9702.87,
    "mean_ms": 9511.35
  },
  "rows": 257266,
  "vars": 0,
  "always_unbound_vars": [],
  "lexical_query_overlap": 0.0,
  "semantic_similarity_to_CQ": 0.56,
  "semantic_soft_coverage_to_CQ": 0.64,
  "tuple_cohesion": null,
  "variables": []
}</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</si>
  <si>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</si>
  <si>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SELECT (SELECT * FROM `mw:Page` WHERE `mw:PageTitle` IN ('https://marvelcinematicuniverse.wikia.com/wiki/0-8-4_(episode)')) AS 0_8_4 
UNION ALL SELECT (SELECT * FROM `mw:Page` WHERE `mw:PageTitle` IN ('https://marvelcinematicuniverse.wikia.com/wiki/Agents_of_S.H.I.E.L.D.(_Season_One)/Home_Video'))
UNION ALL SELECT (SELECT * FROM `mw:Page` WHERE `mw:PageTitle` IN ('https://marvelcinematicuniverse.wikia.com/wiki/Ambush_on_the_Staten_Island_Ferry'))
UNION ALL SELECT (SELECT * FROM `mw:Page` WHERE `mw:PageTitle` IN ('https://marvelcinematicuniverse.wikia.com/wiki/Agent_Carter_(TV_series)/Season_One'))
UNION ALL SELECT (SELECT * FROM `mw:Page` WHERE `mw:PageTitle` IN ('https://marvelcinematicuniverse.wikia.com/wiki/Ahmad_Zubair'))
UNION ALL SELECT (SELECT * FROM `mw:Page` WHERE `mw:PageTitle` IN ('https://marvelcinematicuniverse.wikia.com/wiki/Abortion_at_Rae%27s_Restaurant'))</t>
  </si>
  <si>
    <t>model='llama3.2:latest' created_at='2025-11-18T02:43:14.310158941Z' done=True done_reason='stop' total_duration=150103968946 load_duration=850454916 prompt_eval_count=107795 prompt_eval_duration=139972593372 eval_count=281 eval_duration=8742408841 message=Message(role='assistant', content="SELECT (SELECT * FROM `mw:Page` WHERE `mw:PageTitle` IN ('https://marvelcinematicuniverse.wikia.com/wiki/0-8-4_(episode)')) AS 0_8_4 \nUNION ALL SELECT (SELECT * FROM `mw:Page` WHERE `mw:PageTitle` IN ('https://marvelcinematicuniverse.wikia.com/wiki/Agents_of_S.H.I.E.L.D.(_Season_One)/Home_Video'))\nUNION ALL SELECT (SELECT * FROM `mw:Page` WHERE `mw:PageTitle` IN ('https://marvelcinematicuniverse.wikia.com/wiki/Ambush_on_the_Staten_Island_Ferry'))\nUNION ALL SELECT (SELECT * FROM `mw:Page` WHERE `mw:PageTitle` IN ('https://marvelcinematicuniverse.wikia.com/wiki/Agent_Carter_(TV_series)/Season_One'))\nUNION ALL SELECT (SELECT * FROM `mw:Page` WHERE `mw:PageTitle` IN ('https://marvelcinematicuniverse.wikia.com/wiki/Ahmad_Zubair'))\nUNION ALL SELECT (SELECT * FROM `mw:Page` WHERE `mw:PageTitle` IN ('https://marvelcinematicuniverse.wikia.com/wiki/Abortion_at_Rae%27s_Restaurant'))",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</si>
  <si>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(SELECT * FROM `mw:Page` WHERE `mw:PageTitle` IN ('https://marvelcinematicuniverse.wikia.com/wiki/0-8-4_(episode)')) AS 0_8_4 
UNION ALL SELECT (SELECT * FROM `mw:Page` WHERE `mw:PageTitle` IN ('https://marvelcinematicuniverse.wikia.com/wiki/Agents_of_S.H.I.E.L.D.(_Season_One)/Home_Video'))
UNION ALL SELECT (SELECT * FROM `mw:Page` WHERE `mw:PageTitle` IN ('https://marvelcinematicuniverse.wikia.com/wiki/Ambush_on_the_Staten_Island_Ferry'))
UNION ALL SELECT (SELECT * FROM `mw:Page` WHERE `mw:PageTitle` IN ('https://marvelcinematicuniverse.wikia.com/wiki/Agent_Carter_(TV_series)/Season_One'))
UNION ALL SELECT (SELECT * FROM `mw:Page` WHERE `mw:PageTitle` IN ('https://marvelcinematicuniverse.wikia.com/wiki/Ahmad_Zubair'))
UNION ALL SELECT (SELECT * FROM `mw:Page` WHERE `mw:PageTitle` IN ('https://marvelcinematicuniverse.wikia.com/wiki/Abortion_at_Rae%27s_Restaurant'))</t>
  </si>
  <si>
    <t>ERROR: QueryBadFormed: A bad request has been sent to the endpoint: probably the SPARQL query is badly formed. 
Response:
b'Parse error: Encountered " "select" "SELECT "" at line 13, column 9.\n'</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</si>
  <si>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</si>
  <si>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SELECT ?item 
WHERE {
  BIND("The Avengers") as ?item
}</t>
  </si>
  <si>
    <t>model='llama3.2:latest' created_at='2025-11-18T02:45:36.079786926Z' done=True done_reason='stop' total_duration=141506720495 load_duration=929476016 prompt_eval_count=107795 prompt_eval_duration=139708332645 eval_count=18 eval_duration=540187122 message=Message(role='assistant', content='SELECT ?item \nWHERE {\n  BIND("The Avengers") as ?item\n}',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</si>
  <si>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?item 
WHERE {
  BIND("The Avengers") as ?item
}</t>
  </si>
  <si>
    <t>ERROR: QueryBadFormed: A bad request has been sent to the endpoint: probably the SPARQL query is badly formed. 
Response:
b'Parse error: Encountered " ")" ") "" at line 14, column 22.\n'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</si>
  <si>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</si>
  <si>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Here is the SPARQL query that answers the competency question:
```sparql
PREFIX ns1: &lt;http://dbkwik.webdatacommons.org/marvelcinematicuniverse.wikia.com/property/&gt;
SELECT ?characterName (COUNT(?chara) AS ?totalCount)
WHERE {
  ?chara ns1:actor .
  FILTER (CONTAINS(lower(strid(URI(?chara))), 'actor'))
}
GROUP BY ?characterName
ORDER BY DESC(?totalCount)
```</t>
  </si>
  <si>
    <t>model='llama3.2:latest' created_at='2025-11-18T02:48:00.584969408Z' done=True done_reason='stop' total_duration=144243581877 load_duration=898772178 prompt_eval_count=107799 prompt_eval_duration=139778811303 eval_count=103 eval_duration=3152951046 message=Message(role='assistant', content="Here is the SPARQL query that answers the competency question:\n\n```sparql\nPREFIX ns1: &lt;http://dbkwik.webdatacommons.org/marvelcinematicuniverse.wikia.com/property/&gt;\nSELECT ?characterName (COUNT(?chara) AS ?totalCount)\nWHERE {\n  ?chara ns1:actor .\n  FILTER (CONTAINS(lower(strid(URI(?chara))), 'actor'))\n}\nGROUP BY ?characterName\nORDER BY DESC(?totalCount)\n```",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</si>
  <si>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?characterName (COUNT(?chara) AS ?totalCount)
WHERE {
  ?chara ns1:actor .
  FILTER (CONTAINS(lower(strid(URI(?chara))), 'actor'))
}
GROUP BY ?characterName
ORDER BY DESC(?totalCount)</t>
  </si>
  <si>
    <t>ERROR: QueryBadFormed: A bad request has been sent to the endpoint: probably the SPARQL query is badly formed. 
Response:
b'Parse error: Encountered " "." ". "" at line 14, column 20.\n'</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</si>
  <si>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</si>
  <si>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SELECT ?s WHERE { ?s a owl:Class. FILTER ( COUNT((?s filter (?uri = &lt;http://dbkwik.webdatacommons.org/marvelcinematicuniverse.wikia.com/resource/0-8-4&gt;)) ) &gt; 1 ) }</t>
  </si>
  <si>
    <t>model='llama3.2:latest' created_at='2025-11-18T02:50:23.647834546Z' done=True done_reason='stop' total_duration=142792133092 load_duration=961578407 prompt_eval_count=107804 prompt_eval_duration=139669586096 eval_count=58 eval_duration=1783901251 message=Message(role='assistant', content='SELECT ?s WHERE { ?s a owl:Class. FILTER ( COUNT((?s filter (?uri = &lt;http://dbkwik.webdatacommons.org/marvelcinematicuniverse.wikia.com/resource/0-8-4&gt;)) ) &gt; 1 ) }',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</si>
  <si>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 WHERE { ?s a owl:Class. FILTER ( COUNT((?s filter (?uri = &lt;http://dbkwik.webdatacommons.org/marvelcinematicuniverse.wikia.com/resource/0-8-4&gt;)) ) &gt; 1 ) }</t>
  </si>
  <si>
    <t>ERROR: QueryBadFormed: A bad request has been sent to the endpoint: probably the SPARQL query is badly formed. 
Response:
b'Parse error: Encountered " "filter" "filter "" at line 13, column 49.\n'</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</si>
  <si>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</si>
  <si>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SELECT ?p ?o 
WHERE {
  &lt;http://dbkwik.webdatacommons.org/marvelcinematicuniverse.wikia.com/resource/0-8-4_(episode)&gt; ?p ?o .
  &lt;http://dbkwik.webdatacommons.org/marvelcinematicuniverse.wikia.com/resource/Akela_Amador&gt; ?p ?o .
  &lt;http://dbkwik.webdatacommons.org/marvelcinematicuniverse.wikia.com/resource/Agents_of_S.H.I.E.L.D._(Season_One)&gt; ?p ?o .
  &lt;http://dbkwik.webdatacommons.org/marvelcinematicuniverse.wikia.com/resource/S.A.L.E.N._(song)&gt; ?p ?o .
  &lt;http://dbkwik.webdatacommons.org/marvelcinematicuniverse.wikia.com/resource/Luke_Cage&gt; ?p ?o .
  &lt;http://dbkwik.webdatacommons.org/marvelcinematicuniverse.wikia.com/resource/Inhumans_(TV_series)&gt; ?p ?o .
  &lt;http://dbkwik.webdatacommons.org/marvelcinematicuniverse.wikia.com/resource/Daredevil&gt; ?p ?o .
  &lt;http://dbkwik.webdatacommons.org/marvelcinematicuniverse.wikia.com/resource/Titan&gt; ?p ?o .
  &lt;http://dbkwik.webdatacommons.org/marvelcinematicuniverse.wikia.com/resource/North_America&gt; ?p ?o .
  &lt;http://dbkwik.webdatacommons.org/marvelcinematicuniverse.wikia.com/resource/Afghanistan&gt; ?p ?o .
  &lt;http://dbkwik.webdatacommons.org/marvelcinematicuniverse.wikia.com/resource/West_Africa&gt; ?p ?o .
  &lt;http://dbkwik.webdatacommons.org/marvelcinematicuniverse.wikia.com/resource/Europe&gt; ?p ?o .
  &lt;http://dbkwik.webdata.commons.org/marvelcinematicuniverse.wikia.com/class/war&gt; ?p ?o 
}</t>
  </si>
  <si>
    <t>model='llama3.2:latest' created_at='2025-11-18T02:52:58.996814994Z' done=True done_reason='stop' total_duration=155064942242 load_duration=961670003 prompt_eval_count=107802 prompt_eval_duration=139672209962 eval_count=442 eval_duration=13757229146 message=Message(role='assistant', content='SELECT ?p ?o \nWHERE {\n  &lt;http://dbkwik.webdatacommons.org/marvelcinematicuniverse.wikia.com/resource/0-8-4_(episode)&gt; ?p ?o .\n  &lt;http://dbkwik.webdatacommons.org/marvelcinematicuniverse.wikia.com/resource/Akela_Amador&gt; ?p ?o .\n  &lt;http://dbkwik.webdatacommons.org/marvelcinematicuniverse.wikia.com/resource/Agents_of_S.H.I.E.L.D._(Season_One)&gt; ?p ?o .\n  &lt;http://dbkwik.webdatacommons.org/marvelcinematicuniverse.wikia.com/resource/S.A.L.E.N._(song)&gt; ?p ?o .\n  &lt;http://dbkwik.webdatacommons.org/marvelcinematicuniverse.wikia.com/resource/Luke_Cage&gt; ?p ?o .\n  &lt;http://dbkwik.webdatacommons.org/marvelcinematicuniverse.wikia.com/resource/Inhumans_(TV_series)&gt; ?p ?o .\n  &lt;http://dbkwik.webdatacommons.org/marvelcinematicuniverse.wikia.com/resource/Daredevil&gt; ?p ?o .\n  &lt;http://dbkwik.webdatacommons.org/marvelcinematicuniverse.wikia.com/resource/Titan&gt; ?p ?o .\n  &lt;http://dbkwik.webdatacommons.org/marvelcinematicuniverse.wikia.com/resource/North_America&gt; ?p ?o .\n  &lt;http://dbkwik.webdatacommons.org/marvelcinematicuniverse.wikia.com/resource/Afghanistan&gt; ?p ?o .\n  &lt;http://dbkwik.webdatacommons.org/marvelcinematicuniverse.wikia.com/resource/West_Africa&gt; ?p ?o .\n  &lt;http://dbkwik.webdatacommons.org/marvelcinematicuniverse.wikia.com/resource/Europe&gt; ?p ?o .\n  &lt;http://dbkwik.webdata.commons.org/marvelcinematicuniverse.wikia.com/class/war&gt; ?p ?o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</si>
  <si>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?p ?o 
WHERE {
  &lt;http://dbkwik.webdatacommons.org/marvelcinematicuniverse.wikia.com/resource/0-8-4_(episode)&gt; ?p ?o .
  &lt;http://dbkwik.webdatacommons.org/marvelcinematicuniverse.wikia.com/resource/Akela_Amador&gt; ?p ?o .
  &lt;http://dbkwik.webdatacommons.org/marvelcinematicuniverse.wikia.com/resource/Agents_of_S.H.I.E.L.D._(Season_One)&gt; ?p ?o .
  &lt;http://dbkwik.webdatacommons.org/marvelcinematicuniverse.wikia.com/resource/S.A.L.E.N._(song)&gt; ?p ?o .
  &lt;http://dbkwik.webdatacommons.org/marvelcinematicuniverse.wikia.com/resource/Luke_Cage&gt; ?p ?o .
  &lt;http://dbkwik.webdatacommons.org/marvelcinematicuniverse.wikia.com/resource/Inhumans_(TV_series)&gt; ?p ?o .
  &lt;http://dbkwik.webdatacommons.org/marvelcinematicuniverse.wikia.com/resource/Daredevil&gt; ?p ?o .
  &lt;http://dbkwik.webdatacommons.org/marvelcinematicuniverse.wikia.com/resource/Titan&gt; ?p ?o .
  &lt;http://dbkwik.webdatacommons.org/marvelcinematicuniverse.wikia.com/resource/North_America&gt; ?p ?o .
  &lt;http://dbkwik.webdatacommons.org/marvelcinematicuniverse.wikia.com/resource/Afghanistan&gt; ?p ?o .
  &lt;http://dbkwik.webdatacommons.org/marvelcinematicuniverse.wikia.com/resource/West_Africa&gt; ?p ?o .
  &lt;http://dbkwik.webdatacommons.org/marvelcinematicuniverse.wikia.com/resource/Europe&gt; ?p ?o .
  &lt;http://dbkwik.webdata.commons.org/marvelcinematicuniverse.wikia.com/class/war&gt; ?p ?o 
}</t>
  </si>
  <si>
    <t>{
  "cq_text": "What are all the actor\u2013character pairs (which actors portray which characters) available?",
  "syntax_ok": true,
  "satisfiable": false,
  "deterministic": true,
  "latency": {
    "p50_ms": 12.63,
    "p95_ms": 12.65,
    "mean_ms": 12.55
  },
  "rows": 0,
  "vars": 0,
  "always_unbound_vars": [],
  "lexical_query_overlap": 0.0,
  "semantic_similarity_to_CQ": 0.57,
  "semantic_soft_coverage_to_CQ": 0.71,
  "tuple_cohesion": null,
  "variables": []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</si>
  <si>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</si>
  <si>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`PREFIX ns1: &lt;http://dbkwik.webdatacommons.org/marvelcinematicuniverse.wikia.com/property/&gt; 
SELECT ?s ?o 
WHERE { ?s ?p ?o . }</t>
  </si>
  <si>
    <t>model='llama3.2:latest' created_at='2025-11-18T02:55:21.627394419Z' done=True done_reason='stop' total_duration=142348442473 load_duration=904032162 prompt_eval_count=107811 prompt_eval_duration=139673373849 eval_count=46 eval_duration=1408155329 message=Message(role='assistant', content='`PREFIX ns1: &lt;http://dbkwik.webdatacommons.org/marvelcinematicuniverse.wikia.com/property/&gt; \n\nSELECT ?s ?o \nWHERE { ?s ?p ?o . }',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</si>
  <si>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?s ?o 
WHERE { ?s ?p ?o . }</t>
  </si>
  <si>
    <t>{
  "cq_text": "What are all the character\u2013team\u2013movie triples available where a character is a member of a team and appears in a movie?",
  "syntax_ok": true,
  "satisfiable": true,
  "deterministic": true,
  "latency": {
    "p50_ms": 27504.29,
    "p95_ms": 28668.66,
    "mean_ms": 27861.05
  },
  "rows": 1225115,
  "vars": 0,
  "always_unbound_vars": [],
  "lexical_query_overlap": 0.0,
  "semantic_similarity_to_CQ": 0.58,
  "semantic_soft_coverage_to_CQ": 0.69,
  "tuple_cohesion": null,
  "variables": []
}</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</si>
  <si>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</si>
  <si>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SELECT ?title WHERE { ?title a owl:Class ; rdfs:label ?id . } LIMIT 1000</t>
  </si>
  <si>
    <t>model='llama3.2:latest' created_at='2025-11-18T02:57:43.620519908Z' done=True done_reason='stop' total_duration=141703849987 load_duration=939349654 prompt_eval_count=107810 prompt_eval_duration=139672733066 eval_count=25 eval_duration=752343563 message=Message(role='assistant', content='SELECT ?title WHERE { ?title a owl:Class ; rdfs:label ?id . } LIMIT 1000',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</si>
  <si>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?title WHERE { ?title a owl:Class ; rdfs:label ?id . } LIMIT 1000</t>
  </si>
  <si>
    <t>{
  "cq_text": "What are all the character\u2013power\u2013movie triples available with respect to characters with specific powers and the movies they appear in?",
  "syntax_ok": true,
  "satisfiable": true,
  "deterministic": true,
  "latency": {
    "p50_ms": 10.56,
    "p95_ms": 10.71,
    "mean_ms": 10.55
  },
  "rows": 55,
  "vars": 1,
  "always_unbound_vars": [],
  "lexical_query_overlap": 0.0,
  "semantic_similarity_to_CQ": 0.55,
  "semantic_soft_coverage_to_CQ": 0.68,
  "tuple_cohesion": 0.53,
  "variables": [
    {
      "var": "title",
      "rows": 55,
      "distinct": 55,
      "null_rate": 0.0,
      "label_resolution_rate": 1.0,
      "diversity_entropy_norm": 1.0,
      "semantic_cohesion": 0.53,
      "dup_ratio": 0.0,
      "bound_rate": 1.0
    }
  ]
}</t>
  </si>
  <si>
    <t>[{"var": "title", "rows": 55, "distinct": 55, "null_rate": 0.0, "label_resolution_rate": 1.0, "diversity_entropy_norm": 1.0, "semantic_cohesion": 0.53, "dup_ratio": 0.0, "bound_rate": 1.0}]</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</si>
  <si>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</si>
  <si>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
PREFIX ns1: &lt;http://dbkwik.webdatacommons.org/marvelcinematicuniverse.wikia.com/property/&gt;
SELECT ?s ?label
WHERE {
  ?s a ns1:class .
}
ORDER BY DESC(LCASE(replace(STR(?s), 'http://', '')))
LIMIT 1000;
```</t>
  </si>
  <si>
    <t>model='llama3.2:latest' created_at='2025-11-18T03:00:07.058112657Z' done=True done_reason='stop' total_duration=143109050190 load_duration=899827307 prompt_eval_count=107807 prompt_eval_duration=139664924543 eval_count=71 eval_duration=2165575862 message=Message(role='assistant', content="```\nPREFIX ns1: &lt;http://dbkwik.webdatacommons.org/marvelcinematicuniverse.wikia.com/property/&gt;\n\nSELECT ?s ?label\nWHERE {\n  ?s a ns1:class .\n}\nORDER BY DESC(LCASE(replace(STR(?s), 'http://', '')))\nLIMIT 1000;\n```",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</si>
  <si>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?s ?label
WHERE {
  ?s a ns1:class .
}
ORDER BY DESC(LCASE(replace(STR(?s), 'http://', '')))
LIMIT 1000;</t>
  </si>
  <si>
    <t>ERROR: QueryBadFormed: A bad request has been sent to the endpoint: probably the SPARQL query is badly formed. 
Response:
b'Parse error: Encountered " ";" "; "" at line 19, column 11.\n'</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</si>
  <si>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</si>
  <si>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SELECT ?label 
WHERE {
  &lt;http://dbkwik.webdatacommons.org/marvelcinematicuniverse.wikia.com/resource/0-8-4&gt; 
    rdfs:label ?label .
}</t>
  </si>
  <si>
    <t>model='llama3.2:latest' created_at='2025-11-18T03:02:29.590014814Z' done=True done_reason='stop' total_duration=142288683578 load_duration=871535209 prompt_eval_count=107800 prompt_eval_duration=139659380448 eval_count=46 eval_duration=1395150986 message=Message(role='assistant', content='SELECT ?label \nWHERE {\n  &lt;http://dbkwik.webdatacommons.org/marvelcinematicuniverse.wikia.com/resource/0-8-4&gt; \n    rdfs:label ?label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</si>
  <si>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?label 
WHERE {
  &lt;http://dbkwik.webdatacommons.org/marvelcinematicuniverse.wikia.com/resource/0-8-4&gt; 
    rdfs:label ?label .
}</t>
  </si>
  <si>
    <t>{
  "cq_text": "What are all the teams and the set of members for each team available?",
  "syntax_ok": true,
  "satisfiable": false,
  "deterministic": true,
  "latency": {
    "p50_ms": 17.11,
    "p95_ms": 17.29,
    "mean_ms": 16.25
  },
  "rows": 0,
  "vars": 1,
  "always_unbound_vars": [
    "label"
  ],
  "lexical_query_overlap": 0.0,
  "semantic_similarity_to_CQ": 0.65,
  "semantic_soft_coverage_to_CQ": 0.66,
  "tuple_cohesion": null,
  "variables": [
    {
      "var": "label",
      "rows": 0,
      "distinct": 0,
      "null_rate": 1.0,
      "label_resolution_rate": 0.0,
      "diversity_entropy_norm": 0.0,
      "semantic_cohesion": 1.0,
      "dup_ratio": 0.0,
      "bound_rate": 0.0
    }
  ]
}</t>
  </si>
  <si>
    <t>["label"]</t>
  </si>
  <si>
    <t>[{"var": "label", "rows": 0, "distinct": 0, "null_rate": 1.0, "label_resolution_rate": 0.0, "diversity_entropy_norm": 0.0, "semantic_cohesion": 1.0, "dup_ratio": 0.0, "bound_rate": 0.0}]</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</si>
  <si>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</si>
  <si>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prefix ns1: &lt;http://dbkwik.webdatacommons.org/marvelcinematicuniverse.wikia.com/property/&gt;
prefix ns2: &lt;http://dbkwik.webdatacommons.org/marvelcinematicuniverse.wikia.com/property/&gt;
prefix ns3: &lt;http://dbkwik.webdatacommons.org/ontology/&gt;
prefix ns6: &lt;http://dbkwik.webdatacommons.org/marvelcinematicuniverse.wikia.com/property/&gt;
prefix owl: &lt;http://www.w3.org/2002/07/owl#&gt;
prefix rdf: &lt;http://www.w3.org/1999/02/22-rdf-syntax-ns#&gt;
prefix rdfs: &lt;http://www.w3.org/2000/01/rdf-schema#&gt;
prefix skos: &lt;http://www.w3.org/2004/02/skos/core#&gt;
prefix xsd: &lt;http://www.w3.org/2001/XMLSchema#&gt;
SELECT ?item 
WHERE {
  ?item aowl:Class.
}
```
Unfortunately, I can only generate a SPARQL query and return it as plain text. I'm not capable of executing the query or generating a specific answer due to the limitations of this interface.
However, here is the generated SPARQL query:
```
PREFIX ns1: &lt;http://dbkwik.webdatacommons.org/marvelcinematicuniverse.wikia.com/property/&gt;
PREFIX ns2: &lt;http://dbkwik.webdatacommons.org/marvelcinematicuniverse.wikia.com/property/&gt;
PREFIX ns3: &lt;http://dbkwik.webdatacommons.org/ontology/&gt;
PREFIX ns6: &lt;http://dbkwik.webdatacommons.org/marvelcinematicuniverse.wikia.com/property/&gt;
PREFIX owl: &lt;http://www.w3.org/2002/07/owl#&gt;
PREFIX rdf: &lt;http://www.w3.org/1999/02/22-rdf-syntax-ns#&gt;
PREFIX rdfs: &lt;http://www.w3.org/2000/01/rdf-schema#&gt;
PREFIX skos: &lt;http://www.w3.org/2004/02/skos/core#&gt;
PREFIX xsd: &lt;http://www.w3.org/2001/XMLSchema#&gt;
SELECT ?item 
WHERE {
  ?item a owl:Class.
}
```</t>
  </si>
  <si>
    <t>model='llama3.2:latest' created_at='2025-11-18T03:05:06.296579512Z' done=True done_reason='stop' total_duration=156431732060 load_duration=899216696 prompt_eval_count=107805 prompt_eval_duration=139666804945 eval_count=486 eval_duration=15154958133 message=Message(role='assistant', content="```\nprefix ns1: &lt;http://dbkwik.webdatacommons.org/marvelcinematicuniverse.wikia.com/property/&gt;\nprefix ns2: &lt;http://dbkwik.webdatacommons.org/marvelcinematicuniverse.wikia.com/property/&gt;\nprefix ns3: &lt;http://dbkwik.webdatacommons.org/ontology/&gt;\nprefix ns6: &lt;http://dbkwik.webdatacommons.org/marvelcinematicuniverse.wikia.com/property/&gt;\nprefix owl: &lt;http://www.w3.org/2002/07/owl#&gt;\nprefix rdf: &lt;http://www.w3.org/1999/02/22-rdf-syntax-ns#&gt;\nprefix rdfs: &lt;http://www.w3.org/2000/01/rdf-schema#&gt;\nprefix skos: &lt;http://www.w3.org/2004/02/skos/core#&gt;\nprefix xsd: &lt;http://www.w3.org/2001/XMLSchema#&gt;\n\nSELECT ?item \nWHERE {\n  ?item aowl:Class.\n}\n```\n\nUnfortunately, I can only generate a SPARQL query and return it as plain text. I'm not capable of executing the query or generating a specific answer due to the limitations of this interface.\n\nHowever, here is the generated SPARQL query:\n\n```\nPREFIX ns1: &lt;http://dbkwik.webdatacommons.org/marvelcinematicuniverse.wikia.com/property/&gt;\nPREFIX ns2: &lt;http://dbkwik.webdatacommons.org/marvelcinematicuniverse.wikia.com/property/&gt;\nPREFIX ns3: &lt;http://dbkwik.webdatacommons.org/ontology/&gt;\nPREFIX ns6: &lt;http://dbkwik.webdatacommons.org/marvelcinematicuniverse.wikia.com/property/&gt;\nPREFIX owl: &lt;http://www.w3.org/2002/07/owl#&gt;\nPREFIX rdf: &lt;http://www.w3.org/1999/02/22-rdf-syntax-ns#&gt;\nPREFIX rdfs: &lt;http://www.w3.org/2000/01/rdf-schema#&gt;\nPREFIX skos: &lt;http://www.w3.org/2004/02/skos/core#&gt;\nPREFIX xsd: &lt;http://www.w3.org/2001/XMLSchema#&gt;\n\nSELECT ?item \nWHERE {\n  ?item a owl:Class.\n}\n```",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</si>
  <si>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&lt;http://dbkwik.webdatacommons.org/marvelcinematicuniverse.wikia.com/property/&gt;
prefix ns3: &lt;http://dbkwik.webdatacommons.org/ontology/&gt;
prefix ns6: &lt;http://dbkwik.webdatacommons.org/marvelcinematicuniverse.wikia.com/property/&gt;
prefix owl: &lt;http://www.w3.org/2002/07/owl#&gt;
prefix rdf: &lt;http://www.w3.org/1999/02/22-rdf-syntax-ns#&gt;
prefix rdfs: &lt;http://www.w3.org/2000/01/rdf-schema#&gt;
prefix skos: &lt;http://www.w3.org/2004/02/skos/core#&gt;
prefix xsd: &lt;http://www.w3.org/2001/XMLSchema#&gt;
SELECT ?item 
WHERE {
  ?item aowl:Class.
}</t>
  </si>
  <si>
    <t>ERROR: QueryBadFormed: A bad request has been sent to the endpoint: probably the SPARQL query is badly formed. 
Response:
b'Parse error: Line 14, column 9: Unresolved prefixed name: aowl:Class\n'</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</si>
  <si>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</si>
  <si>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SELECT ?s ?o 
WHERE {
  {GRAPH [ GRAPH DEF "marvelcivuniverse"]
    ?s rdf[similarity=0.95] ?o .
  }}
RETURN $q$</t>
  </si>
  <si>
    <t>model='llama3.2:latest' created_at='2025-11-18T03:07:28.943889759Z' done=True done_reason='stop' total_duration=142349378492 load_duration=970424115 prompt_eval_count=107807 prompt_eval_duration=139663466757 eval_count=44 eval_duration=1352166662 message=Message(role='assistant', content='SELECT ?s ?o \nWHERE {\n  {GRAPH [ GRAPH DEF "marvelcivuniverse"]\n    ?s rdf[similarity=0.95] ?o .\n  }}\nRETURN $q$',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</si>
  <si>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 ?o 
WHERE {
  {GRAPH [ GRAPH DEF "marvelcivuniverse"]
    ?s rdf[similarity=0.95] ?o .
  }}
RETURN $q$</t>
  </si>
  <si>
    <t>ERROR: QueryBadFormed: A bad request has been sent to the endpoint: probably the SPARQL query is badly formed. 
Response:
b'Parse error: Encountered " "[" "[ "" at line 14, column 10.\n'</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</si>
  <si>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</si>
  <si>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SELECT ?p ?o 
WHERE {
  ?p &lt;http://dbkwik.webdatacommons.org/marvelcinematicuniverse.wikia.com/class/col-end&gt; .
  ?o ?value .
  FILTER (?value IS NOT NULL )
}
UNION
SELECT ?p ?o 
WHERE {
  ?p &lt;http://dbkwik.webdatacommons.org/marvelcinematicuniverse.wikia.com/class/expand&gt; .
  ?o ?value .
  FILTER (?value IS NOT NULL )
}</t>
  </si>
  <si>
    <t>model='llama3.2:latest' created_at='2025-11-18T03:09:53.484788905Z' done=True done_reason='stop' total_duration=144250218296 load_duration=850825357 prompt_eval_count=107798 prompt_eval_duration=139660912085 eval_count=107 eval_duration=3308015427 message=Message(role='assistant', content='SELECT ?p ?o \nWHERE {\n  ?p &lt;http://dbkwik.webdatacommons.org/marvelcinematicuniverse.wikia.com/class/col-end&gt; .\n  ?o ?value .\n  FILTER (?value IS NOT NULL )\n}\nUNION\nSELECT ?p ?o \nWHERE {\n  ?p &lt;http://dbkwik.webdatacommons.org/marvelcinematicuniverse.wikia.com/class/expand&gt; .\n  ?o ?value .\n  FILTER (?value IS NOT NULL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</si>
  <si>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?p ?o 
WHERE {
  ?p &lt;http://dbkwik.webdatacommons.org/marvelcinematicuniverse.wikia.com/class/col-end&gt; .
  ?o ?value .
  FILTER (?value IS NOT NULL )
}
UNION
SELECT ?p ?o 
WHERE {
  ?p &lt;http://dbkwik.webdatacommons.org/marvelcinematicuniverse.wikia.com/class/expand&gt; .
  ?o ?value .
  FILTER (?value IS NOT NULL )
}</t>
  </si>
  <si>
    <t>ERROR: QueryBadFormed: A bad request has been sent to the endpoint: probably the SPARQL query is badly formed. 
Response:
b'Parse error: Encountered " "." ". "" at line 14, column 89.\n'</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</si>
  <si>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</si>
  <si>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PREFIX ns1: &lt;http://dbkwik.webdatacommons.org/marvelcinematicuniverse.wikia.com/property/&gt;
SELECT ?p ?o 
WHERE {
  ?p ?o .
  FILTER (REGEX(str(?o), '[^[:UTF-8:]]', 'i') = 0)
}
```
This query returns a list of property names that have empty string UTF-8 byte strings as their values.
Please note that the above query might not work in some wikibase installations due to differences in handling UTF-8 characters.
To return a more general query, you can use:
```
PREFIX ns1: &lt;http://dbkwik.webdatacommons.org/marvelcinematicuniverse.wikia.com/property/&gt;
SELECT ?p ?o 
WHERE {
  ?p ?o .
}
```
This query will return all properties and their values.
To filter the results to only include pages that are not empty, you can use:
```
PREFIX ns1: &lt;http://dbkwik.webdatacommons.org/marvelcinematicuniverse.wikia.com/property/&gt;
SELECT ?p ?o 
WHERE {
  ?p ?o .
  FILTER (ISBIO(?o) OR CONTAINS(str(?o), '[[:utf-8:]]'))
}
```
This query will return all properties and their values where either the page is an empty string or contains non-empty UTF-8 bytes.</t>
  </si>
  <si>
    <t>model='llama3.2:latest' created_at='2025-11-18T03:12:24.142182795Z' done=True done_reason='stop' total_duration=150404865664 load_duration=958485631 prompt_eval_count=107802 prompt_eval_duration=139659117951 eval_count=297 eval_duration=9218935713 message=Message(role='assistant', content="```\nPREFIX ns1: &lt;http://dbkwik.webdatacommons.org/marvelcinematicuniverse.wikia.com/property/&gt;\n\nSELECT ?p ?o \nWHERE {\n  ?p ?o .\n  FILTER (REGEX(str(?o), '[^[:UTF-8:]]', 'i') = 0)\n}\n```\n\nThis query returns a list of property names that have empty string UTF-8 byte strings as their values.\n\nPlease note that the above query might not work in some wikibase installations due to differences in handling UTF-8 characters.\n\nTo return a more general query, you can use:\n\n```\nPREFIX ns1: &lt;http://dbkwik.webdatacommons.org/marvelcinematicuniverse.wikia.com/property/&gt;\n\nSELECT ?p ?o \nWHERE {\n  ?p ?o .\n}\n```\n\nThis query will return all properties and their values.\n\nTo filter the results to only include pages that are not empty, you can use:\n\n```\nPREFIX ns1: &lt;http://dbkwik.webdatacommons.org/marvelcinematicuniverse.wikia.com/property/&gt;\n\nSELECT ?p ?o \nWHERE {\n  ?p ?o .\n  FILTER (ISBIO(?o) OR CONTAINS(str(?o), '[[:utf-8:]]'))\n}\n```\n\nThis query will return all properties and their values where either the page is an empty string or contains non-empty UTF-8 bytes.",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</si>
  <si>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?p ?o 
WHERE {
  ?p ?o .
  FILTER (REGEX(str(?o), '[^[:UTF-8:]]', 'i') = 0)
}</t>
  </si>
  <si>
    <t>ERROR: QueryBadFormed: A bad request has been sent to the endpoint: probably the SPARQL query is badly formed. 
Response:
b'Parse error: Encountered " "." ". "" at line 14, column 9.\n'</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</si>
  <si>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</si>
  <si>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SELECT ?s ?o 
WHERE {
  ?s a &lt;http://www.w3.org/1999/02/22-rdf-syntax-ns#Property&gt; .
  ?o &lt;http://dbkwik.webdatacommons.org/marvelcinematicuniverse.wikia.com/resource/AKA_1,000_Cuts&gt;
}
UNION
SELECT ?s ?o 
WHERE {
  ?s a &lt;http://www.w3.org/1999/02/22-rdf-syntax-ns#Property&gt; .
  ?o &lt;http://dbkwik.webdatacommons.org/marvelcinematicuniverse.wikia.com/resource/AKA_Sin_Bin&gt;
}
UNION
SELECT ?s ?o 
WHERE {
  ?s a &lt;http://www.w3.org/1999/02/22-rdf-syntax-ns#Property&gt; .
  ?o &lt;http://dbkwik.webdatacommons.org/marvelcinematicuniverse.wikia.com/resource/AKA_I%27ve_Got_the_Blues&gt;
}
UNION
SELECT ?s ?o 
WHERE {
  ?s a &lt;http://www.w3.org/1999/02/22-rdf-syntax-ns#Property&gt; .
  ?o &lt;http://dbkwik.webdatacommons.org/marvelcinematicuniverse.wikia.com/resource/AKA_Freak_Accident&gt;
}
UNION
SELECT ?s ?o 
WHERE {
  ?s a &lt;http://www.w3.org/1999/02/22-rdf-syntax-ns#Property&gt; .
  ?o &lt;http://dbkwik.webdatacommons.org/marvelcinematicuniverse.wikia.com/resource/AKA_I_Want_Your_Cray_Cray&gt;
}
UNION
SELECT ?s ?o 
WHERE {
  ?s a &lt;http://www.w3.org/1999/02/22-rdf-syntax-ns#Property&gt; .
  ?o &lt;http://dbkwik.webdatacommons.org/marvelcinematicuniverse.wikia.com/resource/AKA_Pork_Chop&gt;
}
UNION
SELECT ?s ?o 
WHERE {
  ?s a &lt;http://www.w3.org/1999/02/22-rdf-syntax-ns#Property&gt; .
  ?o &lt;http://dbkwik.webdatacommons.org/marvelcinematicuniverse.wikia.com/resource/AKA_Sin_Bin&gt;
}
UNION
SELECT ?s ?o 
WHERE {
  ?s a &lt;http://www.w3.org/1999/02/22-rdf-syntax-ns#Property&gt; .
  ?o &lt;http://dbkwik.webdatacommons.org/marvelcinematicuniverse.wikia.com/resource/Akela_Cooper&gt;
}
UNION
SELECT ?s ?o 
WHERE {
  ?s a &lt;http://www.w3.org/1999/02/22-rdf-syntax-ns#Property&gt; .
  ?o &lt;http://dbkwik.webdatacommons.org/marvelcinematicuniverse.wikia.com/resource/Aaron_Himelstein&gt;
}
UNION
SELECT ?s ?o 
WHERE {
  ?s a &lt;http://www.w3.org/1999/02/22-rdf-syntax-ns#Property&gt; .
  ?o &lt;http://dbkwik.webdatacommons.org/marvelcinematicuniverse.wikia.com/resource/Aaron_Costa_Ganis&gt;
}
UNION
SELECT ?s ?o 
WHERE {
  ?s a &lt;http://www.w3.org/1999/02/22-rdf-syntax-ns#Property&gt; .
  ?o &lt;http://dbkwik.webdatacommons.org/marvelcinematicuniverse.wikia.com/resource/Aaron_D._Alexander&gt;
}
UNION
SELECT ?s ?o 
WHERE {
  ?s a &lt;http://www.w3.org/1999/02/22-rdf-syntax-ns#Property&gt; .
  ?o &lt;http://dbkwik.webdatacommons.org/marvelcinematicuniverse.wikia.com/resource/Aaron_Fili&gt;
}
UNION
SELECT ?s ?o 
WHERE {
  ?s a &lt;http://www.w3.org/1999/02/22-rdf-syntax-ns#Property&gt; .
  ?o &lt;http://dbkwik.webdatacommons.org/marvelcinematicuniverse.wikia.com/resource/Aaron_Gaffey&gt;
}
UNION
SELECT ?s ?o 
WHERE {
  ?s a &lt;http://www.w3.org/1999/02/22-rdf-syntax-ns#Property&gt; .
  ?o &lt;http://dbkwik.webdatacommons.org/marvelcinematicuniverse.wikia.com/resource/Aaron_Goldenberg&gt;
}
UNION
SELECT ?s ?o 
WHERE {
  ?s a &lt;http://www.w3.org/1999/02/22-rdf-syntax-ns#Property&gt; .
  ?o &lt;http://dbkwik.webdatacommons.org/marvelcinematicuniverse.wikia.com/resource/Aaron_Harrington_(disambiguation)&gt;
}
UNION
SELECT ?s ?o 
WHERE {
  ?s a &lt;http://www.w3.org/1999/02/22-rdf-syntax-ns#Property&gt; .
  ?o &lt;http://dbkwik.webdatacommons.org/marvelcinematicuniverse.wikia.com/resource/Aaron_Hemelstein&gt;
}
UNION
SELECT ?s ?o 
WHERE {
  ?s a &lt;http://www.w3.org/1999/02/22-rdf-syntax-ns#Property&gt; .
  ?o &lt;http://dbkwik.webdatacommons.org/marvelcinematicuniverse.wikia.com/resource/Aaron_James&gt;
}
UNION
SELECT ?s ?o 
WHERE {
  ?s a &lt;http://www.w3.org/1999/02/22-rdf-syntax-ns#Property&gt; .
  ?o &lt;http://dbkwik.webdatacommons.org/marvelcinematicuniverse.wikia.com/resource/Aaron_Muir&gt;
}
UNION
SELECT ?s ?o 
WHERE {
  ?s a &lt;http://www.w3.org/1999/02/22-rdf-syntax-ns#Property&gt; .
  ?o &lt;http://dbkwik.webdatacommons.org/marvelcinematicuniverse.wikia.com/resource/Aaron_Norris&gt;
}
UNION
SELECT ?s ?o 
WHERE {
  ?s a &lt;http://www.w3.org/1999/02/22-rdf-syntax-ns#Property&gt; .
  ?o &lt;http://dbkwik.webdatacommons.org/marvelcinematicuniverse.wikia.com/resource/Aaron_Wilson&gt;
}
UNION
SELECT ?s ?o 
WHERE {
  ?s a &lt;http://www.w3.org/1999/02/22-rdf-syntax-ns#Property&gt; .
  ?o &lt;http://dbkwik.webdatacommons.org/marvelcinematicuniverse.wikia.com/resource/Air_Crash_in_the_Himalayas&gt;
}
UNION
SELECT ?s ?o 
WHERE {
  ?s a &lt;http://www.w3.org/1999/02/22-rdf-syntax-ns#Property&gt; .
  ?o &lt;http://dbkwik.webdatacommons.org/marvelcinematicuniverse.wikia.com/resource/Akela_Cooper&gt;
}
UNION
SELECT ?s ?o 
WHERE {
  ?s a &lt;http://www.w3.org/1999/02/22-rdf-syntax-ns#Property&gt; .
  ?o &lt;http://dbkwik.webdatacommons.org/marvelcinematicuniverse.wikia.com/resource/Alejandro_Cooper&gt;
}
UNION
SELECT ?s ?o 
WHERE {
  ?s a &lt;http://www.w3.org/1999/02/22-rdf-syntax-ns#Property&gt; .
  ?o &lt;http://dbkwik.webdatacommons.org/marvelcinematicuniverse.wikia.com/resource/Alexander_Pierce&gt;
}
UNION
SELECT ?s ?o 
WHERE {
  ?s a &lt;http://www.w3.org/1999/02/22-rdf-syntax-ns#Property&gt; .
  ?o &lt;http://dbkwik.webdatacommons.org/marvelcinematicuniverse.wikia.com/resource/Algiers&gt;
}
UNION
SELECT ?s ?o 
WHERE {
  ?s a &lt;http://www.w3.org/1999/02/22-rdf-syntax-ns#Property&gt; .
  ?o &lt;http://dbkwik.webdatacommons.org/marvelcinematicuniverse.wikia.com/resource/Alexandria&gt;
}
UNION
SELECT ?s ?o 
WHERE {
  ?s a &lt;http://www.w3.org/1999/02/22-rdf-syntax-ns#Property&gt; .
  ?o &lt;http://dbkwik.webdatacommons.org/marvelcinematicuniverse.wikia.com/resource/Alica&gt;
}
UNION
SELECT ?s ?o 
WHERE {
  ?s a &lt;http://www.w3.org/1999/02/22-rdf-syntax-ns#Property&gt; .
  ?o &lt;http://dbkwik.webdatacommons.org/marvelcinematicuniverse.wikia.com/resource/Alaska&gt;
}
UNION
SELECT ?s ?o 
WHERE {
  ?s a &lt;http://www.w3.org/1999/02/22-rdf-syntax-ns#Property&gt; .
  ?o &lt;http://dbkwik.webdatacommons.org/marvelcinematicuniverse.wikia.com/resource/Aldrich_Killian&gt;
}
UNION
SELECT ?s ?o 
WHERE {
  ?s a &lt;http://www.w3.org/1999/02/22-rdf-syntax-ns#Property&gt; .
  ?o &lt;http://dbkwik.webdatacommons.org/marvelcinematicuniverse.wikia.com/resource/Aleta_Ravager_Clan&gt;
}
UNION
SELECT ?s ?o 
WHERE {
  ?s a &lt;http://www.w3.org/1999/02/22-rdf-syntax-ns#Property&gt; .
  ?o &lt;http://dbkwik.webdatacommons.org/marvelcinematicuniverse.wikia.com/resource/Alexander_Pierce&gt;
}
UNION
SELECT ?s ?o 
WHERE {
  ?s a &lt;http://www.w3.org/1999/02/22-rdf-syntax-ns#Property&gt; .
  ?o &lt;http://dbkwik.webdatacommons.org/marvelcinematicuniverse.wikia.com/resource/Amanda_Rea&gt;
}
UNION
SELECT ?s ?o 
WHERE {
  ?s a &lt;http://www.w3.org/1999/02/22-rdf-syntax-ns#Property&gt; .
  ?o &lt;http://dbkwik.webdatacommons.org/marvelcinematicuniverse.wikia.com/resource/America&gt;
}
UNION
SELECT ?s ?o 
WHERE {
  ?s a &lt;http://www.w3.org/1999/02/22-rdf-syntax-ns#Property&gt; .
  ?o &lt;http://dbkwik.webdatacommons.org/marvelcinematicuniverse.wikia.com/resource/American_Broadcasting_Company&gt;
}
UNION
SELECT ?s ?o 
WHERE {
  ?s a &lt;http://www.w3.org/1999/02/22-rdf-syntax-ns#Property&gt; .
  ?o &lt;http://dbkwik.webdatacommons.org/marvelcinematicuniverse.wikia.com/resource/America_of_America&gt;
}
UNION
SELECT ?s ?o 
WHERE {
  ?s a &lt;http://www.w3.org/1999/02/22-rdf-syntax-ns#Property&gt; .
  ?o &lt;http://dbkwik.webdatacommons.org/marvelcinematicuniverse.wikia.com/resource/America_Superstition&gt;
}
UNION
SELECT ?s ?o 
WHERE {
  ?s a &lt;http://www.w3.org/1999/02/22-rdf-syntax-ns#Property&gt; .
  ?o &lt;http://dbkwik.webdatacommons.org/marvelcinematicuniverse.wikia.com/resource/America_Vampires_Ace&gt;
}
UNION
SELECT ?s ?o 
WHERE {
  ?s a &lt;http://www.w3.org/1999/02/22-rdf-syntax-ns#Property&gt; .
  ?o &lt;http://dbkwik.webdatacommons.org/marvelcinematicuniverse.wikia.com/resource/America_Vest&gt;</t>
  </si>
  <si>
    <t>model='llama3.2:latest' created_at='2025-11-18T03:16:11.106426099Z' done=True done_reason='stop' total_duration=226713968592 load_duration=877629413 prompt_eval_count=107802 prompt_eval_duration=139670698656 eval_count=2652 eval_duration=83604652943 message=Message(role='assistant', content='SELECT ?s ?o \nWHERE {\n  ?s a &lt;http://www.w3.org/1999/02/22-rdf-syntax-ns#Property&gt; .\n  ?o &lt;http://dbkwik.webdatacommons.org/marvelcinematicuniverse.wikia.com/resource/AKA_1,000_Cuts&gt;\n}\nUNION\nSELECT ?s ?o \nWHERE {\n  ?s a &lt;http://www.w3.org/1999/02/22-rdf-syntax-ns#Property&gt; .\n  ?o &lt;http://dbkwik.webdatacommons.org/marvelcinematicuniverse.wikia.com/resource/AKA_Sin_Bin&gt;\n}\nUNION\nSELECT ?s ?o \nWHERE {\n  ?s a &lt;http://www.w3.org/1999/02/22-rdf-syntax-ns#Property&gt; .\n  ?o &lt;http://dbkwik.webdatacommons.org/marvelcinematicuniverse.wikia.com/resource/AKA_I%27ve_Got_the_Blues&gt;\n}\nUNION\nSELECT ?s ?o \nWHERE {\n  ?s a &lt;http://www.w3.org/1999/02/22-rdf-syntax-ns#Property&gt; .\n  ?o &lt;http://dbkwik.webdatacommons.org/marvelcinematicuniverse.wikia.com/resource/AKA_Freak_Accident&gt;\n}\nUNION\nSELECT ?s ?o \nWHERE {\n  ?s a &lt;http://www.w3.org/1999/02/22-rdf-syntax-ns#Property&gt; .\n  ?o &lt;http://dbkwik.webdatacommons.org/marvelcinematicuniverse.wikia.com/resource/AKA_I_Want_Your_Cray_Cray&gt;\n}\nUNION\nSELECT ?s ?o \nWHERE {\n  ?s a &lt;http://www.w3.org/1999/02/22-rdf-syntax-ns#Property&gt; .\n  ?o &lt;http://dbkwik.webdatacommons.org/marvelcinematicuniverse.wikia.com/resource/AKA_Pork_Chop&gt;\n}\nUNION\nSELECT ?s ?o \nWHERE {\n  ?s a &lt;http://www.w3.org/1999/02/22-rdf-syntax-ns#Property&gt; .\n  ?o &lt;http://dbkwik.webdatacommons.org/marvelcinematicuniverse.wikia.com/resource/AKA_Sin_Bin&gt;\n}\nUNION\nSELECT ?s ?o \nWHERE {\n  ?s a &lt;http://www.w3.org/1999/02/22-rdf-syntax-ns#Property&gt; .\n  ?o &lt;http://dbkwik.webdatacommons.org/marvelcinematicuniverse.wikia.com/resource/Akela_Cooper&gt;\n}\nUNION\nSELECT ?s ?o \nWHERE {\n  ?s a &lt;http://www.w3.org/1999/02/22-rdf-syntax-ns#Property&gt; .\n  ?o &lt;http://dbkwik.webdatacommons.org/marvelcinematicuniverse.wikia.com/resource/Aaron_Himelstein&gt;\n}\nUNION\nSELECT ?s ?o \nWHERE {\n  ?s a &lt;http://www.w3.org/1999/02/22-rdf-syntax-ns#Property&gt; .\n  ?o &lt;http://dbkwik.webdatacommons.org/marvelcinematicuniverse.wikia.com/resource/Aaron_Costa_Ganis&gt;\n}\nUNION\nSELECT ?s ?o \nWHERE {\n  ?s a &lt;http://www.w3.org/1999/02/22-rdf-syntax-ns#Property&gt; .\n  ?o &lt;http://dbkwik.webdatacommons.org/marvelcinematicuniverse.wikia.com/resource/Aaron_D._Alexander&gt;\n}\nUNION\nSELECT ?s ?o \nWHERE {\n  ?s a &lt;http://www.w3.org/1999/02/22-rdf-syntax-ns#Property&gt; .\n  ?o &lt;http://dbkwik.webdatacommons.org/marvelcinematicuniverse.wikia.com/resource/Aaron_Fili&gt;\n}\nUNION\nSELECT ?s ?o \nWHERE {\n  ?s a &lt;http://www.w3.org/1999/02/22-rdf-syntax-ns#Property&gt; .\n  ?o &lt;http://dbkwik.webdatacommons.org/marvelcinematicuniverse.wikia.com/resource/Aaron_Gaffey&gt;\n}\nUNION\nSELECT ?s ?o \nWHERE {\n  ?s a &lt;http://www.w3.org/1999/02/22-rdf-syntax-ns#Property&gt; .\n  ?o &lt;http://dbkwik.webdatacommons.org/marvelcinematicuniverse.wikia.com/resource/Aaron_Goldenberg&gt;\n}\nUNION\nSELECT ?s ?o \nWHERE {\n  ?s a &lt;http://www.w3.org/1999/02/22-rdf-syntax-ns#Property&gt; .\n  ?o &lt;http://dbkwik.webdatacommons.org/marvelcinematicuniverse.wikia.com/resource/Aaron_Harrington_(disambiguation)&gt;\n}\nUNION\nSELECT ?s ?o \nWHERE {\n  ?s a &lt;http://www.w3.org/1999/02/22-rdf-syntax-ns#Property&gt; .\n  ?o &lt;http://dbkwik.webdatacommons.org/marvelcinematicuniverse.wikia.com/resource/Aaron_Hemelstein&gt;\n}\nUNION\nSELECT ?s ?o \nWHERE {\n  ?s a &lt;http://www.w3.org/1999/02/22-rdf-syntax-ns#Property&gt; .\n  ?o &lt;http://dbkwik.webdatacommons.org/marvelcinematicuniverse.wikia.com/resource/Aaron_James&gt;\n}\nUNION\nSELECT ?s ?o \nWHERE {\n  ?s a &lt;http://www.w3.org/1999/02/22-rdf-syntax-ns#Property&gt; .\n  ?o &lt;http://dbkwik.webdatacommons.org/marvelcinematicuniverse.wikia.com/resource/Aaron_Muir&gt;\n}\nUNION\nSELECT ?s ?o \nWHERE {\n  ?s a &lt;http://www.w3.org/1999/02/22-rdf-syntax-ns#Property&gt; .\n  ?o &lt;http://dbkwik.webdatacommons.org/marvelcinematicuniverse.wikia.com/resource/Aaron_Norris&gt;\n}\nUNION\nSELECT ?s ?o \nWHERE {\n  ?s a &lt;http://www.w3.org/1999/02/22-rdf-syntax-ns#Property&gt; .\n  ?o &lt;http://dbkwik.webdatacommons.org/marvelcinematicuniverse.wikia.com/resource/Aaron_Wilson&gt;\n}\nUNION\nSELECT ?s ?o \nWHERE {\n  ?s a &lt;http://www.w3.org/1999/02/22-rdf-syntax-ns#Property&gt; .\n  ?o &lt;http://dbkwik.webdatacommons.org/marvelcinematicuniverse.wikia.com/resource/Air_Crash_in_the_Himalayas&gt;\n}\nUNION\nSELECT ?s ?o \nWHERE {\n  ?s a &lt;http://www.w3.org/1999/02/22-rdf-syntax-ns#Property&gt; .\n  ?o &lt;http://dbkwik.webdatacommons.org/marvelcinematicuniverse.wikia.com/resource/Akela_Cooper&gt;\n}\nUNION\nSELECT ?s ?o \nWHERE {\n  ?s a &lt;http://www.w3.org/1999/02/22-rdf-syntax-ns#Property&gt; .\n  ?o &lt;http://dbkwik.webdatacommons.org/marvelcinematicuniverse.wikia.com/resource/Alejandro_Cooper&gt;\n}\nUNION\nSELECT ?s ?o \nWHERE {\n  ?s a &lt;http://www.w3.org/1999/02/22-rdf-syntax-ns#Property&gt; .\n  ?o &lt;http://dbkwik.webdatacommons.org/marvelcinematicuniverse.wikia.com/resource/Alexander_Pierce&gt;\n}\nUNION\nSELECT ?s ?o \nWHERE {\n  ?s a &lt;http://www.w3.org/1999/02/22-rdf-syntax-ns#Property&gt; .\n  ?o &lt;http://dbkwik.webdatacommons.org/marvelcinematicuniverse.wikia.com/resource/Algiers&gt;\n}\nUNION\nSELECT ?s ?o \nWHERE {\n  ?s a &lt;http://www.w3.org/1999/02/22-rdf-syntax-ns#Property&gt; .\n  ?o &lt;http://dbkwik.webdatacommons.org/marvelcinematicuniverse.wikia.com/resource/Alexandria&gt;\n}\nUNION\nSELECT ?s ?o \nWHERE {\n  ?s a &lt;http://www.w3.org/1999/02/22-rdf-syntax-ns#Property&gt; .\n  ?o &lt;http://dbkwik.webdatacommons.org/marvelcinematicuniverse.wikia.com/resource/Alica&gt;\n}\nUNION\nSELECT ?s ?o \nWHERE {\n  ?s a &lt;http://www.w3.org/1999/02/22-rdf-syntax-ns#Property&gt; .\n  ?o &lt;http://dbkwik.webdatacommons.org/marvelcinematicuniverse.wikia.com/resource/Alaska&gt;\n}\nUNION\nSELECT ?s ?o \nWHERE {\n  ?s a &lt;http://www.w3.org/1999/02/22-rdf-syntax-ns#Property&gt; .\n  ?o &lt;http://dbkwik.webdatacommons.org/marvelcinematicuniverse.wikia.com/resource/Aldrich_Killian&gt;\n}\nUNION\nSELECT ?s ?o \nWHERE {\n  ?s a &lt;http://www.w3.org/1999/02/22-rdf-syntax-ns#Property&gt; .\n  ?o &lt;http://dbkwik.webdatacommons.org/marvelcinematicuniverse.wikia.com/resource/Aleta_Ravager_Clan&gt;\n}\nUNION\nSELECT ?s ?o \nWHERE {\n  ?s a &lt;http://www.w3.org/1999/02/22-rdf-syntax-ns#Property&gt; .\n  ?o &lt;http://dbkwik.webdatacommons.org/marvelcinematicuniverse.wikia.com/resource/Alexander_Pierce&gt;\n}\nUNION\nSELECT ?s ?o \nWHERE {\n  ?s a &lt;http://www.w3.org/1999/02/22-rdf-syntax-ns#Property&gt; .\n  ?o &lt;http://dbkwik.webdatacommons.org/marvelcinematicuniverse.wikia.com/resource/Amanda_Rea&gt;\n}\nUNION\nSELECT ?s ?o \nWHERE {\n  ?s a &lt;http://www.w3.org/1999/02/22-rdf-syntax-ns#Property&gt; .\n  ?o &lt;http://dbkwik.webdatacommons.org/marvelcinematicuniverse.wikia.com/resource/America&gt;\n}\nUNION\nSELECT ?s ?o \nWHERE {\n  ?s a &lt;http://www.w3.org/1999/02/22-rdf-syntax-ns#Property&gt; .\n  ?o &lt;http://dbkwik.webdatacommons.org/marvelcinematicuniverse.wikia.com/resource/American_Broadcasting_Company&gt;\n}\nUNION\nSELECT ?s ?o \nWHERE {\n  ?s a &lt;http://www.w3.org/1999/02/22-rdf-syntax-ns#Property&gt; .\n  ?o &lt;http://dbkwik.webdatacommons.org/marvelcinematicuniverse.wikia.com/resource/America_of_America&gt;\n}\nUNION\nSELECT ?s ?o \nWHERE {\n  ?s a &lt;http://www.w3.org/1999/02/22-rdf-syntax-ns#Property&gt; .\n  ?o &lt;http://dbkwik.webdatacommons.org/marvelcinematicuniverse.wikia.com/resource/America_Superstition&gt;\n}\nUNION\nSELECT ?s ?o \nWHERE {\n  ?s a &lt;http://www.w3.org/1999/02/22-rdf-syntax-ns#Property&gt; .\n  ?o &lt;http://dbkwik.webdatacommons.org/marvelcinematicuniverse.wikia.com/resource/America_Vampires_Ace&gt;\n}\nUNION\nSELECT ?s ?o \nWHERE {\n  ?s a &lt;http://www.w3.org/1999/02/22-rdf-syntax-ns#Property&gt; .\n  ?o &lt;http://dbkwik.webdatacommons.org/marvelcinematicuniverse.wikia.com/resource/America_Vest&gt;',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</si>
  <si>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 ?o 
WHERE {
  ?s a &lt;http://www.w3.org/1999/02/22-rdf-syntax-ns#Property&gt; .
  ?o &lt;http://dbkwik.webdatacommons.org/marvelcinematicuniverse.wikia.com/resource/AKA_1,000_Cuts&gt;
}
UNION
SELECT ?s ?o 
WHERE {
  ?s a &lt;http://www.w3.org/1999/02/22-rdf-syntax-ns#Property&gt; .
  ?o &lt;http://dbkwik.webdatacommons.org/marvelcinematicuniverse.wikia.com/resource/AKA_Sin_Bin&gt;
}
UNION
SELECT ?s ?o 
WHERE {
  ?s a &lt;http://www.w3.org/1999/02/22-rdf-syntax-ns#Property&gt; .
  ?o &lt;http://dbkwik.webdatacommons.org/marvelcinematicuniverse.wikia.com/resource/AKA_I%27ve_Got_the_Blues&gt;
}
UNION
SELECT ?s ?o 
WHERE {
  ?s a &lt;http://www.w3.org/1999/02/22-rdf-syntax-ns#Property&gt; .
  ?o &lt;http://dbkwik.webdatacommons.org/marvelcinematicuniverse.wikia.com/resource/AKA_Freak_Accident&gt;
}
UNION
SELECT ?s ?o 
WHERE {
  ?s a &lt;http://www.w3.org/1999/02/22-rdf-syntax-ns#Property&gt; .
  ?o &lt;http://dbkwik.webdatacommons.org/marvelcinematicuniverse.wikia.com/resource/AKA_I_Want_Your_Cray_Cray&gt;
}
UNION
SELECT ?s ?o 
WHERE {
  ?s a &lt;http://www.w3.org/1999/02/22-rdf-syntax-ns#Property&gt; .
  ?o &lt;http://dbkwik.webdatacommons.org/marvelcinematicuniverse.wikia.com/resource/AKA_Pork_Chop&gt;
}
UNION
SELECT ?s ?o 
WHERE {
  ?s a &lt;http://www.w3.org/1999/02/22-rdf-syntax-ns#Property&gt; .
  ?o &lt;http://dbkwik.webdatacommons.org/marvelcinematicuniverse.wikia.com/resource/AKA_Sin_Bin&gt;
}
UNION
SELECT ?s ?o 
WHERE {
  ?s a &lt;http://www.w3.org/1999/02/22-rdf-syntax-ns#Property&gt; .
  ?o &lt;http://dbkwik.webdatacommons.org/marvelcinematicuniverse.wikia.com/resource/Akela_Cooper&gt;
}
UNION
SELECT ?s ?o 
WHERE {
  ?s a &lt;http://www.w3.org/1999/02/22-rdf-syntax-ns#Property&gt; .
  ?o &lt;http://dbkwik.webdatacommons.org/marvelcinematicuniverse.wikia.com/resource/Aaron_Himelstein&gt;
}
UNION
SELECT ?s ?o 
WHERE {
  ?s a &lt;http://www.w3.org/1999/02/22-rdf-syntax-ns#Property&gt; .
  ?o &lt;http://dbkwik.webdatacommons.org/marvelcinematicuniverse.wikia.com/resource/Aaron_Costa_Ganis&gt;
}
UNION
SELECT ?s ?o 
WHERE {
  ?s a &lt;http://www.w3.org/1999/02/22-rdf-syntax-ns#Property&gt; .
  ?o &lt;http://dbkwik.webdatacommons.org/marvelcinematicuniverse.wikia.com/resource/Aaron_D._Alexander&gt;
}
UNION
SELECT ?s ?o 
WHERE {
  ?s a &lt;http://www.w3.org/1999/02/22-rdf-syntax-ns#Property&gt; .
  ?o &lt;http://dbkwik.webdatacommons.org/marvelcinematicuniverse.wikia.com/resource/Aaron_Fili&gt;
}
UNION
SELECT ?s ?o 
WHERE {
  ?s a &lt;http://www.w3.org/1999/02/22-rdf-syntax-ns#Property&gt; .
  ?o &lt;http://dbkwik.webdatacommons.org/marvelcinematicuniverse.wikia.com/resource/Aaron_Gaffey&gt;
}
UNION
SELECT ?s ?o 
WHERE {
  ?s a &lt;http://www.w3.org/1999/02/22-rdf-syntax-ns#Property&gt; .
  ?o &lt;http://dbkwik.webdatacommons.org/marvelcinematicuniverse.wikia.com/resource/Aaron_Goldenberg&gt;
}
UNION
SELECT ?s ?o 
WHERE {
  ?s a &lt;http://www.w3.org/1999/02/22-rdf-syntax-ns#Property&gt; .
  ?o &lt;http://dbkwik.webdatacommons.org/marvelcinematicuniverse.wikia.com/resource/Aaron_Harrington_(disambiguation)&gt;
}
UNION
SELECT ?s ?o 
WHERE {
  ?s a &lt;http://www.w3.org/1999/02/22-rdf-syntax-ns#Property&gt; .
  ?o &lt;http://dbkwik.webdatacommons.org/marvelcinematicuniverse.wikia.com/resource/Aaron_Hemelstein&gt;
}
UNION
SELECT ?s ?o 
WHERE {
  ?s a &lt;http://www.w3.org/1999/02/22-rdf-syntax-ns#Property&gt; .
  ?o &lt;http://dbkwik.webdatacommons.org/marvelcinematicuniverse.wikia.com/resource/Aaron_James&gt;
}
UNION
SELECT ?s ?o 
WHERE {
  ?s a &lt;http://www.w3.org/1999/02/22-rdf-syntax-ns#Property&gt; .
  ?o &lt;http://dbkwik.webdatacommons.org/marvelcinematicuniverse.wikia.com/resource/Aaron_Muir&gt;
}
UNION
SELECT ?s ?o 
WHERE {
  ?s a &lt;http://www.w3.org/1999/02/22-rdf-syntax-ns#Property&gt; .
  ?o &lt;http://dbkwik.webdatacommons.org/marvelcinematicuniverse.wikia.com/resource/Aaron_Norris&gt;
}
UNION
SELECT ?s ?o 
WHERE {
  ?s a &lt;http://www.w3.org/1999/02/22-rdf-syntax-ns#Property&gt; .
  ?o &lt;http://dbkwik.webdatacommons.org/marvelcinematicuniverse.wikia.com/resource/Aaron_Wilson&gt;
}
UNION
SELECT ?s ?o 
WHERE {
  ?s a &lt;http://www.w3.org/1999/02/22-rdf-syntax-ns#Property&gt; .
  ?o &lt;http://dbkwik.webdatacommons.org/marvelcinematicuniverse.wikia.com/resource/Air_Crash_in_the_Himalayas&gt;
}
UNION
SELECT ?s ?o 
WHERE {
  ?s a &lt;http://www.w3.org/1999/02/22-rdf-syntax-ns#Property&gt; .
  ?o &lt;http://dbkwik.webdatacommons.org/marvelcinematicuniverse.wikia.com/resource/Akela_Cooper&gt;
}
UNION
SELECT ?s ?o 
WHERE {
  ?s a &lt;http://www.w3.org/1999/02/22-rdf-syntax-ns#Property&gt; .
  ?o &lt;http://dbkwik.webdatacommons.org/marvelcinematicuniverse.wikia.com/resource/Alejandro_Cooper&gt;
}
UNION
SELECT ?s ?o 
WHERE {
  ?s a &lt;http://www.w3.org/1999/02/22-rdf-syntax-ns#Property&gt; .
  ?o &lt;http://dbkwik.webdatacommons.org/marvelcinematicuniverse.wikia.com/resource/Alexander_Pierce&gt;
}
UNION
SELECT ?s ?o 
WHERE {
  ?s a &lt;http://www.w3.org/1999/02/22-rdf-syntax-ns#Property&gt; .
  ?o &lt;http://dbkwik.webdatacommons.org/marvelcinematicuniverse.wikia.com/resource/Algiers&gt;
}
UNION
SELECT ?s ?o 
WHERE {
  ?s a &lt;http://www.w3.org/1999/02/22-rdf-syntax-ns#Property&gt; .
  ?o &lt;http://dbkwik.webdatacommons.org/marvelcinematicuniverse.wikia.com/resource/Alexandria&gt;
}
UNION
SELECT ?s ?o 
WHERE {
  ?s a &lt;http://www.w3.org/1999/02/22-rdf-syntax-ns#Property&gt; .
  ?o &lt;http://dbkwik.webdatacommons.org/marvelcinematicuniverse.wikia.com/resource/Alica&gt;
}
UNION
SELECT ?s ?o 
WHERE {
  ?s a &lt;http://www.w3.org/1999/02/22-rdf-syntax-ns#Property&gt; .
  ?o &lt;http://dbkwik.webdatacommons.org/marvelcinematicuniverse.wikia.com/resource/Alaska&gt;
}
UNION
SELECT ?s ?o 
WHERE {
  ?s a &lt;http://www.w3.org/1999/02/22-rdf-syntax-ns#Property&gt; .
  ?o &lt;http://dbkwik.webdatacommons.org/marvelcinematicuniverse.wikia.com/resource/Aldrich_Killian&gt;
}
UNION
SELECT ?s ?o 
WHERE {
  ?s a &lt;http://www.w3.org/1999/02/22-rdf-syntax-ns#Property&gt; .
  ?o &lt;http://dbkwik.webdatacommons.org/marvelcinematicuniverse.wikia.com/resource/Aleta_Ravager_Clan&gt;
}
UNION
SELECT ?s ?o 
WHERE {
  ?s a &lt;http://www.w3.org/1999/02/22-rdf-syntax-ns#Property&gt; .
  ?o &lt;http://dbkwik.webdatacommons.org/marvelcinematicuniverse.wikia.com/resource/Alexander_Pierce&gt;
}
UNION
SELECT ?s ?o 
WHERE {
  ?s a &lt;http://www.w3.org/1999/02/22-rdf-syntax-ns#Property&gt; .
  ?o &lt;http://dbkwik.webdatacommons.org/marvelcinematicuniverse.wikia.com/resource/Amanda_Rea&gt;
}
UNION
SELECT ?s ?o 
WHERE {
  ?s a &lt;http://www.w3.org/1999/02/22-rdf-syntax-ns#Property&gt; .
  ?o &lt;http://dbkwik.webdatacommons.org/marvelcinematicuniverse.wikia.com/resource/America&gt;
}
UNION
SELECT ?s ?o 
WHERE {
  ?s a &lt;http://www.w3.org/1999/02/22-rdf-syntax-ns#Property&gt; .
  ?o &lt;http://dbkwik.webdatacommons.org/marvelcinematicuniverse.wikia.com/resource/American_Broadcasting_Company&gt;
}
UNION
SELECT ?s ?o 
WHERE {
  ?s a &lt;http://www.w3.org/1999/02/22-rdf-syntax-ns#Property&gt; .
  ?o &lt;http://dbkwik.webdatacommons.org/marvelcinematicuniverse.wikia.com/resource/America_of_America&gt;
}
UNION
SELECT ?s ?o 
WHERE {
  ?s a &lt;http://www.w3.org/1999/02/22-rdf-syntax-ns#Property&gt; .
  ?o &lt;http://dbkwik.webdatacommons.org/marvelcinematicuniverse.wikia.com/resource/America_Superstition&gt;
}
UNION
SELECT ?s ?o 
WHERE {
  ?s a &lt;http://www.w3.org/1999/02/22-rdf-syntax-ns#Property&gt; .
  ?o &lt;http://dbkwik.webdatacommons.org/marvelcinematicuniverse.wikia.com/resource/America_Vampires_Ace&gt;
}
UNION
SELECT ?s ?o 
WHERE {
  ?s a &lt;http://www.w3.org/1999/02/22-rdf-syntax-ns#Property&gt; .
  ?o &lt;http://dbkwik.webdatacommons.org/marvelcinematicuniverse.wikia.com/resource/America_Vest&gt;</t>
  </si>
  <si>
    <t>{
  "cq_text": "What are all the pairs of characters available that have co-appeared in a movie?",
  "syntax_ok": false,
  "syntax_msg": "Unbalanced braces"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</si>
  <si>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</si>
  <si>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SELECT ?title 
FROM wddc:marvelcinematicuniversewikia 
WHERE ?item = 'Black_Widow' OR ?item = 'Luke_Cage' OR ?item = 'Daredevil' OR ?item = 'Captain_America' 
GROUP BY ?item 
ORDER BY COUNT(*) DESC</t>
  </si>
  <si>
    <t>model='llama3.2:latest' created_at='2025-11-18T03:18:34.316664736Z' done=True done_reason='stop' total_duration=142940994993 load_duration=851536103 prompt_eval_count=107798 prompt_eval_duration=139622948198 eval_count=68 eval_duration=2086977029 message=Message(role='assistant', content="SELECT ?title \nFROM wddc:marvelcinematicuniversewikia \nWHERE ?item = 'Black_Widow' OR ?item = 'Luke_Cage' OR ?item = 'Daredevil' OR ?item = 'Captain_America' \nGROUP BY ?item \nORDER BY COUNT(*) DESC",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</si>
  <si>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?title 
FROM wddc:marvelcinematicuniversewikia 
WHERE ?item = 'Black_Widow' OR ?item = 'Luke_Cage' OR ?item = 'Daredevil' OR ?item = 'Captain_America' 
GROUP BY ?item 
ORDER BY COUNT(*) DESC</t>
  </si>
  <si>
    <t>ERROR: QueryBadFormed: A bad request has been sent to the endpoint: probably the SPARQL query is badly formed. 
Response:
b'Parse error: Line 14, column 6: Unresolved prefixed name: wddc:marvelcinematicuniversewikia\n'</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</si>
  <si>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</si>
  <si>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SELECT ?item WHERE { ?item a mw:Film . }</t>
  </si>
  <si>
    <t>model='llama3.2:latest' created_at='2025-11-18T03:20:55.86295666Z' done=True done_reason='stop' total_duration=141274565417 load_duration=854343414 prompt_eval_count=107806 prompt_eval_duration=139676629299 eval_count=14 eval_duration=412617696 message=Message(role='assistant', content='SELECT ?item WHERE { ?item a mw:Film . }',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</si>
  <si>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?item WHERE { ?item a mw:Film . }</t>
  </si>
  <si>
    <t>ERROR: QueryBadFormed: A bad request has been sent to the endpoint: probably the SPARQL query is badly formed. 
Response:
b'Parse error: Line 13, column 22: Unresolved prefixed name: mw:Film\n'</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</si>
  <si>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</si>
  <si>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PREFIX ns1: &lt;http://dbkwik.webdatacommons.org/marvelcinematicuniverse.wikia.com/property/&gt;
SELECT ?p ?o
WHERE {
  ?p rdfs:"" . 
  ?o ns1:a ["A.I.M. (organization)"] . 
  OPTIONAL { ?s ?p ?x . filter(regex(str(?p), "[0-9]{4}"))) .
    bind(year(?x) as ?year) } 
}
```</t>
  </si>
  <si>
    <t>model='llama3.2:latest' created_at='2025-11-18T03:23:20.362648734Z' done=True done_reason='stop' total_duration=144222825315 load_duration=899690176 prompt_eval_count=107810 prompt_eval_duration=139712743930 eval_count=104 eval_duration=3204578517 message=Message(role='assistant', content='```\nPREFIX ns1: &lt;http://dbkwik.webdatacommons.org/marvelcinematicuniverse.wikia.com/property/&gt;\n\nSELECT ?p ?o\nWHERE {\n  ?p rdfs:"" . \n  ?o ns1:a ["A.I.M. (organization)"] . \n  OPTIONAL { ?s ?p ?x . filter(regex(str(?p), "[0-9]{4}"))) .\n    bind(year(?x) as ?year) } \n}\n```',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</si>
  <si>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?p ?o
WHERE {
  ?p rdfs:"" . 
  ?o ns1:a ["A.I.M. (organization)"] . 
  OPTIONAL { ?s ?p ?x . filter(regex(str(?p), "[0-9]{4}"))) .
    bind(year(?x) as ?year) } 
}</t>
  </si>
  <si>
    <t>ERROR: QueryBadFormed: A bad request has been sent to the endpoint: probably the SPARQL query is badly formed. 
Response:
b'Parse error: Encountered " &lt;STRING_LITERAL2&gt; "\\"A.I.M. (organization)\\" "" at line 15, column 13.\n'</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</si>
  <si>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</si>
  <si>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```sql
SELECT 
    (SELECT 
        SUM(CASE WHEN title LIKE '%0-8-4%' THEN 1 ELSE 0 END) AS "0-8-4"
     FROM 
         marveledb.merch
     LIMIT 100)
AS "total_08_4",
(
SELECT 
        SUM(CASE WHEN title LIKE '%Iron Man%' OR title LIKE '%T%r-man%' THEN 1 ELSE 0 END) AS total_iron_man,
        SUM(CASE WHEN title LIKE '%Guardians of the Galaxy%' THEN 1 ELSE 0 END) AS total_guardians_of_the_galaxy,
        SUM(CASE WHEN title LIKE '%Captain America%' OR title LIKE '%T%r-man%' THEN 1 ELSE 0 END) AS total_capton_america
     FROM 
         marveledb.merch
     LIMIT 100)
AS 
total_capton_americas
```</t>
  </si>
  <si>
    <t>model='llama3.2:latest' created_at='2025-11-18T03:25:47.743757843Z' done=True done_reason='stop' total_duration=147099387435 load_duration=915629904 prompt_eval_count=107805 prompt_eval_duration=139690972580 eval_count=194 eval_duration=6014926943 message=Message(role='assistant', content='```sql\nSELECT \n    (SELECT \n        SUM(CASE WHEN title LIKE \'%0-8-4%\' THEN 1 ELSE 0 END) AS "0-8-4"\n     FROM \n         marveledb.merch\n     LIMIT 100)\nAS "total_08_4",\n(\nSELECT \n        SUM(CASE WHEN title LIKE \'%Iron Man%\' OR title LIKE \'%T%r-man%\' THEN 1 ELSE 0 END) AS total_iron_man,\n        SUM(CASE WHEN title LIKE \'%Guardians of the Galaxy%\' THEN 1 ELSE 0 END) AS total_guardians_of_the_galaxy,\n        SUM(CASE WHEN title LIKE \'%Captain America%\' OR title LIKE \'%T%r-man%\' THEN 1 ELSE 0 END) AS total_capton_america\n     FROM \n         marveledb.merch\n     LIMIT 100)\nAS \ntotal_capton_americas\n```',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</si>
  <si>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sql
SELECT 
    (SELECT 
        SUM(CASE WHEN title LIKE '%0-8-4%' THEN 1 ELSE 0 END) AS "0-8-4"
     FROM 
         marveledb.merch
     LIMIT 100)
AS "total_08_4",
(
SELECT 
        SUM(CASE WHEN title LIKE '%Iron Man%' OR title LIKE '%T%r-man%' THEN 1 ELSE 0 END) AS total_iron_man,
        SUM(CASE WHEN title LIKE '%Guardians of the Galaxy%' THEN 1 ELSE 0 END) AS total_guardians_of_the_galaxy,
        SUM(CASE WHEN title LIKE '%Captain America%' OR title LIKE '%T%r-man%' THEN 1 ELSE 0 END) AS total_capton_america
     FROM 
         marveledb.merch
     LIMIT 100)
AS 
total_capton_americas</t>
  </si>
  <si>
    <t>ERROR: QueryBadFormed: A bad request has been sent to the endpoint: probably the SPARQL query is badly formed. 
Response:
b'Parse error: Lexical error at line 13, column 4.  Encountered: \'10\' (10), after prefix "sql"\n'</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</si>
  <si>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</si>
  <si>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PREFIX ns1: &lt;http://dbkwik.webdatacommons.org/marvelcinematicuniverse.wikia.com/property/&gt;
PREFIX ns2: &lt;http://dbkwik.webdatacommons.org/marvelcinematicuniverse.wikia.com/affiliation(s)&gt;
PREFIX ns3: &lt;http://dbkwik.webdatacommons.org/ontology/&gt;
PREFIX ns4: &lt;http://www.w3.org/2000/01/rdf-schema#&gt;
PREFIX skos: &lt;http://www.w3.org/2004/02/skos/core#&gt;
PREFIX owl: &lt;http://www.w3.org/2002/07/owl#&gt;
SELECT ?s ?p ?o WHERE {
  ?s a owl:Class .
  ?s rdfs:label ?label .
  BIND (CONCAT(str(english(?label)), " ") AS ?text )
  UNION ALL
  { ?s skos:altLabel ?altLabel .
    BIND (CONCAT(str(english(?altLabel)), " ") AS ?text ) }
}
ORDER BY DESC (?text)
LIMIT 1
```
This query will return the name of the competency question in the format "Competency Question: [Question Text]". 
Given the context provided, the query retrieves a SPARQL query that answers the following competency question:
"Who are all the bridge characters that are members of more than one team, and what are those team combinations?"
The returned SPARQL query is:
```
SELECT ?s ?p ?o 
WHERE {
  ?s ns1:bridge ?o .
  ?s ns2:affiliation ?team .
  ?team ns1:team ?t . 
  ?t ns1:member ?m .
  UNION ALL
  { ?s ns1:actor ?m .
    ?m ns1:member ?t .
    ?t ns1:team ?team .
    UNION ALL
      { ?m ns1:character ?c .
        ?c ns1:team ?t .
        ?t ns1:affiliation ?team . } }
  FILTER ( REGEX(str(?s), "^[A-Z][A-Za-z0-9]{7,}$") )
}
```</t>
  </si>
  <si>
    <t>model='llama3.2:latest' created_at='2025-11-18T03:28:23.446211473Z' done=True done_reason='stop' total_duration=155430943663 load_duration=830463725 prompt_eval_count=107807 prompt_eval_duration=139670239785 eval_count=459 eval_duration=14254532427 message=Message(role='assistant', content='```\nPREFIX ns1: &lt;http://dbkwik.webdatacommons.org/marvelcinematicuniverse.wikia.com/property/&gt;\nPREFIX ns2: &lt;http://dbkwik.webdatacommons.org/marvelcinematicuniverse.wikia.com/affiliation(s)&gt;\nPREFIX ns3: &lt;http://dbkwik.webdatacommons.org/ontology/&gt;\nPREFIX ns4: &lt;http://www.w3.org/2000/01/rdf-schema#&gt;\nPREFIX skos: &lt;http://www.w3.org/2004/02/skos/core#&gt;\nPREFIX owl: &lt;http://www.w3.org/2002/07/owl#&gt;\n\nSELECT ?s ?p ?o WHERE {\n  ?s a owl:Class .\n  ?s rdfs:label ?label .\n  BIND (CONCAT(str(english(?label)), " ") AS ?text )\n  UNION ALL\n  { ?s skos:altLabel ?altLabel .\n    BIND (CONCAT(str(english(?altLabel)), " ") AS ?text ) }\n}\nORDER BY DESC (?text)\nLIMIT 1\n\n```\n\nThis query will return the name of the competency question in the format "Competency Question: [Question Text]". \n\nGiven the context provided, the query retrieves a SPARQL query that answers the following competency question:\n\n"Who are all the bridge characters that are members of more than one team, and what are those team combinations?"\n\nThe returned SPARQL query is:\n```\nSELECT ?s ?p ?o \nWHERE {\n  ?s ns1:bridge ?o .\n  ?s ns2:affiliation ?team .\n  ?team ns1:team ?t . \n  ?t ns1:member ?m .\n  UNION ALL\n  { ?s ns1:actor ?m .\n    ?m ns1:member ?t .\n    ?t ns1:team ?team .\n    UNION ALL\n      { ?m ns1:character ?c .\n        ?c ns1:team ?t .\n        ?t ns1:affiliation ?team . } }\n  FILTER ( REGEX(str(?s), "^[A-Z][A-Za-z0-9]{7,}$") )\n}\n```', thinking=None, images=None, tool_calls=None)</t>
  </si>
  <si>
    <t>PREFIX dc: &lt;http://purl.org/dc/elements/1.1/&gt;
PREFIX dcterms: &lt;http://purl.org/dc/terms/&gt;
PREFIX foaf: &lt;http://xmlns.com/foaf/0.1/&gt;
PREFIX ns6: &lt;http://dbkwik.webdatacommons.org/marvelcinematicuniverse.wikia.com/property/%23&gt;
PREFIX rdf: &lt;http://www.w3.org/1999/02/22-rdf-syntax-ns#&gt;
PREFIX rdfs: &lt;http://www.w3.org/2000/01/rdf-schema#&gt;
PREFIX xsd: &lt;http://www.w3.org/2001/XMLSchema#&gt;
PREFIX ns1: &lt;http://dbkwik.webdatacommons.org/marvelcinematicuniverse.wikia.com/property/&gt;
PREFIX ns2: &lt;http://dbkwik.webdatacommons.org/marvelcinematicuniverse.wikia.com/affiliation(s)&gt;
PREFIX ns3: &lt;http://dbkwik.webdatacommons.org/ontology/&gt;
PREFIX ns4: &lt;http://www.w3.org/2000/01/rdf-schema#&gt;
PREFIX skos: &lt;http://www.w3.org/2004/02/skos/core#&gt;
PREFIX owl: &lt;http://www.w3.org/2002/07/owl#&gt;
SELECT ?s ?p ?o WHERE {
  ?s a owl:Class .
  ?s rdfs:label ?label .
  BIND (CONCAT(str(english(?label)), " ") AS ?text )
  UNION ALL
  { ?s skos:altLabel ?altLabel .
    BIND (CONCAT(str(english(?altLabel)), " ") AS ?text ) }
}
ORDER BY DESC (?text)
LIMIT 1</t>
  </si>
  <si>
    <t>ERROR: QueryBadFormed: A bad request has been sent to the endpoint: probably the SPARQL query is badly formed. 
Response:
b'Parse error: Lexical error at line 17, column 27.  Encountered: \'40\' (40), after prefix "english"\n'</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</si>
  <si>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</si>
  <si>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SELECT * FROM `marvel-cinematic-universe-xml` WHERE id = "http://dbkwik.webdatacommons.org/marvelcinematicuniverse.wikia.com/resource/0-8-4" LIMIT 1;</t>
  </si>
  <si>
    <t>model='llama3.2:latest' created_at='2025-11-18T03:30:46.19990655Z' done=True done_reason='stop' total_duration=142466510410 load_duration=911781629 prompt_eval_count=107805 prompt_eval_duration=139661680020 eval_count=50 eval_duration=1528823307 message=Message(role='assistant', content='SELECT * FROM `marvel-cinematic-universe-xml` WHERE id = "http://dbkwik.webdatacommons.org/marvelcinematicuniverse.wikia.com/resource/0-8-4" LIMIT 1;',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</si>
  <si>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 FROM `marvel-cinematic-universe-xml` WHERE id = "http://dbkwik.webdatacommons.org/marvelcinematicuniverse.wikia.com/resource/0-8-4" LIMIT 1;</t>
  </si>
  <si>
    <t>ERROR: QueryBadFormed: A bad request has been sent to the endpoint: probably the SPARQL query is badly formed. 
Response:
b"Parse error: Lexical error at line 13, column 15.  Encountered: '96' (96),\n"</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</si>
  <si>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</si>
  <si>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SELECT ?label
WHERE {
  BIND('0-8-4') AS ?value
}
RETURN ?value</t>
  </si>
  <si>
    <t>model='llama3.2:latest' created_at='2025-11-18T03:33:08.1424607Z' done=True done_reason='stop' total_duration=141657370670 load_duration=920905163 prompt_eval_count=107809 prompt_eval_duration=139682910664 eval_count=24 eval_duration=721492683 message=Message(role='assistant', content="SELECT ?label\nWHERE {\n  BIND('0-8-4') AS ?value\n}\nRETURN ?value",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</si>
  <si>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?label
WHERE {
  BIND('0-8-4') AS ?value
}
RETURN ?value</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</si>
  <si>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</si>
  <si>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SELECT ?prefix ( COUNT ?s ) AS count 
WHERE { ?s rdfs :label ?l . } LIMIT 1000</t>
  </si>
  <si>
    <t>model='llama3.2:latest' created_at='2025-11-18T03:35:30.223306535Z' done=True done_reason='stop' total_duration=141797976686 load_duration=932873091 prompt_eval_count=107809 prompt_eval_duration=139687664513 eval_count=28 eval_duration=843402054 message=Message(role='assistant', content='SELECT ?prefix ( COUNT ?s ) AS count \nWHERE { ?s rdfs :label ?l . } LIMIT 1000',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</si>
  <si>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?prefix ( COUNT ?s ) AS count 
WHERE { ?s rdfs :label ?l . } LIMIT 1000</t>
  </si>
  <si>
    <t>ERROR: QueryBadFormed: A bad request has been sent to the endpoint: probably the SPARQL query is badly formed. 
Response:
b'Parse error: Lexical error at line 13, column 21.  Encountered: \'32\' (32), after prefix "rdfs"\n'</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</si>
  <si>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</si>
  <si>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```sparql
PREFIX ns1: &lt;http://dbkwik.webdatacommons.org/marvelcinematicuniverse.wikia.com/property/&gt;
PREFIX owl: &lt;http://www.w3.org/2002/07/owl#&gt;
SELECT ?q WHERE {
    ?q a owl:Class .
}
```
```sparql
PREFIX ns1: &lt;http://dbkwik.webdatacommons.org/marvelcinematicuniverse.wikia.com/property/&gt;
PREFIX owl: &lt;http://www.w3.org/2002/07/owl#&gt;
SELECT { 
    (PREFIX ns2: &lt;http://dbkwik.webdatacommons.org/marvelcinematicuniverse wikia.com/affiliation(s)&gt; ns2: "S.H.I.E.L.D.")
}
```</t>
  </si>
  <si>
    <t>model='llama3.2:latest' created_at='2025-11-18T03:37:56.52795603Z' done=True done_reason='stop' total_duration=146009399922 load_duration=843521284 prompt_eval_count=107808 prompt_eval_duration=139692856287 eval_count=162 eval_duration=5019460395 message=Message(role='assistant', content='```sparql\nPREFIX ns1: &lt;http://dbkwik.webdatacommons.org/marvelcinematicuniverse.wikia.com/property/&gt;\nPREFIX owl: &lt;http://www.w3.org/2002/07/owl#&gt;\n\nSELECT ?q WHERE {\n    ?q a owl:Class .\n}\n```\n\n```sparql\nPREFIX ns1: &lt;http://dbkwik.webdatacommons.org/marvelcinematicuniverse.wikia.com/property/&gt;\nPREFIX owl: &lt;http://www.w3.org/2002/07/owl#&gt;\n\nSELECT { \n    (PREFIX ns2: &lt;http://dbkwik.webdatacommons.org/marvelcinematicuniverse wikia.com/affiliation(s)&gt; ns2: "S.H.I.E.L.D.")\n}\n```',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</si>
  <si>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rdf: &lt;http://www.w3.org/1999/02/22-rdf-syntax-ns#&gt;
PREFIX rdfs: &lt;http://www.w3.org/2000/01/rdf-schema#&gt;
PREFIX skos: &lt;http://www.w3.org/2004/02/skos/core#&gt;
PREFIX xsd: &lt;http://www.w3.org/2001/XMLSchema#&gt;
PREFIX ns1: &lt;http://dbkwik.webdatacommons.org/marvelcinematicuniverse.wikia.com/property/&gt;
PREFIX owl: &lt;http://www.w3.org/2002/07/owl#&gt;
SELECT ?q WHERE {
    ?q a owl:Class .
}</t>
  </si>
  <si>
    <t>{
  "cq_text": "Who are all the other characters connected via shared movie appearances for each of the characters (character co-appearance network)?",
  "syntax_ok": true,
  "satisfiable": true,
  "deterministic": true,
  "latency": {
    "p50_ms": 15.85,
    "p95_ms": 19.26,
    "mean_ms": 14.89
  },
  "rows": 55,
  "vars": 0,
  "always_unbound_vars": [],
  "lexical_query_overlap": 0.0,
  "semantic_similarity_to_CQ": 0.6,
  "semantic_soft_coverage_to_CQ": 0.67,
  "tuple_cohesion": null,
  "variables": []
}</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</si>
  <si>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</si>
  <si>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
prefix ns1: &lt;http://dbkwik.webdatacommons.org/marvelcinematicuniverse.wikia.com/property/&gt;
SELECT ?s ?label 
WHERE {
  ?s ns1:director "Anthony Russo" .
  ?s ns1:publisher "&lt;http://www.w3.org/ns/prov#WasDerivedFrom&gt;" [http://marvel.wikia.com/wiki/Marvel%27s_Agent_Carter] ;
  ?s ns1:released "2015-07-29"^^xsd:date.
}
```</t>
  </si>
  <si>
    <t>model='llama3.2:latest' created_at='2025-11-18T03:40:21.348840023Z' done=True done_reason='stop' total_duration=144538078980 load_duration=901913585 prompt_eval_count=107822 prompt_eval_duration=139704098292 eval_count=114 eval_duration=3523572325 message=Message(role='assistant', content='```\nprefix ns1: &lt;http://dbkwik.webdatacommons.org/marvelcinematicuniverse.wikia.com/property/&gt;\n\nSELECT ?s ?label \nWHERE {\n  ?s ns1:director "Anthony Russo" .\n  ?s ns1:publisher "&lt;http://www.w3.org/ns/prov#WasDerivedFrom&gt;" [http://marvel.wikia.com/wiki/Marvel%27s_Agent_Carter] ;\n  ?s ns1:released "2015-07-29"^^xsd:date.\n}\n```',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</si>
  <si>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?s ?label 
WHERE {
  ?s ns1:director "Anthony Russo" .
  ?s ns1:publisher "&lt;http://www.w3.org/ns/prov#WasDerivedFrom&gt;" [http://marvel.wikia.com/wiki/Marvel%27s_Agent_Carter] ;
  ?s ns1:released "2015-07-29"^^xsd:date.
}</t>
  </si>
  <si>
    <t>ERROR: QueryBadFormed: A bad request has been sent to the endpoint: probably the SPARQL query is badly formed. 
Response:
b'Parse error: Encountered " "[" "[ "" at line 15, column 65.\n'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</si>
</sst>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70</v>
      </c>
      <c r="C2" t="s">
        <v>71</v>
      </c>
      <c r="D2" t="s">
        <v>72</v>
      </c>
      <c r="E2" t="s">
        <v>73</v>
      </c>
      <c r="F2" t="s">
        <v>74</v>
      </c>
      <c r="G2" t="b">
        <v>0</v>
      </c>
      <c r="H2" t="b">
        <v>0</v>
      </c>
      <c r="I2" t="b">
        <v>0</v>
      </c>
      <c r="J2">
        <v>0</v>
      </c>
      <c r="K2">
        <v>0</v>
      </c>
      <c r="O2">
        <v>0</v>
      </c>
      <c r="P2">
        <v>0</v>
      </c>
      <c r="Q2">
        <v>0</v>
      </c>
      <c r="R2">
        <v>0</v>
      </c>
      <c r="S2" t="s">
        <v>26</v>
      </c>
      <c r="T2" t="s">
        <v>26</v>
      </c>
      <c r="U2" t="s">
        <v>27</v>
      </c>
      <c r="V2">
        <v>0</v>
      </c>
      <c r="W2">
        <v>0</v>
      </c>
      <c r="X2">
        <v>0</v>
      </c>
      <c r="Y2">
        <v>0</v>
      </c>
    </row>
    <row r="3" spans="1:25" x14ac:dyDescent="0.2">
      <c r="A3" t="s">
        <v>28</v>
      </c>
      <c r="B3" t="s">
        <v>75</v>
      </c>
      <c r="C3" t="s">
        <v>76</v>
      </c>
      <c r="D3" t="s">
        <v>77</v>
      </c>
      <c r="E3" t="s">
        <v>78</v>
      </c>
      <c r="F3" t="s">
        <v>79</v>
      </c>
      <c r="G3" t="b">
        <v>0</v>
      </c>
      <c r="H3" t="b">
        <v>0</v>
      </c>
      <c r="I3" t="b">
        <v>0</v>
      </c>
      <c r="J3">
        <v>0</v>
      </c>
      <c r="K3">
        <v>0</v>
      </c>
      <c r="O3">
        <v>0</v>
      </c>
      <c r="P3">
        <v>0</v>
      </c>
      <c r="Q3">
        <v>0</v>
      </c>
      <c r="R3">
        <v>0</v>
      </c>
      <c r="S3" t="s">
        <v>26</v>
      </c>
      <c r="T3" t="s">
        <v>26</v>
      </c>
      <c r="U3" t="s">
        <v>27</v>
      </c>
      <c r="V3">
        <v>0</v>
      </c>
      <c r="W3">
        <v>0</v>
      </c>
      <c r="X3">
        <v>0</v>
      </c>
      <c r="Y3">
        <v>0</v>
      </c>
    </row>
    <row r="4" spans="1:25" x14ac:dyDescent="0.2">
      <c r="A4" t="s">
        <v>29</v>
      </c>
      <c r="B4" t="s">
        <v>80</v>
      </c>
      <c r="C4" t="s">
        <v>81</v>
      </c>
      <c r="D4" t="s">
        <v>82</v>
      </c>
      <c r="E4" t="s">
        <v>83</v>
      </c>
      <c r="F4" t="s">
        <v>84</v>
      </c>
      <c r="G4" t="b">
        <v>1</v>
      </c>
      <c r="H4" t="b">
        <v>1</v>
      </c>
      <c r="I4" t="b">
        <v>1</v>
      </c>
      <c r="J4">
        <v>2262</v>
      </c>
      <c r="K4">
        <v>0</v>
      </c>
      <c r="L4">
        <v>82.55</v>
      </c>
      <c r="M4">
        <v>83.16</v>
      </c>
      <c r="N4">
        <v>77.959999999999994</v>
      </c>
      <c r="O4">
        <v>0.04</v>
      </c>
      <c r="P4">
        <v>0.7</v>
      </c>
      <c r="Q4">
        <v>0.75</v>
      </c>
      <c r="S4" t="s">
        <v>26</v>
      </c>
      <c r="T4" t="s">
        <v>26</v>
      </c>
      <c r="U4" t="s">
        <v>27</v>
      </c>
      <c r="V4">
        <v>1</v>
      </c>
      <c r="W4">
        <v>1</v>
      </c>
      <c r="X4">
        <v>1</v>
      </c>
      <c r="Y4">
        <v>0.5</v>
      </c>
    </row>
    <row r="5" spans="1:25" x14ac:dyDescent="0.2">
      <c r="A5" t="s">
        <v>30</v>
      </c>
      <c r="B5" t="s">
        <v>85</v>
      </c>
      <c r="C5" t="s">
        <v>86</v>
      </c>
      <c r="D5" t="s">
        <v>87</v>
      </c>
      <c r="E5" t="s">
        <v>88</v>
      </c>
      <c r="F5" t="s">
        <v>89</v>
      </c>
      <c r="G5" t="b">
        <v>1</v>
      </c>
      <c r="H5" t="b">
        <v>1</v>
      </c>
      <c r="I5" t="b">
        <v>1</v>
      </c>
      <c r="J5">
        <v>18905</v>
      </c>
      <c r="K5">
        <v>0</v>
      </c>
      <c r="L5">
        <v>603.29</v>
      </c>
      <c r="M5">
        <v>812.4</v>
      </c>
      <c r="N5">
        <v>652.85</v>
      </c>
      <c r="O5">
        <v>0</v>
      </c>
      <c r="P5">
        <v>0.56000000000000005</v>
      </c>
      <c r="Q5">
        <v>0.65</v>
      </c>
      <c r="S5" t="s">
        <v>26</v>
      </c>
      <c r="T5" t="s">
        <v>26</v>
      </c>
      <c r="U5" t="s">
        <v>27</v>
      </c>
      <c r="V5">
        <v>1</v>
      </c>
      <c r="W5">
        <v>1</v>
      </c>
      <c r="X5">
        <v>1</v>
      </c>
      <c r="Y5">
        <v>0.5</v>
      </c>
    </row>
    <row r="6" spans="1:25" x14ac:dyDescent="0.2">
      <c r="A6" t="s">
        <v>31</v>
      </c>
      <c r="B6" t="s">
        <v>90</v>
      </c>
      <c r="C6" t="s">
        <v>91</v>
      </c>
      <c r="D6" t="s">
        <v>92</v>
      </c>
      <c r="E6" t="s">
        <v>93</v>
      </c>
      <c r="F6" t="s">
        <v>94</v>
      </c>
      <c r="G6" t="b">
        <v>0</v>
      </c>
      <c r="H6" t="b">
        <v>0</v>
      </c>
      <c r="I6" t="b">
        <v>0</v>
      </c>
      <c r="J6">
        <v>0</v>
      </c>
      <c r="K6">
        <v>0</v>
      </c>
      <c r="O6">
        <v>0</v>
      </c>
      <c r="P6">
        <v>0</v>
      </c>
      <c r="Q6">
        <v>0</v>
      </c>
      <c r="R6">
        <v>0</v>
      </c>
      <c r="S6" t="s">
        <v>26</v>
      </c>
      <c r="T6" t="s">
        <v>26</v>
      </c>
      <c r="U6" t="s">
        <v>27</v>
      </c>
      <c r="V6">
        <v>0</v>
      </c>
      <c r="W6">
        <v>0</v>
      </c>
      <c r="X6">
        <v>0</v>
      </c>
      <c r="Y6">
        <v>0</v>
      </c>
    </row>
    <row r="7" spans="1:25" x14ac:dyDescent="0.2">
      <c r="A7" t="s">
        <v>32</v>
      </c>
      <c r="B7" t="s">
        <v>95</v>
      </c>
      <c r="C7" t="s">
        <v>96</v>
      </c>
      <c r="D7" t="s">
        <v>97</v>
      </c>
      <c r="E7" t="s">
        <v>98</v>
      </c>
      <c r="F7" t="s">
        <v>74</v>
      </c>
      <c r="G7" t="b">
        <v>0</v>
      </c>
      <c r="H7" t="b">
        <v>0</v>
      </c>
      <c r="I7" t="b">
        <v>0</v>
      </c>
      <c r="J7">
        <v>0</v>
      </c>
      <c r="K7">
        <v>0</v>
      </c>
      <c r="O7">
        <v>0</v>
      </c>
      <c r="P7">
        <v>0</v>
      </c>
      <c r="Q7">
        <v>0</v>
      </c>
      <c r="R7">
        <v>0</v>
      </c>
      <c r="S7" t="s">
        <v>26</v>
      </c>
      <c r="T7" t="s">
        <v>26</v>
      </c>
      <c r="U7" t="s">
        <v>27</v>
      </c>
      <c r="V7">
        <v>0</v>
      </c>
      <c r="W7">
        <v>0</v>
      </c>
      <c r="X7">
        <v>0</v>
      </c>
      <c r="Y7">
        <v>0</v>
      </c>
    </row>
    <row r="8" spans="1:25" x14ac:dyDescent="0.2">
      <c r="A8" t="s">
        <v>33</v>
      </c>
      <c r="B8" t="s">
        <v>99</v>
      </c>
      <c r="C8" t="s">
        <v>100</v>
      </c>
      <c r="D8" t="s">
        <v>101</v>
      </c>
      <c r="E8" t="s">
        <v>102</v>
      </c>
      <c r="F8" t="s">
        <v>103</v>
      </c>
      <c r="G8" t="b">
        <v>0</v>
      </c>
      <c r="H8" t="b">
        <v>0</v>
      </c>
      <c r="I8" t="b">
        <v>0</v>
      </c>
      <c r="J8">
        <v>0</v>
      </c>
      <c r="K8">
        <v>0</v>
      </c>
      <c r="O8">
        <v>0</v>
      </c>
      <c r="P8">
        <v>0</v>
      </c>
      <c r="Q8">
        <v>0</v>
      </c>
      <c r="R8">
        <v>0</v>
      </c>
      <c r="S8" t="s">
        <v>26</v>
      </c>
      <c r="T8" t="s">
        <v>26</v>
      </c>
      <c r="U8" t="s">
        <v>27</v>
      </c>
      <c r="V8">
        <v>0</v>
      </c>
      <c r="W8">
        <v>0</v>
      </c>
      <c r="X8">
        <v>0</v>
      </c>
      <c r="Y8">
        <v>0</v>
      </c>
    </row>
    <row r="9" spans="1:25" x14ac:dyDescent="0.2">
      <c r="A9" t="s">
        <v>34</v>
      </c>
      <c r="B9" t="s">
        <v>104</v>
      </c>
      <c r="C9" t="s">
        <v>105</v>
      </c>
      <c r="D9" t="s">
        <v>106</v>
      </c>
      <c r="E9" t="s">
        <v>107</v>
      </c>
      <c r="F9" t="s">
        <v>108</v>
      </c>
      <c r="G9" t="b">
        <v>0</v>
      </c>
      <c r="H9" t="b">
        <v>0</v>
      </c>
      <c r="I9" t="b">
        <v>0</v>
      </c>
      <c r="J9">
        <v>0</v>
      </c>
      <c r="K9">
        <v>0</v>
      </c>
      <c r="O9">
        <v>0</v>
      </c>
      <c r="P9">
        <v>0</v>
      </c>
      <c r="Q9">
        <v>0</v>
      </c>
      <c r="R9">
        <v>0</v>
      </c>
      <c r="S9" t="s">
        <v>26</v>
      </c>
      <c r="T9" t="s">
        <v>26</v>
      </c>
      <c r="U9" t="s">
        <v>27</v>
      </c>
      <c r="V9">
        <v>0</v>
      </c>
      <c r="W9">
        <v>0</v>
      </c>
      <c r="X9">
        <v>0</v>
      </c>
      <c r="Y9">
        <v>0</v>
      </c>
    </row>
    <row r="10" spans="1:25" x14ac:dyDescent="0.2">
      <c r="A10" t="s">
        <v>35</v>
      </c>
      <c r="B10" t="s">
        <v>109</v>
      </c>
      <c r="C10" t="s">
        <v>110</v>
      </c>
      <c r="D10" t="s">
        <v>111</v>
      </c>
      <c r="E10" t="s">
        <v>112</v>
      </c>
      <c r="F10" t="s">
        <v>113</v>
      </c>
      <c r="G10" t="b">
        <v>1</v>
      </c>
      <c r="H10" t="b">
        <v>1</v>
      </c>
      <c r="I10" t="b">
        <v>1</v>
      </c>
      <c r="J10">
        <v>257266</v>
      </c>
      <c r="K10">
        <v>0</v>
      </c>
      <c r="L10">
        <v>9589.59</v>
      </c>
      <c r="M10">
        <v>9702.8700000000008</v>
      </c>
      <c r="N10">
        <v>9511.35</v>
      </c>
      <c r="O10">
        <v>0</v>
      </c>
      <c r="P10">
        <v>0.56000000000000005</v>
      </c>
      <c r="Q10">
        <v>0.64</v>
      </c>
      <c r="S10" t="s">
        <v>26</v>
      </c>
      <c r="T10" t="s">
        <v>26</v>
      </c>
      <c r="U10" t="s">
        <v>27</v>
      </c>
      <c r="V10">
        <v>1</v>
      </c>
      <c r="W10">
        <v>1</v>
      </c>
      <c r="X10">
        <v>1</v>
      </c>
      <c r="Y10">
        <v>0.5</v>
      </c>
    </row>
    <row r="11" spans="1:25" x14ac:dyDescent="0.2">
      <c r="A11" t="s">
        <v>36</v>
      </c>
      <c r="B11" t="s">
        <v>114</v>
      </c>
      <c r="C11" t="s">
        <v>115</v>
      </c>
      <c r="D11" t="s">
        <v>116</v>
      </c>
      <c r="E11" t="s">
        <v>117</v>
      </c>
      <c r="F11" t="s">
        <v>118</v>
      </c>
      <c r="G11" t="b">
        <v>0</v>
      </c>
      <c r="H11" t="b">
        <v>0</v>
      </c>
      <c r="I11" t="b">
        <v>0</v>
      </c>
      <c r="J11">
        <v>0</v>
      </c>
      <c r="K11">
        <v>0</v>
      </c>
      <c r="O11">
        <v>0</v>
      </c>
      <c r="P11">
        <v>0</v>
      </c>
      <c r="Q11">
        <v>0</v>
      </c>
      <c r="R11">
        <v>0</v>
      </c>
      <c r="S11" t="s">
        <v>26</v>
      </c>
      <c r="T11" t="s">
        <v>26</v>
      </c>
      <c r="U11" t="s">
        <v>27</v>
      </c>
      <c r="V11">
        <v>0</v>
      </c>
      <c r="W11">
        <v>0</v>
      </c>
      <c r="X11">
        <v>0</v>
      </c>
      <c r="Y11">
        <v>0</v>
      </c>
    </row>
    <row r="12" spans="1:25" x14ac:dyDescent="0.2">
      <c r="A12" t="s">
        <v>37</v>
      </c>
      <c r="B12" t="s">
        <v>119</v>
      </c>
      <c r="C12" t="s">
        <v>120</v>
      </c>
      <c r="D12" t="s">
        <v>121</v>
      </c>
      <c r="E12" t="s">
        <v>122</v>
      </c>
      <c r="F12" t="s">
        <v>123</v>
      </c>
      <c r="G12" t="b">
        <v>0</v>
      </c>
      <c r="H12" t="b">
        <v>0</v>
      </c>
      <c r="I12" t="b">
        <v>0</v>
      </c>
      <c r="J12">
        <v>0</v>
      </c>
      <c r="K12">
        <v>0</v>
      </c>
      <c r="O12">
        <v>0</v>
      </c>
      <c r="P12">
        <v>0</v>
      </c>
      <c r="Q12">
        <v>0</v>
      </c>
      <c r="R12">
        <v>0</v>
      </c>
      <c r="S12" t="s">
        <v>26</v>
      </c>
      <c r="T12" t="s">
        <v>26</v>
      </c>
      <c r="U12" t="s">
        <v>27</v>
      </c>
      <c r="V12">
        <v>0</v>
      </c>
      <c r="W12">
        <v>0</v>
      </c>
      <c r="X12">
        <v>0</v>
      </c>
      <c r="Y12">
        <v>0</v>
      </c>
    </row>
    <row r="13" spans="1:25" x14ac:dyDescent="0.2">
      <c r="A13" t="s">
        <v>38</v>
      </c>
      <c r="B13" t="s">
        <v>124</v>
      </c>
      <c r="C13" t="s">
        <v>125</v>
      </c>
      <c r="D13" t="s">
        <v>126</v>
      </c>
      <c r="E13" t="s">
        <v>127</v>
      </c>
      <c r="F13" t="s">
        <v>128</v>
      </c>
      <c r="G13" t="b">
        <v>0</v>
      </c>
      <c r="H13" t="b">
        <v>0</v>
      </c>
      <c r="I13" t="b">
        <v>0</v>
      </c>
      <c r="J13">
        <v>0</v>
      </c>
      <c r="K13">
        <v>0</v>
      </c>
      <c r="O13">
        <v>0</v>
      </c>
      <c r="P13">
        <v>0</v>
      </c>
      <c r="Q13">
        <v>0</v>
      </c>
      <c r="R13">
        <v>0</v>
      </c>
      <c r="S13" t="s">
        <v>26</v>
      </c>
      <c r="T13" t="s">
        <v>26</v>
      </c>
      <c r="U13" t="s">
        <v>27</v>
      </c>
      <c r="V13">
        <v>0</v>
      </c>
      <c r="W13">
        <v>0</v>
      </c>
      <c r="X13">
        <v>0</v>
      </c>
      <c r="Y13">
        <v>0</v>
      </c>
    </row>
    <row r="14" spans="1:25" x14ac:dyDescent="0.2">
      <c r="A14" t="s">
        <v>39</v>
      </c>
      <c r="B14" t="s">
        <v>129</v>
      </c>
      <c r="C14" t="s">
        <v>130</v>
      </c>
      <c r="D14" t="s">
        <v>131</v>
      </c>
      <c r="E14" t="s">
        <v>132</v>
      </c>
      <c r="F14" t="s">
        <v>133</v>
      </c>
      <c r="G14" t="b">
        <v>0</v>
      </c>
      <c r="H14" t="b">
        <v>0</v>
      </c>
      <c r="I14" t="b">
        <v>0</v>
      </c>
      <c r="J14">
        <v>0</v>
      </c>
      <c r="K14">
        <v>0</v>
      </c>
      <c r="O14">
        <v>0</v>
      </c>
      <c r="P14">
        <v>0</v>
      </c>
      <c r="Q14">
        <v>0</v>
      </c>
      <c r="R14">
        <v>0</v>
      </c>
      <c r="S14" t="s">
        <v>26</v>
      </c>
      <c r="T14" t="s">
        <v>26</v>
      </c>
      <c r="U14" t="s">
        <v>41</v>
      </c>
      <c r="V14">
        <v>0</v>
      </c>
      <c r="W14">
        <v>0</v>
      </c>
      <c r="X14">
        <v>0</v>
      </c>
      <c r="Y14">
        <v>0</v>
      </c>
    </row>
    <row r="15" spans="1:25" x14ac:dyDescent="0.2">
      <c r="A15" t="s">
        <v>40</v>
      </c>
      <c r="B15" t="s">
        <v>134</v>
      </c>
      <c r="C15" t="s">
        <v>135</v>
      </c>
      <c r="D15" t="s">
        <v>136</v>
      </c>
      <c r="E15" t="s">
        <v>137</v>
      </c>
      <c r="F15" t="s">
        <v>138</v>
      </c>
      <c r="G15" t="b">
        <v>1</v>
      </c>
      <c r="H15" t="b">
        <v>0</v>
      </c>
      <c r="I15" t="b">
        <v>1</v>
      </c>
      <c r="J15">
        <v>0</v>
      </c>
      <c r="K15">
        <v>0</v>
      </c>
      <c r="L15">
        <v>12.63</v>
      </c>
      <c r="M15">
        <v>12.65</v>
      </c>
      <c r="N15">
        <v>12.55</v>
      </c>
      <c r="O15">
        <v>0</v>
      </c>
      <c r="P15">
        <v>0.56999999999999995</v>
      </c>
      <c r="Q15">
        <v>0.71</v>
      </c>
      <c r="S15" t="s">
        <v>26</v>
      </c>
      <c r="T15" t="s">
        <v>26</v>
      </c>
      <c r="U15" t="s">
        <v>41</v>
      </c>
      <c r="V15">
        <v>1</v>
      </c>
      <c r="W15">
        <v>0</v>
      </c>
      <c r="X15">
        <v>0.5</v>
      </c>
      <c r="Y15">
        <v>0.5</v>
      </c>
    </row>
    <row r="16" spans="1:25" x14ac:dyDescent="0.2">
      <c r="A16" t="s">
        <v>42</v>
      </c>
      <c r="B16" t="s">
        <v>139</v>
      </c>
      <c r="C16" t="s">
        <v>140</v>
      </c>
      <c r="D16" t="s">
        <v>141</v>
      </c>
      <c r="E16" t="s">
        <v>142</v>
      </c>
      <c r="F16" t="s">
        <v>143</v>
      </c>
      <c r="G16" t="b">
        <v>1</v>
      </c>
      <c r="H16" t="b">
        <v>1</v>
      </c>
      <c r="I16" t="b">
        <v>1</v>
      </c>
      <c r="J16">
        <v>1225115</v>
      </c>
      <c r="K16">
        <v>0</v>
      </c>
      <c r="L16">
        <v>27504.29</v>
      </c>
      <c r="M16">
        <v>28668.66</v>
      </c>
      <c r="N16">
        <v>27861.05</v>
      </c>
      <c r="O16">
        <v>0</v>
      </c>
      <c r="P16">
        <v>0.57999999999999996</v>
      </c>
      <c r="Q16">
        <v>0.69</v>
      </c>
      <c r="S16" t="s">
        <v>26</v>
      </c>
      <c r="T16" t="s">
        <v>26</v>
      </c>
      <c r="U16" t="s">
        <v>41</v>
      </c>
      <c r="V16">
        <v>1</v>
      </c>
      <c r="W16">
        <v>1</v>
      </c>
      <c r="X16">
        <v>1</v>
      </c>
      <c r="Y16">
        <v>0.5</v>
      </c>
    </row>
    <row r="17" spans="1:25" x14ac:dyDescent="0.2">
      <c r="A17" t="s">
        <v>43</v>
      </c>
      <c r="B17" t="s">
        <v>144</v>
      </c>
      <c r="C17" t="s">
        <v>145</v>
      </c>
      <c r="D17" t="s">
        <v>146</v>
      </c>
      <c r="E17" t="s">
        <v>147</v>
      </c>
      <c r="F17" t="s">
        <v>148</v>
      </c>
      <c r="G17" t="b">
        <v>1</v>
      </c>
      <c r="H17" t="b">
        <v>1</v>
      </c>
      <c r="I17" t="b">
        <v>1</v>
      </c>
      <c r="J17">
        <v>55</v>
      </c>
      <c r="K17">
        <v>1</v>
      </c>
      <c r="L17">
        <v>10.56</v>
      </c>
      <c r="M17">
        <v>10.71</v>
      </c>
      <c r="N17">
        <v>10.55</v>
      </c>
      <c r="O17">
        <v>0</v>
      </c>
      <c r="P17">
        <v>0.55000000000000004</v>
      </c>
      <c r="Q17">
        <v>0.68</v>
      </c>
      <c r="R17">
        <v>0.53</v>
      </c>
      <c r="S17" t="s">
        <v>26</v>
      </c>
      <c r="T17" t="s">
        <v>149</v>
      </c>
      <c r="U17" t="s">
        <v>41</v>
      </c>
      <c r="V17">
        <v>1</v>
      </c>
      <c r="W17">
        <v>1</v>
      </c>
      <c r="X17">
        <v>1</v>
      </c>
      <c r="Y17">
        <v>0.82333333333333325</v>
      </c>
    </row>
    <row r="18" spans="1:25" x14ac:dyDescent="0.2">
      <c r="A18" t="s">
        <v>44</v>
      </c>
      <c r="B18" t="s">
        <v>150</v>
      </c>
      <c r="C18" t="s">
        <v>151</v>
      </c>
      <c r="D18" t="s">
        <v>152</v>
      </c>
      <c r="E18" t="s">
        <v>153</v>
      </c>
      <c r="F18" t="s">
        <v>154</v>
      </c>
      <c r="G18" t="b">
        <v>0</v>
      </c>
      <c r="H18" t="b">
        <v>0</v>
      </c>
      <c r="I18" t="b">
        <v>0</v>
      </c>
      <c r="J18">
        <v>0</v>
      </c>
      <c r="K18">
        <v>0</v>
      </c>
      <c r="O18">
        <v>0</v>
      </c>
      <c r="P18">
        <v>0</v>
      </c>
      <c r="Q18">
        <v>0</v>
      </c>
      <c r="R18">
        <v>0</v>
      </c>
      <c r="S18" t="s">
        <v>26</v>
      </c>
      <c r="T18" t="s">
        <v>26</v>
      </c>
      <c r="U18" t="s">
        <v>41</v>
      </c>
      <c r="V18">
        <v>0</v>
      </c>
      <c r="W18">
        <v>0</v>
      </c>
      <c r="X18">
        <v>0</v>
      </c>
      <c r="Y18">
        <v>0</v>
      </c>
    </row>
    <row r="19" spans="1:25" x14ac:dyDescent="0.2">
      <c r="A19" t="s">
        <v>45</v>
      </c>
      <c r="B19" t="s">
        <v>155</v>
      </c>
      <c r="C19" t="s">
        <v>156</v>
      </c>
      <c r="D19" t="s">
        <v>157</v>
      </c>
      <c r="E19" t="s">
        <v>158</v>
      </c>
      <c r="F19" t="s">
        <v>159</v>
      </c>
      <c r="G19" t="b">
        <v>1</v>
      </c>
      <c r="H19" t="b">
        <v>0</v>
      </c>
      <c r="I19" t="b">
        <v>1</v>
      </c>
      <c r="J19">
        <v>0</v>
      </c>
      <c r="K19">
        <v>1</v>
      </c>
      <c r="L19">
        <v>17.11</v>
      </c>
      <c r="M19">
        <v>17.29</v>
      </c>
      <c r="N19">
        <v>16.25</v>
      </c>
      <c r="O19">
        <v>0</v>
      </c>
      <c r="P19">
        <v>0.65</v>
      </c>
      <c r="Q19">
        <v>0.66</v>
      </c>
      <c r="S19" t="s">
        <v>160</v>
      </c>
      <c r="T19" t="s">
        <v>161</v>
      </c>
      <c r="U19" t="s">
        <v>41</v>
      </c>
      <c r="V19">
        <v>1</v>
      </c>
      <c r="W19">
        <v>0</v>
      </c>
      <c r="X19">
        <v>0.5</v>
      </c>
      <c r="Y19">
        <v>0.33333333333333331</v>
      </c>
    </row>
    <row r="20" spans="1:25" x14ac:dyDescent="0.2">
      <c r="A20" t="s">
        <v>46</v>
      </c>
      <c r="B20" t="s">
        <v>162</v>
      </c>
      <c r="C20" t="s">
        <v>163</v>
      </c>
      <c r="D20" t="s">
        <v>164</v>
      </c>
      <c r="E20" t="s">
        <v>165</v>
      </c>
      <c r="F20" t="s">
        <v>166</v>
      </c>
      <c r="G20" t="b">
        <v>0</v>
      </c>
      <c r="H20" t="b">
        <v>0</v>
      </c>
      <c r="I20" t="b">
        <v>0</v>
      </c>
      <c r="J20">
        <v>0</v>
      </c>
      <c r="K20">
        <v>0</v>
      </c>
      <c r="O20">
        <v>0</v>
      </c>
      <c r="P20">
        <v>0</v>
      </c>
      <c r="Q20">
        <v>0</v>
      </c>
      <c r="R20">
        <v>0</v>
      </c>
      <c r="S20" t="s">
        <v>26</v>
      </c>
      <c r="T20" t="s">
        <v>26</v>
      </c>
      <c r="U20" t="s">
        <v>41</v>
      </c>
      <c r="V20">
        <v>0</v>
      </c>
      <c r="W20">
        <v>0</v>
      </c>
      <c r="X20">
        <v>0</v>
      </c>
      <c r="Y20">
        <v>0</v>
      </c>
    </row>
    <row r="21" spans="1:25" x14ac:dyDescent="0.2">
      <c r="A21" t="s">
        <v>47</v>
      </c>
      <c r="B21" t="s">
        <v>167</v>
      </c>
      <c r="C21" t="s">
        <v>168</v>
      </c>
      <c r="D21" t="s">
        <v>169</v>
      </c>
      <c r="E21" t="s">
        <v>170</v>
      </c>
      <c r="F21" t="s">
        <v>171</v>
      </c>
      <c r="G21" t="b">
        <v>0</v>
      </c>
      <c r="H21" t="b">
        <v>0</v>
      </c>
      <c r="I21" t="b">
        <v>0</v>
      </c>
      <c r="J21">
        <v>0</v>
      </c>
      <c r="K21">
        <v>0</v>
      </c>
      <c r="O21">
        <v>0</v>
      </c>
      <c r="P21">
        <v>0</v>
      </c>
      <c r="Q21">
        <v>0</v>
      </c>
      <c r="R21">
        <v>0</v>
      </c>
      <c r="S21" t="s">
        <v>26</v>
      </c>
      <c r="T21" t="s">
        <v>26</v>
      </c>
      <c r="U21" t="s">
        <v>41</v>
      </c>
      <c r="V21">
        <v>0</v>
      </c>
      <c r="W21">
        <v>0</v>
      </c>
      <c r="X21">
        <v>0</v>
      </c>
      <c r="Y21">
        <v>0</v>
      </c>
    </row>
    <row r="22" spans="1:25" x14ac:dyDescent="0.2">
      <c r="A22" t="s">
        <v>48</v>
      </c>
      <c r="B22" t="s">
        <v>172</v>
      </c>
      <c r="C22" t="s">
        <v>173</v>
      </c>
      <c r="D22" t="s">
        <v>174</v>
      </c>
      <c r="E22" t="s">
        <v>175</v>
      </c>
      <c r="F22" t="s">
        <v>176</v>
      </c>
      <c r="G22" t="b">
        <v>0</v>
      </c>
      <c r="H22" t="b">
        <v>0</v>
      </c>
      <c r="I22" t="b">
        <v>0</v>
      </c>
      <c r="J22">
        <v>0</v>
      </c>
      <c r="K22">
        <v>0</v>
      </c>
      <c r="O22">
        <v>0</v>
      </c>
      <c r="P22">
        <v>0</v>
      </c>
      <c r="Q22">
        <v>0</v>
      </c>
      <c r="R22">
        <v>0</v>
      </c>
      <c r="S22" t="s">
        <v>26</v>
      </c>
      <c r="T22" t="s">
        <v>26</v>
      </c>
      <c r="U22" t="s">
        <v>41</v>
      </c>
      <c r="V22">
        <v>0</v>
      </c>
      <c r="W22">
        <v>0</v>
      </c>
      <c r="X22">
        <v>0</v>
      </c>
      <c r="Y22">
        <v>0</v>
      </c>
    </row>
    <row r="23" spans="1:25" x14ac:dyDescent="0.2">
      <c r="A23" t="s">
        <v>49</v>
      </c>
      <c r="B23" t="s">
        <v>177</v>
      </c>
      <c r="C23" t="s">
        <v>178</v>
      </c>
      <c r="D23" t="s">
        <v>179</v>
      </c>
      <c r="E23" t="s">
        <v>180</v>
      </c>
      <c r="F23" t="s">
        <v>181</v>
      </c>
      <c r="G23" t="b">
        <v>0</v>
      </c>
      <c r="H23" t="b">
        <v>0</v>
      </c>
      <c r="I23" t="b">
        <v>0</v>
      </c>
      <c r="J23">
        <v>0</v>
      </c>
      <c r="K23">
        <v>0</v>
      </c>
      <c r="O23">
        <v>0</v>
      </c>
      <c r="P23">
        <v>0</v>
      </c>
      <c r="Q23">
        <v>0</v>
      </c>
      <c r="R23">
        <v>0</v>
      </c>
      <c r="S23" t="s">
        <v>26</v>
      </c>
      <c r="T23" t="s">
        <v>26</v>
      </c>
      <c r="U23" t="s">
        <v>41</v>
      </c>
      <c r="V23">
        <v>0</v>
      </c>
      <c r="W23">
        <v>0</v>
      </c>
      <c r="X23">
        <v>0</v>
      </c>
      <c r="Y23">
        <v>0</v>
      </c>
    </row>
    <row r="24" spans="1:25" x14ac:dyDescent="0.2">
      <c r="A24" t="s">
        <v>50</v>
      </c>
      <c r="B24" t="s">
        <v>182</v>
      </c>
      <c r="C24" t="s">
        <v>183</v>
      </c>
      <c r="D24" t="s">
        <v>184</v>
      </c>
      <c r="E24" t="s">
        <v>185</v>
      </c>
      <c r="F24" t="s">
        <v>186</v>
      </c>
      <c r="G24" t="b">
        <v>0</v>
      </c>
      <c r="H24" t="b">
        <v>0</v>
      </c>
      <c r="I24" t="b">
        <v>0</v>
      </c>
      <c r="J24">
        <v>0</v>
      </c>
      <c r="K24">
        <v>0</v>
      </c>
      <c r="O24">
        <v>0</v>
      </c>
      <c r="P24">
        <v>0</v>
      </c>
      <c r="Q24">
        <v>0</v>
      </c>
      <c r="R24">
        <v>0</v>
      </c>
      <c r="S24" t="s">
        <v>26</v>
      </c>
      <c r="T24" t="s">
        <v>26</v>
      </c>
      <c r="U24" t="s">
        <v>41</v>
      </c>
      <c r="V24">
        <v>0</v>
      </c>
      <c r="W24">
        <v>0</v>
      </c>
      <c r="X24">
        <v>0</v>
      </c>
      <c r="Y24">
        <v>0</v>
      </c>
    </row>
    <row r="25" spans="1:25" x14ac:dyDescent="0.2">
      <c r="A25" t="s">
        <v>51</v>
      </c>
      <c r="B25" t="s">
        <v>187</v>
      </c>
      <c r="C25" t="s">
        <v>188</v>
      </c>
      <c r="D25" t="s">
        <v>189</v>
      </c>
      <c r="E25" t="s">
        <v>190</v>
      </c>
      <c r="F25" t="s">
        <v>191</v>
      </c>
      <c r="G25" t="b">
        <v>0</v>
      </c>
      <c r="H25" t="b">
        <v>0</v>
      </c>
      <c r="I25" t="b">
        <v>0</v>
      </c>
      <c r="J25">
        <v>0</v>
      </c>
      <c r="K25">
        <v>0</v>
      </c>
      <c r="O25">
        <v>0</v>
      </c>
      <c r="P25">
        <v>0</v>
      </c>
      <c r="Q25">
        <v>0</v>
      </c>
      <c r="R25">
        <v>0</v>
      </c>
      <c r="S25" t="s">
        <v>26</v>
      </c>
      <c r="T25" t="s">
        <v>26</v>
      </c>
      <c r="U25" t="s">
        <v>54</v>
      </c>
      <c r="V25">
        <v>0</v>
      </c>
      <c r="W25">
        <v>0</v>
      </c>
      <c r="X25">
        <v>0</v>
      </c>
      <c r="Y25">
        <v>0</v>
      </c>
    </row>
    <row r="26" spans="1:25" x14ac:dyDescent="0.2">
      <c r="A26" t="s">
        <v>52</v>
      </c>
      <c r="B26" t="s">
        <v>192</v>
      </c>
      <c r="C26" t="s">
        <v>193</v>
      </c>
      <c r="D26" t="s">
        <v>194</v>
      </c>
      <c r="E26" t="s">
        <v>195</v>
      </c>
      <c r="F26" t="s">
        <v>196</v>
      </c>
      <c r="G26" t="b">
        <v>0</v>
      </c>
      <c r="H26" t="b">
        <v>0</v>
      </c>
      <c r="I26" t="b">
        <v>0</v>
      </c>
      <c r="J26">
        <v>0</v>
      </c>
      <c r="K26">
        <v>0</v>
      </c>
      <c r="O26">
        <v>0</v>
      </c>
      <c r="P26">
        <v>0</v>
      </c>
      <c r="Q26">
        <v>0</v>
      </c>
      <c r="R26">
        <v>0</v>
      </c>
      <c r="S26" t="s">
        <v>26</v>
      </c>
      <c r="T26" t="s">
        <v>26</v>
      </c>
      <c r="U26" t="s">
        <v>54</v>
      </c>
      <c r="V26">
        <v>0</v>
      </c>
      <c r="W26">
        <v>0</v>
      </c>
      <c r="X26">
        <v>0</v>
      </c>
      <c r="Y26">
        <v>0</v>
      </c>
    </row>
    <row r="27" spans="1:25" x14ac:dyDescent="0.2">
      <c r="A27" t="s">
        <v>53</v>
      </c>
      <c r="B27" t="s">
        <v>197</v>
      </c>
      <c r="C27" t="s">
        <v>198</v>
      </c>
      <c r="D27" t="s">
        <v>199</v>
      </c>
      <c r="E27" t="s">
        <v>200</v>
      </c>
      <c r="F27" t="s">
        <v>201</v>
      </c>
      <c r="G27" t="b">
        <v>0</v>
      </c>
      <c r="H27" t="b">
        <v>0</v>
      </c>
      <c r="I27" t="b">
        <v>0</v>
      </c>
      <c r="J27">
        <v>0</v>
      </c>
      <c r="K27">
        <v>0</v>
      </c>
      <c r="O27">
        <v>0</v>
      </c>
      <c r="P27">
        <v>0</v>
      </c>
      <c r="Q27">
        <v>0</v>
      </c>
      <c r="R27">
        <v>0</v>
      </c>
      <c r="S27" t="s">
        <v>26</v>
      </c>
      <c r="T27" t="s">
        <v>26</v>
      </c>
      <c r="U27" t="s">
        <v>54</v>
      </c>
      <c r="V27">
        <v>0</v>
      </c>
      <c r="W27">
        <v>0</v>
      </c>
      <c r="X27">
        <v>0</v>
      </c>
      <c r="Y27">
        <v>0</v>
      </c>
    </row>
    <row r="28" spans="1:25" x14ac:dyDescent="0.2">
      <c r="A28" t="s">
        <v>55</v>
      </c>
      <c r="B28" t="s">
        <v>202</v>
      </c>
      <c r="C28" t="s">
        <v>203</v>
      </c>
      <c r="D28" t="s">
        <v>204</v>
      </c>
      <c r="E28" t="s">
        <v>205</v>
      </c>
      <c r="F28" t="s">
        <v>206</v>
      </c>
      <c r="G28" t="b">
        <v>0</v>
      </c>
      <c r="H28" t="b">
        <v>0</v>
      </c>
      <c r="I28" t="b">
        <v>0</v>
      </c>
      <c r="J28">
        <v>0</v>
      </c>
      <c r="K28">
        <v>0</v>
      </c>
      <c r="O28">
        <v>0</v>
      </c>
      <c r="P28">
        <v>0</v>
      </c>
      <c r="Q28">
        <v>0</v>
      </c>
      <c r="R28">
        <v>0</v>
      </c>
      <c r="S28" t="s">
        <v>26</v>
      </c>
      <c r="T28" t="s">
        <v>26</v>
      </c>
      <c r="U28" t="s">
        <v>54</v>
      </c>
      <c r="V28">
        <v>0</v>
      </c>
      <c r="W28">
        <v>0</v>
      </c>
      <c r="X28">
        <v>0</v>
      </c>
      <c r="Y28">
        <v>0</v>
      </c>
    </row>
    <row r="29" spans="1:25" x14ac:dyDescent="0.2">
      <c r="A29" t="s">
        <v>56</v>
      </c>
      <c r="B29" t="s">
        <v>207</v>
      </c>
      <c r="C29" t="s">
        <v>208</v>
      </c>
      <c r="D29" t="s">
        <v>209</v>
      </c>
      <c r="E29" t="s">
        <v>210</v>
      </c>
      <c r="F29" t="s">
        <v>211</v>
      </c>
      <c r="G29" t="b">
        <v>0</v>
      </c>
      <c r="H29" t="b">
        <v>0</v>
      </c>
      <c r="I29" t="b">
        <v>0</v>
      </c>
      <c r="J29">
        <v>0</v>
      </c>
      <c r="K29">
        <v>0</v>
      </c>
      <c r="O29">
        <v>0</v>
      </c>
      <c r="P29">
        <v>0</v>
      </c>
      <c r="Q29">
        <v>0</v>
      </c>
      <c r="R29">
        <v>0</v>
      </c>
      <c r="S29" t="s">
        <v>26</v>
      </c>
      <c r="T29" t="s">
        <v>26</v>
      </c>
      <c r="U29" t="s">
        <v>54</v>
      </c>
      <c r="V29">
        <v>0</v>
      </c>
      <c r="W29">
        <v>0</v>
      </c>
      <c r="X29">
        <v>0</v>
      </c>
      <c r="Y29">
        <v>0</v>
      </c>
    </row>
    <row r="30" spans="1:25" x14ac:dyDescent="0.2">
      <c r="A30" t="s">
        <v>57</v>
      </c>
      <c r="B30" t="s">
        <v>212</v>
      </c>
      <c r="C30" t="s">
        <v>213</v>
      </c>
      <c r="D30" t="s">
        <v>214</v>
      </c>
      <c r="E30" t="s">
        <v>215</v>
      </c>
      <c r="F30" t="s">
        <v>216</v>
      </c>
      <c r="G30" t="b">
        <v>0</v>
      </c>
      <c r="H30" t="b">
        <v>0</v>
      </c>
      <c r="I30" t="b">
        <v>0</v>
      </c>
      <c r="J30">
        <v>0</v>
      </c>
      <c r="K30">
        <v>0</v>
      </c>
      <c r="O30">
        <v>0</v>
      </c>
      <c r="P30">
        <v>0</v>
      </c>
      <c r="Q30">
        <v>0</v>
      </c>
      <c r="R30">
        <v>0</v>
      </c>
      <c r="S30" t="s">
        <v>26</v>
      </c>
      <c r="T30" t="s">
        <v>26</v>
      </c>
      <c r="U30" t="s">
        <v>54</v>
      </c>
      <c r="V30">
        <v>0</v>
      </c>
      <c r="W30">
        <v>0</v>
      </c>
      <c r="X30">
        <v>0</v>
      </c>
      <c r="Y30">
        <v>0</v>
      </c>
    </row>
    <row r="31" spans="1:25" x14ac:dyDescent="0.2">
      <c r="A31" t="s">
        <v>58</v>
      </c>
      <c r="B31" t="s">
        <v>217</v>
      </c>
      <c r="C31" t="s">
        <v>218</v>
      </c>
      <c r="D31" t="s">
        <v>219</v>
      </c>
      <c r="E31" t="s">
        <v>220</v>
      </c>
      <c r="F31" t="s">
        <v>108</v>
      </c>
      <c r="G31" t="b">
        <v>0</v>
      </c>
      <c r="H31" t="b">
        <v>0</v>
      </c>
      <c r="I31" t="b">
        <v>0</v>
      </c>
      <c r="J31">
        <v>0</v>
      </c>
      <c r="K31">
        <v>0</v>
      </c>
      <c r="O31">
        <v>0</v>
      </c>
      <c r="P31">
        <v>0</v>
      </c>
      <c r="Q31">
        <v>0</v>
      </c>
      <c r="R31">
        <v>0</v>
      </c>
      <c r="S31" t="s">
        <v>26</v>
      </c>
      <c r="T31" t="s">
        <v>26</v>
      </c>
      <c r="U31" t="s">
        <v>54</v>
      </c>
      <c r="V31">
        <v>0</v>
      </c>
      <c r="W31">
        <v>0</v>
      </c>
      <c r="X31">
        <v>0</v>
      </c>
      <c r="Y31">
        <v>0</v>
      </c>
    </row>
    <row r="32" spans="1:25" x14ac:dyDescent="0.2">
      <c r="A32" t="s">
        <v>59</v>
      </c>
      <c r="B32" t="s">
        <v>221</v>
      </c>
      <c r="C32" t="s">
        <v>222</v>
      </c>
      <c r="D32" t="s">
        <v>223</v>
      </c>
      <c r="E32" t="s">
        <v>224</v>
      </c>
      <c r="F32" t="s">
        <v>225</v>
      </c>
      <c r="G32" t="b">
        <v>0</v>
      </c>
      <c r="H32" t="b">
        <v>0</v>
      </c>
      <c r="I32" t="b">
        <v>0</v>
      </c>
      <c r="J32">
        <v>0</v>
      </c>
      <c r="K32">
        <v>0</v>
      </c>
      <c r="O32">
        <v>0</v>
      </c>
      <c r="P32">
        <v>0</v>
      </c>
      <c r="Q32">
        <v>0</v>
      </c>
      <c r="R32">
        <v>0</v>
      </c>
      <c r="S32" t="s">
        <v>26</v>
      </c>
      <c r="T32" t="s">
        <v>26</v>
      </c>
      <c r="U32" t="s">
        <v>54</v>
      </c>
      <c r="V32">
        <v>0</v>
      </c>
      <c r="W32">
        <v>0</v>
      </c>
      <c r="X32">
        <v>0</v>
      </c>
      <c r="Y32">
        <v>0</v>
      </c>
    </row>
    <row r="33" spans="1:25" x14ac:dyDescent="0.2">
      <c r="A33" t="s">
        <v>60</v>
      </c>
      <c r="B33" t="s">
        <v>226</v>
      </c>
      <c r="C33" t="s">
        <v>227</v>
      </c>
      <c r="D33" t="s">
        <v>228</v>
      </c>
      <c r="E33" t="s">
        <v>229</v>
      </c>
      <c r="F33" t="s">
        <v>230</v>
      </c>
      <c r="G33" t="b">
        <v>1</v>
      </c>
      <c r="H33" t="b">
        <v>1</v>
      </c>
      <c r="I33" t="b">
        <v>1</v>
      </c>
      <c r="J33">
        <v>55</v>
      </c>
      <c r="K33">
        <v>0</v>
      </c>
      <c r="L33">
        <v>15.85</v>
      </c>
      <c r="M33">
        <v>19.260000000000002</v>
      </c>
      <c r="N33">
        <v>14.89</v>
      </c>
      <c r="O33">
        <v>0</v>
      </c>
      <c r="P33">
        <v>0.6</v>
      </c>
      <c r="Q33">
        <v>0.67</v>
      </c>
      <c r="S33" t="s">
        <v>26</v>
      </c>
      <c r="T33" t="s">
        <v>26</v>
      </c>
      <c r="U33" t="s">
        <v>54</v>
      </c>
      <c r="V33">
        <v>1</v>
      </c>
      <c r="W33">
        <v>1</v>
      </c>
      <c r="X33">
        <v>1</v>
      </c>
      <c r="Y33">
        <v>0.5</v>
      </c>
    </row>
    <row r="34" spans="1:25" x14ac:dyDescent="0.2">
      <c r="A34" t="s">
        <v>61</v>
      </c>
      <c r="B34" t="s">
        <v>231</v>
      </c>
      <c r="C34" t="s">
        <v>232</v>
      </c>
      <c r="D34" t="s">
        <v>233</v>
      </c>
      <c r="E34" t="s">
        <v>234</v>
      </c>
      <c r="F34" t="s">
        <v>235</v>
      </c>
      <c r="G34" t="b">
        <v>0</v>
      </c>
      <c r="H34" t="b">
        <v>0</v>
      </c>
      <c r="I34" t="b">
        <v>0</v>
      </c>
      <c r="J34">
        <v>0</v>
      </c>
      <c r="K34">
        <v>0</v>
      </c>
      <c r="O34">
        <v>0</v>
      </c>
      <c r="P34">
        <v>0</v>
      </c>
      <c r="Q34">
        <v>0</v>
      </c>
      <c r="R34">
        <v>0</v>
      </c>
      <c r="S34" t="s">
        <v>26</v>
      </c>
      <c r="T34" t="s">
        <v>26</v>
      </c>
      <c r="U34" t="s">
        <v>54</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66</v>
      </c>
      <c r="B1" s="2" t="s">
        <v>67</v>
      </c>
      <c r="C1" s="2" t="s">
        <v>68</v>
      </c>
      <c r="D1" s="2" t="s">
        <v>69</v>
      </c>
    </row>
    <row r="2" spans="1:4" x14ac:dyDescent="0.2">
      <c r="A2" t="str" cm="1">
        <f t="array" ref="A2:A4">_xlfn.UNIQUE(All!U2:U34)</f>
        <v>simple</v>
      </c>
      <c r="B2">
        <f>COUNTIF(All!U2:U34,Filter!A2)</f>
        <v>12</v>
      </c>
      <c r="C2">
        <f>COUNTIFS(All!$G:$G, TRUE, All!$U:$U, A2)</f>
        <v>3</v>
      </c>
      <c r="D2">
        <f>COUNTIFS(All!$G:$G, TRUE,
          All!$H:$H, TRUE,
          All!$I:$I, TRUE,
          All!$U:$U, A2)</f>
        <v>3</v>
      </c>
    </row>
    <row r="3" spans="1:4" x14ac:dyDescent="0.2">
      <c r="A3" t="str">
        <v>moderate</v>
      </c>
      <c r="B3">
        <f>COUNTIF(All!U3:U35,Filter!A3)</f>
        <v>11</v>
      </c>
      <c r="C3">
        <f>COUNTIFS(All!$G:$G, TRUE, All!$U:$U, A3)</f>
        <v>4</v>
      </c>
      <c r="D3">
        <f>COUNTIFS(All!$G:$G, TRUE,
          All!$H:$H, TRUE,
          All!$I:$I, TRUE,
          All!$U:$U, A3)</f>
        <v>2</v>
      </c>
    </row>
    <row r="4" spans="1:4" x14ac:dyDescent="0.2">
      <c r="A4" t="str">
        <v>complex</v>
      </c>
      <c r="B4">
        <f>COUNTIF(All!U4:U36,Filter!A4)</f>
        <v>10</v>
      </c>
      <c r="C4">
        <f>COUNTIFS(All!$G:$G, TRUE, All!$U:$U, A4)</f>
        <v>1</v>
      </c>
      <c r="D4">
        <f>COUNTIFS(All!$G:$G, TRUE,
          All!$H:$H, TRUE,
          All!$I:$I, TRUE,
          All!$U:$U, A4)</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62</v>
      </c>
      <c r="P1" s="1" t="s">
        <v>63</v>
      </c>
      <c r="Q1" s="1" t="s">
        <v>64</v>
      </c>
    </row>
    <row r="2" spans="1:17" x14ac:dyDescent="0.2">
      <c r="A2" t="s">
        <v>27</v>
      </c>
      <c r="B2" s="3">
        <f>AVERAGEIFS(All!$J:$J,
            All!$G:$G, TRUE,
            All!$H:$H, TRUE,
            All!$I:$I, TRUE,
            All!$U:$U, A2)</f>
        <v>92811</v>
      </c>
      <c r="C2" s="3">
        <f>AVERAGEIFS(All!K:K,
            All!$G:$G, TRUE,
            All!$H:$H, TRUE,
            All!$I:$I, TRUE,
            All!$U:$U, $A2)</f>
        <v>0</v>
      </c>
      <c r="D2" s="3">
        <f>AVERAGEIFS(All!L:L,
            All!$G:$G, TRUE,
            All!$H:$H, TRUE,
            All!$I:$I, TRUE,
            All!$U:$U, $A2)</f>
        <v>3425.1433333333334</v>
      </c>
      <c r="E2" s="3">
        <f>AVERAGEIFS(All!M:M,
            All!$G:$G, TRUE,
            All!$H:$H, TRUE,
            All!$I:$I, TRUE,
            All!$U:$U, $A2)</f>
        <v>3532.81</v>
      </c>
      <c r="F2" s="3">
        <f>AVERAGEIFS(All!N:N,
            All!$G:$G, TRUE,
            All!$H:$H, TRUE,
            All!$I:$I, TRUE,
            All!$U:$U, $A2)</f>
        <v>3414.0533333333333</v>
      </c>
      <c r="G2" s="3">
        <f>AVERAGEIFS(All!O:O,
            All!$G:$G, TRUE,
            All!$H:$H, TRUE,
            All!$I:$I, TRUE,
            All!$U:$U, $A2)</f>
        <v>1.3333333333333334E-2</v>
      </c>
      <c r="H2" s="3">
        <f>AVERAGEIFS(All!P:P,
            All!$G:$G, TRUE,
            All!$H:$H, TRUE,
            All!$I:$I, TRUE,
            All!$U:$U, $A2)</f>
        <v>0.60666666666666669</v>
      </c>
      <c r="I2" s="3">
        <f>AVERAGEIFS(All!Q:Q,
            All!$G:$G, TRUE,
            All!$H:$H, TRUE,
            All!$I:$I, TRUE,
            All!$U:$U, $A2)</f>
        <v>0.68</v>
      </c>
      <c r="J2" s="3" t="e">
        <f>AVERAGEIFS(All!R:R,
            All!$G:$G, TRUE,
            All!$H:$H, TRUE,
            All!$I:$I, TRUE,
            All!$U:$U, $A2)</f>
        <v>#DIV/0!</v>
      </c>
      <c r="K2" s="3">
        <f>AVERAGEIFS(All!V:V,
            All!$G:$G, TRUE,
            All!$H:$H, TRUE,
            All!$I:$I, TRUE,
            All!$U:$U, $A2)</f>
        <v>1</v>
      </c>
      <c r="L2" s="3">
        <f>AVERAGEIFS(All!W:W,
            All!$G:$G, TRUE,
            All!$H:$H, TRUE,
            All!$I:$I, TRUE,
            All!$U:$U, $A2)</f>
        <v>1</v>
      </c>
      <c r="M2" s="3">
        <f>AVERAGEIFS(All!X:X,
            All!$G:$G, TRUE,
            All!$H:$H, TRUE,
            All!$I:$I, TRUE,
            All!$U:$U, $A2)</f>
        <v>1</v>
      </c>
      <c r="N2" s="3">
        <f>AVERAGEIFS(All!Y:Y,
            All!$G:$G, TRUE,
            All!$H:$H, TRUE,
            All!$I:$I, TRUE,
            All!$U:$U, $A2)</f>
        <v>0.5</v>
      </c>
      <c r="O2" s="3">
        <f>COUNTIFS(All!G:G,TRUE,All!$U:$U,$A2)/COUNTIF(All!$U2:$U34,Filter!$A2)</f>
        <v>0.25</v>
      </c>
      <c r="P2" s="3">
        <f>COUNTIFS(All!H:H,TRUE,All!$U:$U,$A2)/COUNTIF(All!$U2:$U34,Filter!$A2)</f>
        <v>0.25</v>
      </c>
      <c r="Q2" s="3">
        <f>COUNTIFS(All!I:I,TRUE,All!$U:$U,$A2)/COUNTIF(All!$U2:$U34,Filter!$A2)</f>
        <v>0.25</v>
      </c>
    </row>
    <row r="3" spans="1:17" x14ac:dyDescent="0.2">
      <c r="A3" t="s">
        <v>41</v>
      </c>
      <c r="B3" s="3">
        <f>AVERAGEIFS(All!$J:$J,
            All!$G:$G, TRUE,
            All!$H:$H, TRUE,
            All!$I:$I, TRUE,
            All!$U:$U, A3)</f>
        <v>612585</v>
      </c>
      <c r="C3" s="3">
        <f>AVERAGEIFS(All!K:K,
            All!$G:$G, TRUE,
            All!$H:$H, TRUE,
            All!$I:$I, TRUE,
            All!$U:$U, $A3)</f>
        <v>0.5</v>
      </c>
      <c r="D3" s="3">
        <f>AVERAGEIFS(All!L:L,
            All!$G:$G, TRUE,
            All!$H:$H, TRUE,
            All!$I:$I, TRUE,
            All!$U:$U, $A3)</f>
        <v>13757.425000000001</v>
      </c>
      <c r="E3" s="3">
        <f>AVERAGEIFS(All!M:M,
            All!$G:$G, TRUE,
            All!$H:$H, TRUE,
            All!$I:$I, TRUE,
            All!$U:$U, $A3)</f>
        <v>14339.684999999999</v>
      </c>
      <c r="F3" s="3">
        <f>AVERAGEIFS(All!N:N,
            All!$G:$G, TRUE,
            All!$H:$H, TRUE,
            All!$I:$I, TRUE,
            All!$U:$U, $A3)</f>
        <v>13935.8</v>
      </c>
      <c r="G3" s="3">
        <f>AVERAGEIFS(All!O:O,
            All!$G:$G, TRUE,
            All!$H:$H, TRUE,
            All!$I:$I, TRUE,
            All!$U:$U, $A3)</f>
        <v>0</v>
      </c>
      <c r="H3" s="3">
        <f>AVERAGEIFS(All!P:P,
            All!$G:$G, TRUE,
            All!$H:$H, TRUE,
            All!$I:$I, TRUE,
            All!$U:$U, $A3)</f>
        <v>0.56499999999999995</v>
      </c>
      <c r="I3" s="3">
        <f>AVERAGEIFS(All!Q:Q,
            All!$G:$G, TRUE,
            All!$H:$H, TRUE,
            All!$I:$I, TRUE,
            All!$U:$U, $A3)</f>
        <v>0.68500000000000005</v>
      </c>
      <c r="J3" s="3">
        <f>AVERAGEIFS(All!R:R,
            All!$G:$G, TRUE,
            All!$H:$H, TRUE,
            All!$I:$I, TRUE,
            All!$U:$U, $A3)</f>
        <v>0.53</v>
      </c>
      <c r="K3" s="3">
        <f>AVERAGEIFS(All!V:V,
            All!$G:$G, TRUE,
            All!$H:$H, TRUE,
            All!$I:$I, TRUE,
            All!$U:$U, $A3)</f>
        <v>1</v>
      </c>
      <c r="L3" s="3">
        <f>AVERAGEIFS(All!W:W,
            All!$G:$G, TRUE,
            All!$H:$H, TRUE,
            All!$I:$I, TRUE,
            All!$U:$U, $A3)</f>
        <v>1</v>
      </c>
      <c r="M3" s="3">
        <f>AVERAGEIFS(All!X:X,
            All!$G:$G, TRUE,
            All!$H:$H, TRUE,
            All!$I:$I, TRUE,
            All!$U:$U, $A3)</f>
        <v>1</v>
      </c>
      <c r="N3" s="3">
        <f>AVERAGEIFS(All!Y:Y,
            All!$G:$G, TRUE,
            All!$H:$H, TRUE,
            All!$I:$I, TRUE,
            All!$U:$U, $A3)</f>
        <v>0.66166666666666663</v>
      </c>
      <c r="O3" s="3">
        <f>COUNTIFS(All!G:G,TRUE,All!$U:$U,$A3)/COUNTIF(All!$U3:$U35,Filter!$A3)</f>
        <v>0.36363636363636365</v>
      </c>
      <c r="P3" s="3">
        <f>COUNTIFS(All!H:H,TRUE,All!$U:$U,$A3)/COUNTIF(All!$U3:$U35,Filter!$A3)</f>
        <v>0.18181818181818182</v>
      </c>
      <c r="Q3" s="3">
        <f>COUNTIFS(All!I:I,TRUE,All!$U:$U,$A3)/COUNTIF(All!$U3:$U35,Filter!$A3)</f>
        <v>0.36363636363636365</v>
      </c>
    </row>
    <row r="4" spans="1:17" x14ac:dyDescent="0.2">
      <c r="A4" t="s">
        <v>54</v>
      </c>
      <c r="B4" s="3">
        <f>AVERAGEIFS(All!$J:$J,
            All!$G:$G, TRUE,
            All!$H:$H, TRUE,
            All!$I:$I, TRUE,
            All!$U:$U, A4)</f>
        <v>55</v>
      </c>
      <c r="C4" s="3">
        <f>AVERAGEIFS(All!K:K,
            All!$G:$G, TRUE,
            All!$H:$H, TRUE,
            All!$I:$I, TRUE,
            All!$U:$U, $A4)</f>
        <v>0</v>
      </c>
      <c r="D4" s="3">
        <f>AVERAGEIFS(All!L:L,
            All!$G:$G, TRUE,
            All!$H:$H, TRUE,
            All!$I:$I, TRUE,
            All!$U:$U, $A4)</f>
        <v>15.85</v>
      </c>
      <c r="E4" s="3">
        <f>AVERAGEIFS(All!M:M,
            All!$G:$G, TRUE,
            All!$H:$H, TRUE,
            All!$I:$I, TRUE,
            All!$U:$U, $A4)</f>
        <v>19.260000000000002</v>
      </c>
      <c r="F4" s="3">
        <f>AVERAGEIFS(All!N:N,
            All!$G:$G, TRUE,
            All!$H:$H, TRUE,
            All!$I:$I, TRUE,
            All!$U:$U, $A4)</f>
        <v>14.89</v>
      </c>
      <c r="G4" s="3">
        <f>AVERAGEIFS(All!O:O,
            All!$G:$G, TRUE,
            All!$H:$H, TRUE,
            All!$I:$I, TRUE,
            All!$U:$U, $A4)</f>
        <v>0</v>
      </c>
      <c r="H4" s="3">
        <f>AVERAGEIFS(All!P:P,
            All!$G:$G, TRUE,
            All!$H:$H, TRUE,
            All!$I:$I, TRUE,
            All!$U:$U, $A4)</f>
        <v>0.6</v>
      </c>
      <c r="I4" s="3">
        <f>AVERAGEIFS(All!Q:Q,
            All!$G:$G, TRUE,
            All!$H:$H, TRUE,
            All!$I:$I, TRUE,
            All!$U:$U, $A4)</f>
        <v>0.67</v>
      </c>
      <c r="J4" s="3" t="e">
        <f>AVERAGEIFS(All!R:R,
            All!$G:$G, TRUE,
            All!$H:$H, TRUE,
            All!$I:$I, TRUE,
            All!$U:$U, $A4)</f>
        <v>#DIV/0!</v>
      </c>
      <c r="K4" s="3">
        <f>AVERAGEIFS(All!V:V,
            All!$G:$G, TRUE,
            All!$H:$H, TRUE,
            All!$I:$I, TRUE,
            All!$U:$U, $A4)</f>
        <v>1</v>
      </c>
      <c r="L4" s="3">
        <f>AVERAGEIFS(All!W:W,
            All!$G:$G, TRUE,
            All!$H:$H, TRUE,
            All!$I:$I, TRUE,
            All!$U:$U, $A4)</f>
        <v>1</v>
      </c>
      <c r="M4" s="3">
        <f>AVERAGEIFS(All!X:X,
            All!$G:$G, TRUE,
            All!$H:$H, TRUE,
            All!$I:$I, TRUE,
            All!$U:$U, $A4)</f>
        <v>1</v>
      </c>
      <c r="N4" s="3">
        <f>AVERAGEIFS(All!Y:Y,
            All!$G:$G, TRUE,
            All!$H:$H, TRUE,
            All!$I:$I, TRUE,
            All!$U:$U, $A4)</f>
        <v>0.5</v>
      </c>
      <c r="O4" s="3">
        <f>COUNTIFS(All!G:G,TRUE,All!$U:$U,$A4)/COUNTIF(All!$U4:$U36,Filter!$A4)</f>
        <v>0.1</v>
      </c>
      <c r="P4" s="3">
        <f>COUNTIFS(All!H:H,TRUE,All!$U:$U,$A4)/COUNTIF(All!$U4:$U36,Filter!$A4)</f>
        <v>0.1</v>
      </c>
      <c r="Q4" s="3">
        <f>COUNTIFS(All!I:I,TRUE,All!$U:$U,$A4)/COUNTIF(All!$U4:$U36,Filter!$A4)</f>
        <v>0.1</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62</v>
      </c>
      <c r="P1" s="4" t="s">
        <v>63</v>
      </c>
      <c r="Q1" s="4" t="s">
        <v>64</v>
      </c>
    </row>
    <row r="2" spans="1:17" x14ac:dyDescent="0.2">
      <c r="A2" s="3" t="s">
        <v>65</v>
      </c>
      <c r="B2" s="3">
        <f>AVERAGEIFS(All!J:J,All!$G:$G, TRUE,All!$H:$H, TRUE,All!$I:$I, TRUE)</f>
        <v>250609.66666666666</v>
      </c>
      <c r="C2" s="3">
        <f>AVERAGEIFS(All!K:K,All!$G:$G, TRUE,All!$H:$H, TRUE,All!$I:$I, TRUE)</f>
        <v>0.16666666666666666</v>
      </c>
      <c r="D2" s="3">
        <f>AVERAGEIFS(All!L:L,All!$G:$G, TRUE,All!$H:$H, TRUE,All!$I:$I, TRUE)</f>
        <v>6301.0216666666665</v>
      </c>
      <c r="E2" s="3">
        <f>AVERAGEIFS(All!M:M,All!$G:$G, TRUE,All!$H:$H, TRUE,All!$I:$I, TRUE)</f>
        <v>6549.5099999999993</v>
      </c>
      <c r="F2" s="3">
        <f>AVERAGEIFS(All!N:N,All!$G:$G, TRUE,All!$H:$H, TRUE,All!$I:$I, TRUE)</f>
        <v>6354.7750000000005</v>
      </c>
      <c r="G2" s="3">
        <f>AVERAGEIFS(All!O:O,All!$G:$G, TRUE,All!$H:$H, TRUE,All!$I:$I, TRUE)</f>
        <v>6.6666666666666671E-3</v>
      </c>
      <c r="H2" s="3">
        <f>AVERAGEIFS(All!P:P,All!$G:$G, TRUE,All!$H:$H, TRUE,All!$I:$I, TRUE)</f>
        <v>0.59166666666666667</v>
      </c>
      <c r="I2" s="3">
        <f>AVERAGEIFS(All!Q:Q,All!$G:$G, TRUE,All!$H:$H, TRUE,All!$I:$I, TRUE)</f>
        <v>0.68</v>
      </c>
      <c r="J2" s="3">
        <f>AVERAGEIFS(All!R:R,All!$G:$G, TRUE,All!$H:$H, TRUE,All!$I:$I, TRUE)</f>
        <v>0.53</v>
      </c>
      <c r="K2" s="3">
        <f>AVERAGEIFS(All!V:V,All!$G:$G, TRUE,All!$H:$H, TRUE,All!$I:$I, TRUE)</f>
        <v>1</v>
      </c>
      <c r="L2" s="3">
        <f>AVERAGEIFS(All!W:W,All!$G:$G, TRUE,All!$H:$H, TRUE,All!$I:$I, TRUE)</f>
        <v>1</v>
      </c>
      <c r="M2" s="3">
        <f>AVERAGEIFS(All!X:X,All!$G:$G, TRUE,All!$H:$H, TRUE,All!$I:$I, TRUE)</f>
        <v>1</v>
      </c>
      <c r="N2" s="3">
        <f>AVERAGEIFS(All!Y:Y,All!$G:$G, TRUE,All!$H:$H, TRUE,All!$I:$I, TRUE)</f>
        <v>0.55388888888888888</v>
      </c>
      <c r="O2" s="3">
        <f>COUNTIFS(All!G:G,TRUE)/COUNTA(All!$U2:$U34)</f>
        <v>0.24242424242424243</v>
      </c>
      <c r="P2" s="3">
        <f>COUNTIFS(All!H:H,TRUE)/COUNTA(All!$U2:$U34)</f>
        <v>0.18181818181818182</v>
      </c>
      <c r="Q2" s="3">
        <f>COUNTIFS(All!I:I,TRUE)/COUNTA(All!$U2:$U34)</f>
        <v>0.24242424242424243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2025-11-27T18:58:15Z</dcterms:modified>
</cp:coreProperties>
</file>