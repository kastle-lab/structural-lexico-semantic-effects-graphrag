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chrisdavisj/Downloads/results_filtered/"/>
    </mc:Choice>
  </mc:AlternateContent>
  <xr:revisionPtr revIDLastSave="0" documentId="8_{F8E8A4AF-BE75-2B41-9F92-F1A22B5E29C8}" xr6:coauthVersionLast="47" xr6:coauthVersionMax="47" xr10:uidLastSave="{00000000-0000-0000-0000-000000000000}"/>
  <bookViews>
    <workbookView xWindow="0" yWindow="680" windowWidth="29400" windowHeight="17160" xr2:uid="{00000000-000D-0000-FFFF-FFFF00000000}"/>
  </bookViews>
  <sheets>
    <sheet name="All" sheetId="1" r:id="rId1"/>
    <sheet name="Filter" sheetId="4" r:id="rId2"/>
    <sheet name="By-CQ-Level" sheetId="2" r:id="rId3"/>
    <sheet name="Overall"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Q2" i="3"/>
  <c r="O2" i="3"/>
  <c r="L2" i="3"/>
  <c r="M2" i="3"/>
  <c r="N2" i="3"/>
  <c r="K2" i="3"/>
  <c r="C2" i="3"/>
  <c r="D2" i="3"/>
  <c r="E2" i="3"/>
  <c r="F2" i="3"/>
  <c r="G2" i="3"/>
  <c r="H2" i="3"/>
  <c r="I2" i="3"/>
  <c r="J2" i="3"/>
  <c r="B2" i="3"/>
  <c r="P2" i="2"/>
  <c r="Q2" i="2"/>
  <c r="P3" i="2"/>
  <c r="Q3" i="2"/>
  <c r="P4" i="2"/>
  <c r="Q4" i="2"/>
  <c r="O3" i="2"/>
  <c r="O4" i="2"/>
  <c r="O2" i="2"/>
  <c r="L2" i="2"/>
  <c r="M2" i="2"/>
  <c r="N2" i="2"/>
  <c r="L3" i="2"/>
  <c r="M3" i="2"/>
  <c r="N3" i="2"/>
  <c r="L4" i="2"/>
  <c r="M4" i="2"/>
  <c r="N4" i="2"/>
  <c r="K3" i="2"/>
  <c r="K4" i="2"/>
  <c r="K2" i="2"/>
  <c r="D2" i="2"/>
  <c r="E2" i="2"/>
  <c r="F2" i="2"/>
  <c r="G2" i="2"/>
  <c r="H2" i="2"/>
  <c r="I2" i="2"/>
  <c r="J2" i="2"/>
  <c r="D3" i="2"/>
  <c r="E3" i="2"/>
  <c r="F3" i="2"/>
  <c r="G3" i="2"/>
  <c r="H3" i="2"/>
  <c r="I3" i="2"/>
  <c r="J3" i="2"/>
  <c r="D4" i="2"/>
  <c r="E4" i="2"/>
  <c r="F4" i="2"/>
  <c r="G4" i="2"/>
  <c r="H4" i="2"/>
  <c r="I4" i="2"/>
  <c r="J4" i="2"/>
  <c r="C3" i="2"/>
  <c r="C4" i="2"/>
  <c r="C2" i="2"/>
  <c r="B3" i="2"/>
  <c r="B4" i="2"/>
  <c r="B2" i="2"/>
  <c r="B3" i="4"/>
  <c r="B4" i="4"/>
  <c r="B2" i="4"/>
  <c r="D3" i="4"/>
  <c r="D4" i="4"/>
  <c r="D2" i="4"/>
  <c r="C3" i="4"/>
  <c r="C4" i="4"/>
  <c r="C2" i="4"/>
  <c r="A2" i="4" a="1"/>
  <c r="A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<sst xmlns="http://schemas.openxmlformats.org/spreadsheetml/2006/main" count="364" uniqueCount="268">
  <si>
    <t>CQ</t>
  </si>
  <si>
    <t>Prompt</t>
  </si>
  <si>
    <t>Claude_Result</t>
  </si>
  <si>
    <t>Claude_Raw</t>
  </si>
  <si>
    <t>sparql_query</t>
  </si>
  <si>
    <t>eval_json</t>
  </si>
  <si>
    <t>syntax_ok</t>
  </si>
  <si>
    <t>satisfiable</t>
  </si>
  <si>
    <t>deterministic</t>
  </si>
  <si>
    <t>rows</t>
  </si>
  <si>
    <t>vars</t>
  </si>
  <si>
    <t>latency_p50_ms</t>
  </si>
  <si>
    <t>latency_p95_ms</t>
  </si>
  <si>
    <t>latency_mean_ms</t>
  </si>
  <si>
    <t>lexical_query_overlap</t>
  </si>
  <si>
    <t>semantic_similarity_to_CQ</t>
  </si>
  <si>
    <t>semantic_soft_coverage_to_CQ</t>
  </si>
  <si>
    <t>tuple_cohesion</t>
  </si>
  <si>
    <t>always_unbound_vars</t>
  </si>
  <si>
    <t>variables</t>
  </si>
  <si>
    <t>difficulty</t>
  </si>
  <si>
    <t>determinism_score</t>
  </si>
  <si>
    <t>satisfiability_binding_score</t>
  </si>
  <si>
    <t>h1_overall</t>
  </si>
  <si>
    <t>semantic_diversity_score</t>
  </si>
  <si>
    <t>Who are all the characters available?</t>
  </si>
  <si>
    <t>[]</t>
  </si>
  <si>
    <t>simple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</si>
  <si>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</si>
  <si>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</si>
  <si>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</si>
  <si>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</si>
  <si>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</si>
  <si>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</si>
  <si>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</si>
  <si>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</si>
  <si>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</si>
  <si>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</si>
  <si>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</si>
  <si>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</si>
  <si>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</si>
  <si>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moderate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</si>
  <si>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</si>
  <si>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</si>
  <si>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</si>
  <si>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["movie"]</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</si>
  <si>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</si>
  <si>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</si>
  <si>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</si>
  <si>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</si>
  <si>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</si>
  <si>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</si>
  <si>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</si>
  <si>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</si>
  <si>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</si>
  <si>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complex</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</si>
  <si>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</si>
  <si>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</si>
  <si>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</si>
  <si>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</si>
  <si>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</si>
  <si>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</si>
  <si>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</si>
  <si>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syntax_ok_rate</t>
  </si>
  <si>
    <t>satisfiable_rate</t>
  </si>
  <si>
    <t>deterministic_rate</t>
  </si>
  <si>
    <t>ALL</t>
  </si>
  <si>
    <t>Complexity</t>
  </si>
  <si>
    <t>Total</t>
  </si>
  <si>
    <t>Valid Syntax</t>
  </si>
  <si>
    <t>Valid all</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</si>
  <si>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</si>
  <si>
    <t>PREFIX rdfs: &lt;http://www.w3.org/2000/01/rdf-schema#&gt;
SELECT DISTINCT ?character ?label
WHERE {
  ?character a &lt;http://dbkwik.webdatacommons.org/marvelcinematicuniverse.wikia.com/class/character&gt; .
  OPTIONAL { ?character rdfs:label ?label . }
}
ORDER BY ?label ?character</t>
  </si>
  <si>
    <t>{
    "id": "batch_req_691fabe90ff08190a9aa3db791ac30ea",
    "custom_id": "cq-0",
    "response": {
        "status_code": 200,
        "request_id": "e3d558ca7b8e68806a454c91aae430be",
        "body": {
            "id": "chatcmpl-Ce8YXOjgMrlyo27FfJL68AER9ALEz",
            "object": "chat.completion",
            "created": 1763682045,
            "model": "gpt-5-2025-08-07",
            "choices": [
                {
                    "index": 0,
                    "message": {
                        "role": "assistant",
                        "content": "PREFIX rdfs: &lt;http://www.w3.org/2000/01/rdf-schema#&gt;\nSELECT DISTINCT ?character ?label\nWHERE {\n  ?character a &lt;http://dbkwik.webdatacommons.org/marvelcinematicuniverse.wikia.com/class/character&gt; .\n  OPTIONAL { ?character rdfs:label ?label . }\n}\nORDER BY ?label ?character",
                        "refusal": null,
                        "annotations": []
                    },
                    "finish_reason": "stop"
                }
            ],
            "usage": {
                "prompt_tokens": 109317,
                "completion_tokens": 1369,
                "total_tokens": 110686,
                "prompt_tokens_details": {
                    "cached_tokens": 0,
                    "audio_tokens": 0
                },
                "completion_tokens_details": {
                    "reasoning_tokens": 1280,
                    "audio_tokens": 0,
                    "accepted_prediction_tokens": 0,
                    "rejected_prediction_tokens": 0
                }
            },
            "service_tier": "default",
            "system_fingerprint": null
        }
    },
    "error": null
}</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</si>
  <si>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rdfs: &lt;http://www.w3.org/2000/01/rdf-schema#&gt;
SELECT DISTINCT ?character ?label
WHERE {
  ?character a &lt;http://dbkwik.webdatacommons.org/marvelcinematicuniverse.wikia.com/class/character&gt; .
  OPTIONAL { ?character rdfs:label ?label . }
}
ORDER BY ?label ?character</t>
  </si>
  <si>
    <t>{
  "cq_text": "Who are all the characters available?",
  "syntax_ok": true,
  "satisfiable": true,
  "deterministic": true,
  "latency": {
    "p50_ms": 104.74,
    "p95_ms": 105.14,
    "mean_ms": 104.67
  },
  "rows": 2262,
  "vars": 2,
  "always_unbound_vars": [],
  "lexical_query_overlap": 0.0,
  "semantic_similarity_to_CQ": 0.65,
  "semantic_soft_coverage_to_CQ": 0.72,
  "tuple_cohesion": 0.61,
  "variables": [
    {
      "var": "character",
      "rows": 2262,
      "distinct": 1859,
      "null_rate": 0.0,
      "label_resolution_rate": 1.0,
      "diversity_entropy_norm": 0.98,
      "semantic_cohesion": 0.64,
      "dup_ratio": 0.18,
      "bound_rate": 1.0
    },
    {
      "var": "label",
      "rows": 2262,
      "distinct": 2262,
      "null_rate": 0.0,
      "label_resolution_rate": 1.0,
      "diversity_entropy_norm": 1.0,
      "semantic_cohesion": 0.65,
      "dup_ratio": 0.0,
      "bound_rate": 1.0
    }
  ]
}</t>
  </si>
  <si>
    <t>[{"var": "character", "rows": 2262, "distinct": 1859, "null_rate": 0.0, "label_resolution_rate": 1.0, "diversity_entropy_norm": 0.98, "semantic_cohesion": 0.64, "dup_ratio": 0.18, "bound_rate": 1.0}, {"var": "label", "rows": 2262, "distinct": 2262, "null_rate": 0.0, "label_resolution_rate": 1.0, "diversity_entropy_norm": 1.0, "semantic_cohesion": 0.65, "dup_ratio": 0.0, "bound_rate": 1.0}]</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</si>
  <si>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</si>
  <si>
    <t>PREFIX rdf: &lt;http://www.w3.org/1999/02/22-rdf-syntax-ns#&gt;
PREFIX rdfs: &lt;http://www.w3.org/2000/01/rdf-schema#&gt;
PREFIX mcu: &lt;http://dbkwik.webdatacommons.org/marvelcinematicuniverse.wikia.com/class/&gt;
SELECT ?work ?type ?label
WHERE {
  VALUES ?type { mcu:movie mcu:tv }
  ?work a ?type .
  OPTIONAL { ?work rdfs:label ?label . }
}
ORDER BY ?type ?label</t>
  </si>
  <si>
    <t>{
    "id": "batch_req_691fabe92af88190a6e4e6d4cbd90d5b",
    "custom_id": "cq-1",
    "response": {
        "status_code": 200,
        "request_id": "4794199f7e1dd027a4e7e0a8ee0d0ae5",
        "body": {
            "id": "chatcmpl-Ce7rQjrQgLgf5mE4mvM1IAK12RRWm",
            "object": "chat.completion",
            "created": 1763679372,
            "model": "gpt-5-2025-08-07",
            "choices": [
                {
                    "index": 0,
                    "message": {
                        "role": "assistant",
                        "content": "PREFIX rdf: &lt;http://www.w3.org/1999/02/22-rdf-syntax-ns#&gt;\nPREFIX rdfs: &lt;http://www.w3.org/2000/01/rdf-schema#&gt;\nPREFIX mcu: &lt;http://dbkwik.webdatacommons.org/marvelcinematicuniverse.wikia.com/class/&gt;\n\nSELECT ?work ?type ?label\nWHERE {\n  VALUES ?type { mcu:movie mcu:tv }\n  ?work a ?type .\n  OPTIONAL { ?work rdfs:label ?label . }\n}\nORDER BY ?type ?label",
                        "refusal": null,
                        "annotations": []
                    },
                    "finish_reason": "stop"
                }
            ],
            "usage": {
                "prompt_tokens": 109323,
                "completion_tokens": 1605,
                "total_tokens": 110928,
                "prompt_tokens_details": {
                    "cached_tokens": 0,
                    "audio_tokens": 0
                },
                "completion_tokens_details": {
                    "reasoning_tokens": 1472,
                    "audio_tokens": 0,
                    "accepted_prediction_tokens": 0,
                    "rejected_prediction_tokens": 0
                }
            },
            "service_tier": "default",
            "system_fingerprint": null
        }
    },
    "error": null
}</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</si>
  <si>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rdf: &lt;http://www.w3.org/1999/02/22-rdf-syntax-ns#&gt;
PREFIX rdfs: &lt;http://www.w3.org/2000/01/rdf-schema#&gt;
PREFIX mcu: &lt;http://dbkwik.webdatacommons.org/marvelcinematicuniverse.wikia.com/class/&gt;
SELECT ?work ?type ?label
WHERE {
  VALUES ?type { mcu:movie mcu:tv }
  ?work a ?type .
  OPTIONAL { ?work rdfs:label ?label . }
}
ORDER BY ?type ?label</t>
  </si>
  <si>
    <t>{
  "cq_text": "What are all the movies (and/or TV shows) available?",
  "syntax_ok": true,
  "satisfiable": true,
  "deterministic": true,
  "latency": {
    "p50_ms": 12.41,
    "p95_ms": 12.7,
    "mean_ms": 12.0
  },
  "rows": 40,
  "vars": 3,
  "always_unbound_vars": [],
  "lexical_query_overlap": 0.08,
  "semantic_similarity_to_CQ": 0.67,
  "semantic_soft_coverage_to_CQ": 0.72,
  "tuple_cohesion": 0.71,
  "variables": [
    {
      "var": "work",
      "rows": 40,
      "distinct": 23,
      "null_rate": 0.0,
      "label_resolution_rate": 1.0,
      "diversity_entropy_norm": 0.8,
      "semantic_cohesion": 0.58,
      "dup_ratio": 0.43,
      "bound_rate": 1.0
    },
    {
      "var": "type",
      "rows": 40,
      "distinct": 2,
      "null_rate": 0.0,
      "label_resolution_rate": 1.0,
      "diversity_entropy_norm": 0.93,
      "semantic_cohesion": 0.32,
      "dup_ratio": 0.95,
      "bound_rate": 1.0
    },
    {
      "var": "label",
      "rows": 40,
      "distinct": 40,
      "null_rate": 0.0,
      "label_resolution_rate": 1.0,
      "diversity_entropy_norm": 1.0,
      "semantic_cohesion": 0.66,
      "dup_ratio": 0.0,
      "bound_rate": 1.0
    }
  ]
}</t>
  </si>
  <si>
    <t>[{"var": "work", "rows": 40, "distinct": 23, "null_rate": 0.0, "label_resolution_rate": 1.0, "diversity_entropy_norm": 0.8, "semantic_cohesion": 0.58, "dup_ratio": 0.43, "bound_rate": 1.0}, {"var": "type", "rows": 40, "distinct": 2, "null_rate": 0.0, "label_resolution_rate": 1.0, "diversity_entropy_norm": 0.93, "semantic_cohesion": 0.32, "dup_ratio": 0.95, "bound_rate": 1.0}, {"var": "label", "rows": 40, "distinct": 40, "null_rate": 0.0, "label_resolution_rate": 1.0, "diversity_entropy_norm": 1.0, "semantic_cohesion": 0.66, "dup_ratio": 0.0, "bound_rate": 1.0}]</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</si>
  <si>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</si>
  <si>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PREFIX rdf: &lt;http://www.w3.org/1999/02/22-rdf-syntax-ns#&gt;
PREFIX rdfs: &lt;http://www.w3.org/2000/01/rdf-schema#&gt;
PREFIX ns1: &lt;http://dbkwik.webdatacommons.org/marvelcinematicuniverse.wikia.com/property/&gt;
SELECT DISTINCT ?character ?characterLabel ?realName ?alias
WHERE {
  {
    ?character rdf:type &lt;http://dbkwik.webdatacommons.org/marvelcinematicuniverse.wikia.com/class/character&gt; .
  } UNION {
    ?character (ns1:realName|ns1:alias) ?_x .
  }
  OPTIONAL { ?character rdfs:label ?characterLabel . }
  OPTIONAL {
    ?character ns1:realName ?rn .
    OPTIONAL { ?rn rdfs:label ?rnLabel . }
    BIND(COALESCE(?rnLabel, STR(?rn)) AS ?realName)
  }
  OPTIONAL {
    ?character ns1:alias ?al .
    OPTIONAL { ?al rdfs:label ?alLabel . }
    BIND(COALESCE(?alLabel, STR(?al)) AS ?alias)
  }
}
ORDER BY LCASE(STR(?characterLabel)) ?character</t>
  </si>
  <si>
    <t>{
    "id": "batch_req_691fabe925988190894e71aa15efc488",
    "custom_id": "cq-2",
    "response": {
        "status_code": 200,
        "request_id": "f09c54734e4af09ce63c29ac733c878a",
        "body": {
            "id": "chatcmpl-Ce8Yj3WrDtDX0OPtEJdvvDVVIgkkT",
            "object": "chat.completion",
            "created": 1763682057,
            "model": "gpt-5-2025-08-07",
            "choices": [
                {
                    "index": 0,
                    "message": {
                        "role": "assistant",
                        "content": "PREFIX rdf: &lt;http://www.w3.org/1999/02/22-rdf-syntax-ns#&gt;\nPREFIX rdfs: &lt;http://www.w3.org/2000/01/rdf-schema#&gt;\nPREFIX ns1: &lt;http://dbkwik.webdatacommons.org/marvelcinematicuniverse.wikia.com/property/&gt;\n\nSELECT DISTINCT ?character ?characterLabel ?realName ?alias\nWHERE {\n  {\n    ?character rdf:type &lt;http://dbkwik.webdatacommons.org/marvelcinematicuniverse.wikia.com/class/character&gt; .\n  } UNION {\n    ?character (ns1:realName|ns1:alias) ?_x .\n  }\n  OPTIONAL { ?character rdfs:label ?characterLabel . }\n  OPTIONAL {\n    ?character ns1:realName ?rn .\n    OPTIONAL { ?rn rdfs:label ?rnLabel . }\n    BIND(COALESCE(?rnLabel, STR(?rn)) AS ?realName)\n  }\n  OPTIONAL {\n    ?character ns1:alias ?al .\n    OPTIONAL { ?al rdfs:label ?alLabel . }\n    BIND(COALESCE(?alLabel, STR(?al)) AS ?alias)\n  }\n}\nORDER BY LCASE(STR(?characterLabel)) ?character",
                        "refusal": null,
                        "annotations": []
                    },
                    "finish_reason": "stop"
                }
            ],
            "usage": {
                "prompt_tokens": 109325,
                "completion_tokens": 2520,
                "total_tokens": 111845,
                "prompt_tokens_details": {
                    "cached_tokens": 0,
                    "audio_tokens": 0
                },
                "completion_tokens_details": {
                    "reasoning_tokens": 2240,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</si>
  <si>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rdf: &lt;http://www.w3.org/1999/02/22-rdf-syntax-ns#&gt;
PREFIX rdfs: &lt;http://www.w3.org/2000/01/rdf-schema#&gt;
PREFIX ns1: &lt;http://dbkwik.webdatacommons.org/marvelcinematicuniverse.wikia.com/property/&gt;
SELECT DISTINCT ?character ?characterLabel ?realName ?alias
WHERE {
  {
    ?character rdf:type &lt;http://dbkwik.webdatacommons.org/marvelcinematicuniverse.wikia.com/class/character&gt; .
  } UNION {
    ?character (ns1:realName|ns1:alias) ?_x .
  }
  OPTIONAL { ?character rdfs:label ?characterLabel . }
  OPTIONAL {
    ?character ns1:realName ?rn .
    OPTIONAL { ?rn rdfs:label ?rnLabel . }
    BIND(COALESCE(?rnLabel, STR(?rn)) AS ?realName)
  }
  OPTIONAL {
    ?character ns1:alias ?al .
    OPTIONAL { ?al rdfs:label ?alLabel . }
    BIND(COALESCE(?alLabel, STR(?al)) AS ?alias)
  }
}
ORDER BY LCASE(STR(?characterLabel)) ?character</t>
  </si>
  <si>
    <t>{
  "cq_text": "What are the real names and/or primary aliases for each of the characters?",
  "syntax_ok": true,
  "satisfiable": true,
  "deterministic": true,
  "latency": {
    "p50_ms": 476.84,
    "p95_ms": 527.66,
    "mean_ms": 492.47
  },
  "rows": 4028,
  "vars": 4,
  "always_unbound_vars": [],
  "lexical_query_overlap": 0.02,
  "semantic_similarity_to_CQ": 0.73,
  "semantic_soft_coverage_to_CQ": 0.78,
  "tuple_cohesion": 0.76,
  "variables": [
    {
      "var": "character",
      "rows": 4028,
      "distinct": 1871,
      "null_rate": 0.0,
      "label_resolution_rate": 1.0,
      "diversity_entropy_norm": 0.88,
      "semantic_cohesion": 0.64,
      "dup_ratio": 0.54,
      "bound_rate": 1.0
    },
    {
      "var": "characterLabel",
      "rows": 4028,
      "distinct": 2277,
      "null_rate": 0.0,
      "label_resolution_rate": 1.0,
      "diversity_entropy_norm": 0.92,
      "semantic_cohesion": 0.65,
      "dup_ratio": 0.43,
      "bound_rate": 1.0
    },
    {
      "var": "realName",
      "rows": 4028,
      "distinct": 1897,
      "null_rate": 0.09309831181727905,
      "label_resolution_rate": 1.0,
      "diversity_entropy_norm": 0.92,
      "semantic_cohesion": 0.65,
      "dup_ratio": 0.48,
      "bound_rate": 0.906901688182721
    },
    {
      "var": "alias",
      "rows": 4028,
      "distinct": 2133,
      "null_rate": 0.3728897715988083,
      "label_resolution_rate": 1.0,
      "diversity_entropy_norm": 0.99,
      "semantic_cohesion": 0.66,
      "dup_ratio": 0.16,
      "bound_rate": 0.6271102284011917
    }
  ]
}</t>
  </si>
  <si>
    <t>[{"var": "character", "rows": 4028, "distinct": 1871, "null_rate": 0.0, "label_resolution_rate": 1.0, "diversity_entropy_norm": 0.88, "semantic_cohesion": 0.64, "dup_ratio": 0.54, "bound_rate": 1.0}, {"var": "characterLabel", "rows": 4028, "distinct": 2277, "null_rate": 0.0, "label_resolution_rate": 1.0, "diversity_entropy_norm": 0.92, "semantic_cohesion": 0.65, "dup_ratio": 0.43, "bound_rate": 1.0}, {"var": "realName", "rows": 4028, "distinct": 1897, "null_rate": 0.09309831181727905, "label_resolution_rate": 1.0, "diversity_entropy_norm": 0.92, "semantic_cohesion": 0.65, "dup_ratio": 0.48, "bound_rate": 0.906901688182721}, {"var": "alias", "rows": 4028, "distinct": 2133, "null_rate": 0.3728897715988083, "label_resolution_rate": 1.0, "diversity_entropy_norm": 0.99, "semantic_cohesion": 0.66, "dup_ratio": 0.16, "bound_rate": 0.6271102284011917}]</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</si>
  <si>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</si>
  <si>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PREFIX ns1: &lt;http://dbkwik.webdatacommons.org/marvelcinematicuniverse.wikia.com/property/&gt;
PREFIX rdfs: &lt;http://www.w3.org/2000/01/rdf-schema#&gt;
SELECT DISTINCT ?character ?characterLabel ?kind ?kindLabel
WHERE {
  ?character a &lt;http://dbkwik.webdatacommons.org/marvelcinematicuniverse.wikia.com/class/character&gt; ;
             rdfs:label ?characterLabel ;
             (ns1:species|ns1:type) ?kind .
  OPTIONAL { ?kind rdfs:label ?kindLabel }
}
ORDER BY LCASE(STR(?characterLabel)) LCASE(STR(?kindLabel))</t>
  </si>
  <si>
    <t>{
    "id": "batch_req_691fabe929d48190a747b9f5fb1c64fe",
    "custom_id": "cq-3",
    "response": {
        "status_code": 200,
        "request_id": "c05b6c21cb5fd17bca201d0c2c7651a8",
        "body": {
            "id": "chatcmpl-Ce7s76KtFe3gCH5TJ1pd8fyWw1HUU",
            "object": "chat.completion",
            "created": 1763679415,
            "model": "gpt-5-2025-08-07",
            "choices": [
                {
                    "index": 0,
                    "message": {
                        "role": "assistant",
                        "content": "PREFIX ns1: &lt;http://dbkwik.webdatacommons.org/marvelcinematicuniverse.wikia.com/property/&gt;\nPREFIX rdfs: &lt;http://www.w3.org/2000/01/rdf-schema#&gt;\n\nSELECT DISTINCT ?character ?characterLabel ?kind ?kindLabel\nWHERE {\n  ?character a &lt;http://dbkwik.webdatacommons.org/marvelcinematicuniverse.wikia.com/class/character&gt; ;\n             rdfs:label ?characterLabel ;\n             (ns1:species|ns1:type) ?kind .\n  OPTIONAL { ?kind rdfs:label ?kindLabel }\n}\nORDER BY LCASE(STR(?characterLabel)) LCASE(STR(?kindLabel))",
                        "refusal": null,
                        "annotations": []
                    },
                    "finish_reason": "stop"
                }
            ],
            "usage": {
                "prompt_tokens": 109336,
                "completion_tokens": 1565,
                "total_tokens": 110901,
                "prompt_tokens_details": {
                    "cached_tokens": 0,
                    "audio_tokens": 0
                },
                "completion_tokens_details": {
                    "reasoning_tokens": 1408,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</si>
  <si>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ns1: &lt;http://dbkwik.webdatacommons.org/marvelcinematicuniverse.wikia.com/property/&gt;
PREFIX rdfs: &lt;http://www.w3.org/2000/01/rdf-schema#&gt;
SELECT DISTINCT ?character ?characterLabel ?kind ?kindLabel
WHERE {
  ?character a &lt;http://dbkwik.webdatacommons.org/marvelcinematicuniverse.wikia.com/class/character&gt; ;
             rdfs:label ?characterLabel ;
             (ns1:species|ns1:type) ?kind .
  OPTIONAL { ?kind rdfs:label ?kindLabel }
}
ORDER BY LCASE(STR(?characterLabel)) LCASE(STR(?kindLabel))</t>
  </si>
  <si>
    <t>{
  "cq_text": "What are all the associated species or types (e.g., human, Asgardian, AI) for each of the characters?",
  "syntax_ok": true,
  "satisfiable": true,
  "deterministic": true,
  "latency": {
    "p50_ms": 184.89,
    "p95_ms": 190.68,
    "mean_ms": 179.36
  },
  "rows": 2189,
  "vars": 4,
  "always_unbound_vars": [],
  "lexical_query_overlap": 0.06,
  "semantic_similarity_to_CQ": 0.7,
  "semantic_soft_coverage_to_CQ": 0.76,
  "tuple_cohesion": 0.69,
  "variables": [
    {
      "var": "character",
      "rows": 2189,
      "distinct": 1861,
      "null_rate": 0.0,
      "label_resolution_rate": 1.0,
      "diversity_entropy_norm": 0.98,
      "semantic_cohesion": 0.64,
      "dup_ratio": 0.15,
      "bound_rate": 1.0
    },
    {
      "var": "characterLabel",
      "rows": 2189,
      "distinct": 2178,
      "null_rate": 0.0,
      "label_resolution_rate": 1.0,
      "diversity_entropy_norm": 1.0,
      "semantic_cohesion": 0.65,
      "dup_ratio": 0.01,
      "bound_rate": 1.0
    },
    {
      "var": "kind",
      "rows": 2189,
      "distinct": 58,
      "null_rate": 0.0,
      "label_resolution_rate": 1.0,
      "diversity_entropy_norm": 0.18,
      "semantic_cohesion": 0.49,
      "dup_ratio": 0.97,
      "bound_rate": 1.0
    },
    {
      "var": "kindLabel",
      "rows": 2189,
      "distinct": 43,
      "null_rate": 0.0077661032434901784,
      "label_resolution_rate": 1.0,
      "diversity_entropy_norm": 0.18,
      "semantic_cohesion": 0.44,
      "dup_ratio": 0.98,
      "bound_rate": 0.9922338967565099
    }
  ]
}</t>
  </si>
  <si>
    <t>[{"var": "character", "rows": 2189, "distinct": 1861, "null_rate": 0.0, "label_resolution_rate": 1.0, "diversity_entropy_norm": 0.98, "semantic_cohesion": 0.64, "dup_ratio": 0.15, "bound_rate": 1.0}, {"var": "characterLabel", "rows": 2189, "distinct": 2178, "null_rate": 0.0, "label_resolution_rate": 1.0, "diversity_entropy_norm": 1.0, "semantic_cohesion": 0.65, "dup_ratio": 0.01, "bound_rate": 1.0}, {"var": "kind", "rows": 2189, "distinct": 58, "null_rate": 0.0, "label_resolution_rate": 1.0, "diversity_entropy_norm": 0.18, "semantic_cohesion": 0.49, "dup_ratio": 0.97, "bound_rate": 1.0}, {"var": "kindLabel", "rows": 2189, "distinct": 43, "null_rate": 0.0077661032434901784, "label_resolution_rate": 1.0, "diversity_entropy_norm": 0.18, "semantic_cohesion": 0.44, "dup_ratio": 0.98, "bound_rate": 0.9922338967565099}]</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</si>
  <si>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</si>
  <si>
    <t>PREFIX rdf: &lt;http://www.w3.org/1999/02/22-rdf-syntax-ns#&gt;
PREFIX rdfs: &lt;http://www.w3.org/2000/01/rdf-schema#&gt;
PREFIX ns1: &lt;http://dbkwik.webdatacommons.org/marvelcinematicuniverse.wikia.com/property/&gt;
SELECT ?character ?characterLabel ?origin ?originLabel ?originProperty
WHERE {
  ?character a &lt;http://dbkwik.webdatacommons.org/marvelcinematicuniverse.wikia.com/class/character&gt; .
  VALUES ?originProperty { ns1:homeplanet ns1:citizenship }
  ?character ?originProperty ?origin .
  OPTIONAL { ?character rdfs:label ?characterLabel . }
  OPTIONAL { ?origin rdfs:label ?originLabel . }
}
ORDER BY ?character ?originProperty ?origin</t>
  </si>
  <si>
    <t>{
    "id": "batch_req_691fabe926c081908c468b57f799c7cc",
    "custom_id": "cq-4",
    "response": {
        "status_code": 200,
        "request_id": "b56d038e5802c442b4f1f54d380bb060",
        "body": {
            "id": "chatcmpl-Ce7mCFganLI0NgatKsJGxK4TDAs3X",
            "object": "chat.completion",
            "created": 1763679048,
            "model": "gpt-5-2025-08-07",
            "choices": [
                {
                    "index": 0,
                    "message": {
                        "role": "assistant",
                        "content": "PREFIX rdf: &lt;http://www.w3.org/1999/02/22-rdf-syntax-ns#&gt;\nPREFIX rdfs: &lt;http://www.w3.org/2000/01/rdf-schema#&gt;\nPREFIX ns1: &lt;http://dbkwik.webdatacommons.org/marvelcinematicuniverse.wikia.com/property/&gt;\n\nSELECT ?character ?characterLabel ?origin ?originLabel ?originProperty\nWHERE {\n  ?character a &lt;http://dbkwik.webdatacommons.org/marvelcinematicuniverse.wikia.com/class/character&gt; .\n  VALUES ?originProperty { ns1:homeplanet ns1:citizenship }\n  ?character ?originProperty ?origin .\n  OPTIONAL { ?character rdfs:label ?characterLabel . }\n  OPTIONAL { ?origin rdfs:label ?originLabel . }\n}\nORDER BY ?character ?originProperty ?origin",
                        "refusal": null,
                        "annotations": []
                    },
                    "finish_reason": "stop"
                }
            ],
            "usage": {
                "prompt_tokens": 109333,
                "completion_tokens": 2178,
                "total_tokens": 111511,
                "prompt_tokens_details": {
                    "cached_tokens": 0,
                    "audio_tokens": 0
                },
                "completion_tokens_details": {
                    "reasoning_tokens": 1984,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</si>
  <si>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rdf: &lt;http://www.w3.org/1999/02/22-rdf-syntax-ns#&gt;
PREFIX rdfs: &lt;http://www.w3.org/2000/01/rdf-schema#&gt;
PREFIX ns1: &lt;http://dbkwik.webdatacommons.org/marvelcinematicuniverse.wikia.com/property/&gt;
SELECT ?character ?characterLabel ?origin ?originLabel ?originProperty
WHERE {
  ?character a &lt;http://dbkwik.webdatacommons.org/marvelcinematicuniverse.wikia.com/class/character&gt; .
  VALUES ?originProperty { ns1:homeplanet ns1:citizenship }
  ?character ?originProperty ?origin .
  OPTIONAL { ?character rdfs:label ?characterLabel . }
  OPTIONAL { ?origin rdfs:label ?originLabel . }
}
ORDER BY ?character ?originProperty ?origin</t>
  </si>
  <si>
    <t>{
  "cq_text": "What are all the origin locations (e.g., homeworld, birthplace, base) for each of the characters?",
  "syntax_ok": true,
  "satisfiable": true,
  "deterministic": true,
  "latency": {
    "p50_ms": 40.45,
    "p95_ms": 42.11,
    "mean_ms": 40.99
  },
  "rows": 59,
  "vars": 5,
  "always_unbound_vars": [],
  "lexical_query_overlap": 0.06,
  "semantic_similarity_to_CQ": 0.69,
  "semantic_soft_coverage_to_CQ": 0.74,
  "tuple_cohesion": 0.67,
  "variables": [
    {
      "var": "character",
      "rows": 59,
      "distinct": 54,
      "null_rate": 0.0,
      "label_resolution_rate": 1.0,
      "diversity_entropy_norm": 0.98,
      "semantic_cohesion": 0.47,
      "dup_ratio": 0.08,
      "bound_rate": 1.0
    },
    {
      "var": "characterLabel",
      "rows": 59,
      "distinct": 59,
      "null_rate": 0.0,
      "label_resolution_rate": 1.0,
      "diversity_entropy_norm": 1.0,
      "semantic_cohesion": 0.5,
      "dup_ratio": 0.0,
      "bound_rate": 1.0
    },
    {
      "var": "origin",
      "rows": 59,
      "distinct": 12,
      "null_rate": 0.0,
      "label_resolution_rate": 1.0,
      "diversity_entropy_norm": 0.7,
      "semantic_cohesion": 0.43,
      "dup_ratio": 0.8,
      "bound_rate": 1.0
    },
    {
      "var": "originLabel",
      "rows": 59,
      "distinct": 13,
      "null_rate": 0.0,
      "label_resolution_rate": 1.0,
      "diversity_entropy_norm": 0.7,
      "semantic_cohesion": 0.47,
      "dup_ratio": 0.78,
      "bound_rate": 1.0
    },
    {
      "var": "originProperty",
      "rows": 59,
      "distinct": 1,
      "null_rate": 0.0,
      "label_resolution_rate": 1.0,
      "diversity_entropy_norm": -1.0,
      "semantic_cohesion": 1.0,
      "dup_ratio": 0.98,
      "bound_rate": 1.0
    }
  ]
}</t>
  </si>
  <si>
    <t>[{"var": "character", "rows": 59, "distinct": 54, "null_rate": 0.0, "label_resolution_rate": 1.0, "diversity_entropy_norm": 0.98, "semantic_cohesion": 0.47, "dup_ratio": 0.08, "bound_rate": 1.0}, {"var": "characterLabel", "rows": 59, "distinct": 59, "null_rate": 0.0, "label_resolution_rate": 1.0, "diversity_entropy_norm": 1.0, "semantic_cohesion": 0.5, "dup_ratio": 0.0, "bound_rate": 1.0}, {"var": "origin", "rows": 59, "distinct": 12, "null_rate": 0.0, "label_resolution_rate": 1.0, "diversity_entropy_norm": 0.7, "semantic_cohesion": 0.43, "dup_ratio": 0.8, "bound_rate": 1.0}, {"var": "originLabel", "rows": 59, "distinct": 13, "null_rate": 0.0, "label_resolution_rate": 1.0, "diversity_entropy_norm": 0.7, "semantic_cohesion": 0.47, "dup_ratio": 0.78, "bound_rate": 1.0}, {"var": "originProperty", "rows": 59, "distinct": 1, "null_rate": 0.0, "label_resolution_rate": 1.0, "diversity_entropy_norm": -1.0, "semantic_cohesion": 1.0, "dup_ratio": 0.98, "bound_rate": 1.0}]</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</si>
  <si>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</si>
  <si>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PREFIX rdf: &lt;http://www.w3.org/1999/02/22-rdf-syntax-ns#&gt;
PREFIX rdfs: &lt;http://www.w3.org/2000/01/rdf-schema#&gt;
PREFIX ns1: &lt;http://dbkwik.webdatacommons.org/marvelcinematicuniverse.wikia.com/property/&gt;
PREFIX xsd: &lt;http://www.w3.org/2001/XMLSchema#&gt;
SELECT ?movie ?title ?releaseDate (SUBSTR(STR(?releaseDate), 1, 4) AS ?releaseYear)
WHERE {
  ?movie a &lt;http://dbkwik.webdatacommons.org/marvelcinematicuniverse.wikia.com/class/movie&gt; ;
         rdfs:label ?title .
  OPTIONAL { ?movie ns1:release ?d1 . }
  OPTIONAL { ?movie ns1:released ?d2 . }
  BIND(COALESCE(?d2, ?d1) AS ?releaseDate)
}
ORDER BY ?title</t>
  </si>
  <si>
    <t>{
    "id": "batch_req_691fabe94a5081909e82802ed54d3d64",
    "custom_id": "cq-5",
    "response": {
        "status_code": 200,
        "request_id": "b9fab6fd74f0bf23640f58394c244e69",
        "body": {
            "id": "chatcmpl-Ce7sUyAYViV3TyDtNfSK8TAkDMs3z",
            "object": "chat.completion",
            "created": 1763679438,
            "model": "gpt-5-2025-08-07",
            "choices": [
                {
                    "index": 0,
                    "message": {
                        "role": "assistant",
                        "content": "PREFIX rdf: &lt;http://www.w3.org/1999/02/22-rdf-syntax-ns#&gt;\nPREFIX rdfs: &lt;http://www.w3.org/2000/01/rdf-schema#&gt;\nPREFIX ns1: &lt;http://dbkwik.webdatacommons.org/marvelcinematicuniverse.wikia.com/property/&gt;\nPREFIX xsd: &lt;http://www.w3.org/2001/XMLSchema#&gt;\n\nSELECT ?movie ?title ?releaseDate (SUBSTR(STR(?releaseDate), 1, 4) AS ?releaseYear)\nWHERE {\n  ?movie a &lt;http://dbkwik.webdatacommons.org/marvelcinematicuniverse.wikia.com/class/movie&gt; ;\n         rdfs:label ?title .\n  OPTIONAL { ?movie ns1:release ?d1 . }\n  OPTIONAL { ?movie ns1:released ?d2 . }\n  BIND(COALESCE(?d2, ?d1) AS ?releaseDate)\n}\nORDER BY ?title",
                        "refusal": null,
                        "annotations": []
                    },
                    "finish_reason": "stop"
                }
            ],
            "usage": {
                "prompt_tokens": 109329,
                "completion_tokens": 3291,
                "total_tokens": 112620,
                "prompt_tokens_details": {
                    "cached_tokens": 0,
                    "audio_tokens": 0
                },
                "completion_tokens_details": {
                    "reasoning_tokens": 3072,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</si>
  <si>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rdf: &lt;http://www.w3.org/1999/02/22-rdf-syntax-ns#&gt;
PREFIX rdfs: &lt;http://www.w3.org/2000/01/rdf-schema#&gt;
PREFIX ns1: &lt;http://dbkwik.webdatacommons.org/marvelcinematicuniverse.wikia.com/property/&gt;
PREFIX xsd: &lt;http://www.w3.org/2001/XMLSchema#&gt;
SELECT ?movie ?title ?releaseDate (SUBSTR(STR(?releaseDate), 1, 4) AS ?releaseYear)
WHERE {
  ?movie a &lt;http://dbkwik.webdatacommons.org/marvelcinematicuniverse.wikia.com/class/movie&gt; ;
         rdfs:label ?title .
  OPTIONAL { ?movie ns1:release ?d1 . }
  OPTIONAL { ?movie ns1:released ?d2 . }
  BIND(COALESCE(?d2, ?d1) AS ?releaseDate)
}
ORDER BY ?title</t>
  </si>
  <si>
    <t>{
  "cq_text": "What are all the release dates (or years), if available, for each of the movies?",
  "syntax_ok": true,
  "satisfiable": true,
  "deterministic": true,
  "latency": {
    "p50_ms": 21.44,
    "p95_ms": 23.27,
    "mean_ms": 20.14
  },
  "rows": 46,
  "vars": 5,
  "always_unbound_vars": [],
  "lexical_query_overlap": 0.03,
  "semantic_similarity_to_CQ": 0.7,
  "semantic_soft_coverage_to_CQ": 0.77,
  "tuple_cohesion": 0.92,
  "variables": [
    {
      "var": "movie",
      "rows": 46,
      "distinct": 18,
      "null_rate": 0.0,
      "label_resolution_rate": 1.0,
      "diversity_entropy_norm": 0.85,
      "semantic_cohesion": 0.62,
      "dup_ratio": 0.61,
      "bound_rate": 1.0
    },
    {
      "var": "title",
      "rows": 46,
      "distinct": 26,
      "null_rate": 0.0,
      "label_resolution_rate": 1.0,
      "diversity_entropy_norm": 0.98,
      "semantic_cohesion": 0.72,
      "dup_ratio": 0.43,
      "bound_rate": 1.0
    },
    {
      "var": "releaseDate",
      "rows": 46,
      "distinct": 40,
      "null_rate": -0.8695652173913043,
      "label_resolution_rate": 1.0,
      "diversity_entropy_norm": 0.99,
      "semantic_cohesion": 0.98,
      "dup_ratio": 0.53,
      "bound_rate": 1.8695652173913044
    },
    {
      "var": "releaseDate",
      "rows": 46,
      "distinct": 40,
      "null_rate": -0.8695652173913043,
      "label_resolution_rate": 1.0,
      "diversity_entropy_norm": 0.99,
      "semantic_cohesion": 0.98,
      "dup_ratio": 0.53,
      "bound_rate": 1.8695652173913044
    },
    {
      "var": "releaseYear",
      "rows": 46,
      "distinct": 11,
      "null_rate": 0.06521739130434782,
      "label_resolution_rate": 1.0,
      "diversity_entropy_norm": 0.87,
      "semantic_cohesion": 0.81,
      "dup_ratio": 0.74,
      "bound_rate": 0.9347826086956522
    }
  ]
}</t>
  </si>
  <si>
    <t>[{"var": "movie", "rows": 46, "distinct": 18, "null_rate": 0.0, "label_resolution_rate": 1.0, "diversity_entropy_norm": 0.85, "semantic_cohesion": 0.62, "dup_ratio": 0.61, "bound_rate": 1.0}, {"var": "title", "rows": 46, "distinct": 26, "null_rate": 0.0, "label_resolution_rate": 1.0, "diversity_entropy_norm": 0.98, "semantic_cohesion": 0.72, "dup_ratio": 0.43, "bound_rate": 1.0}, {"var": "releaseDate", "rows": 46, "distinct": 40, "null_rate": -0.8695652173913043, "label_resolution_rate": 1.0, "diversity_entropy_norm": 0.99, "semantic_cohesion": 0.98, "dup_ratio": 0.53, "bound_rate": 1.8695652173913044}, {"var": "releaseDate", "rows": 46, "distinct": 40, "null_rate": -0.8695652173913043, "label_resolution_rate": 1.0, "diversity_entropy_norm": 0.99, "semantic_cohesion": 0.98, "dup_ratio": 0.53, "bound_rate": 1.8695652173913044}, {"var": "releaseYear", "rows": 46, "distinct": 11, "null_rate": 0.06521739130434782, "label_resolution_rate": 1.0, "diversity_entropy_norm": 0.87, "semantic_cohesion": 0.81, "dup_ratio": 0.74, "bound_rate": 0.9347826086956522}]</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</si>
  <si>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</si>
  <si>
    <t>PREFIX ns1: &lt;http://dbkwik.webdatacommons.org/marvelcinematicuniverse.wikia.com/property/&gt;
PREFIX rdf: &lt;http://www.w3.org/1999/02/22-rdf-syntax-ns#&gt;
PREFIX rdfs: &lt;http://www.w3.org/2000/01/rdf-schema#&gt;
SELECT DISTINCT ?movie ?movieLabel ?director ?directorLabel
WHERE {
  ?movie a &lt;http://dbkwik.webdatacommons.org/marvelcinematicuniverse.wikia.com/class/movie&gt; .
  {
    ?director ns1:directed ?movie .
  } UNION {
    ?movie ns1:director ?director .
  }
  OPTIONAL { ?movie rdfs:label ?movieLabel . }
  OPTIONAL { ?director rdfs:label ?directorLabel . }
}
ORDER BY LCASE(STR(?movieLabel)) LCASE(STR(?directorLabel))</t>
  </si>
  <si>
    <t>{
    "id": "batch_req_691fabe92ba4819088cde88974f8a7bd",
    "custom_id": "cq-6",
    "response": {
        "status_code": 200,
        "request_id": "7ecc119495ec06574fa652143a0043ee",
        "body": {
            "id": "chatcmpl-Ce8Z31X2QMmfAymifAnu7j3PnvekN",
            "object": "chat.completion",
            "created": 1763682077,
            "model": "gpt-5-2025-08-07",
            "choices": [
                {
                    "index": 0,
                    "message": {
                        "role": "assistant",
                        "content": "PREFIX ns1: &lt;http://dbkwik.webdatacommons.org/marvelcinematicuniverse.wikia.com/property/&gt;\nPREFIX rdf: &lt;http://www.w3.org/1999/02/22-rdf-syntax-ns#&gt;\nPREFIX rdfs: &lt;http://www.w3.org/2000/01/rdf-schema#&gt;\n\nSELECT DISTINCT ?movie ?movieLabel ?director ?directorLabel\nWHERE {\n  ?movie a &lt;http://dbkwik.webdatacommons.org/marvelcinematicuniverse.wikia.com/class/movie&gt; .\n  {\n    ?director ns1:directed ?movie .\n  } UNION {\n    ?movie ns1:director ?director .\n  }\n  OPTIONAL { ?movie rdfs:label ?movieLabel . }\n  OPTIONAL { ?director rdfs:label ?directorLabel . }\n}\nORDER BY LCASE(STR(?movieLabel)) LCASE(STR(?directorLabel))",
                        "refusal": null,
                        "annotations": []
                    },
                    "finish_reason": "stop"
                }
            ],
            "usage": {
                "prompt_tokens": 109323,
                "completion_tokens": 2442,
                "total_tokens": 111765,
                "prompt_tokens_details": {
                    "cached_tokens": 0,
                    "audio_tokens": 0
                },
                "completion_tokens_details": {
                    "reasoning_tokens": 2240,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</si>
  <si>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ns1: &lt;http://dbkwik.webdatacommons.org/marvelcinematicuniverse.wikia.com/property/&gt;
PREFIX rdf: &lt;http://www.w3.org/1999/02/22-rdf-syntax-ns#&gt;
PREFIX rdfs: &lt;http://www.w3.org/2000/01/rdf-schema#&gt;
SELECT DISTINCT ?movie ?movieLabel ?director ?directorLabel
WHERE {
  ?movie a &lt;http://dbkwik.webdatacommons.org/marvelcinematicuniverse.wikia.com/class/movie&gt; .
  {
    ?director ns1:directed ?movie .
  } UNION {
    ?movie ns1:director ?director .
  }
  OPTIONAL { ?movie rdfs:label ?movieLabel . }
  OPTIONAL { ?director rdfs:label ?directorLabel . }
}
ORDER BY LCASE(STR(?movieLabel)) LCASE(STR(?directorLabel))</t>
  </si>
  <si>
    <t>{
  "cq_text": "Who are all the director(s) for each of the movies?",
  "syntax_ok": true,
  "satisfiable": true,
  "deterministic": true,
  "latency": {
    "p50_ms": 19.91,
    "p95_ms": 19.94,
    "mean_ms": 19.8
  },
  "rows": 50,
  "vars": 4,
  "always_unbound_vars": [],
  "lexical_query_overlap": 0.04,
  "semantic_similarity_to_CQ": 0.75,
  "semantic_soft_coverage_to_CQ": 0.74,
  "tuple_cohesion": 0.79,
  "variables": [
    {
      "var": "movie",
      "rows": 50,
      "distinct": 16,
      "null_rate": 0.0,
      "label_resolution_rate": 1.0,
      "diversity_entropy_norm": 0.84,
      "semantic_cohesion": 0.59,
      "dup_ratio": 0.68,
      "bound_rate": 1.0
    },
    {
      "var": "movieLabel",
      "rows": 50,
      "distinct": 25,
      "null_rate": 0.0,
      "label_resolution_rate": 1.0,
      "diversity_entropy_norm": 0.97,
      "semantic_cohesion": 0.73,
      "dup_ratio": 0.5,
      "bound_rate": 1.0
    },
    {
      "var": "director",
      "rows": 50,
      "distinct": 20,
      "null_rate": 0.0,
      "label_resolution_rate": 1.0,
      "diversity_entropy_norm": 0.88,
      "semantic_cohesion": 0.48,
      "dup_ratio": 0.6,
      "bound_rate": 1.0
    },
    {
      "var": "directorLabel",
      "rows": 50,
      "distinct": 20,
      "null_rate": 0.0,
      "label_resolution_rate": 1.0,
      "diversity_entropy_norm": 0.88,
      "semantic_cohesion": 0.49,
      "dup_ratio": 0.6,
      "bound_rate": 1.0
    }
  ]
}</t>
  </si>
  <si>
    <t>[{"var": "movie", "rows": 50, "distinct": 16, "null_rate": 0.0, "label_resolution_rate": 1.0, "diversity_entropy_norm": 0.84, "semantic_cohesion": 0.59, "dup_ratio": 0.68, "bound_rate": 1.0}, {"var": "movieLabel", "rows": 50, "distinct": 25, "null_rate": 0.0, "label_resolution_rate": 1.0, "diversity_entropy_norm": 0.97, "semantic_cohesion": 0.73, "dup_ratio": 0.5, "bound_rate": 1.0}, {"var": "director", "rows": 50, "distinct": 20, "null_rate": 0.0, "label_resolution_rate": 1.0, "diversity_entropy_norm": 0.88, "semantic_cohesion": 0.48, "dup_ratio": 0.6, "bound_rate": 1.0}, {"var": "directorLabel", "rows": 50, "distinct": 20, "null_rate": 0.0, "label_resolution_rate": 1.0, "diversity_entropy_norm": 0.88, "semantic_cohesion": 0.49, "dup_ratio": 0.6, "bound_rate": 1.0}]</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</si>
  <si>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</si>
  <si>
    <t>PREFIX ns1: &lt;http://dbkwik.webdatacommons.org/marvelcinematicuniverse.wikia.com/property/&gt;
PREFIX rdfs: &lt;http://www.w3.org/2000/01/rdf-schema#&gt;
SELECT DISTINCT ?character ?label ?powersOrAbilities
WHERE {
  ?character rdfs:label ?label .
  OPTIONAL { ?character rdfs:comment ?comment . }
  FILTER (
    (EXISTS { ?character a &lt;http://dbkwik.webdatacommons.org/marvelcinematicuniverse.wikia.com/class/character&gt; } ||
     EXISTS { ?character ns1:species|ns1:gender ?x })
    &amp;&amp; bound(?comment)
    &amp;&amp; regex(str(?comment), "(power|abilit|enhanced|superhuman)", "i")
  )
  BIND(?comment AS ?powersOrAbilities)
}
ORDER BY ?label</t>
  </si>
  <si>
    <t>{
    "id": "batch_req_691fabe92c848190bcadbd9d99fa96e2",
    "custom_id": "cq-7",
    "response": {
        "status_code": 200,
        "request_id": "62b2b006508ffdbbd954de33cb11470e",
        "body": {
            "id": "chatcmpl-Ce7tPPKElA0jdncccbBOpuw3EXWkV",
            "object": "chat.completion",
            "created": 1763679495,
            "model": "gpt-5-2025-08-07",
            "choices": [
                {
                    "index": 0,
                    "message": {
                        "role": "assistant",
                        "content": "PREFIX ns1: &lt;http://dbkwik.webdatacommons.org/marvelcinematicuniverse.wikia.com/property/&gt;\nPREFIX rdfs: &lt;http://www.w3.org/2000/01/rdf-schema#&gt;\n\nSELECT DISTINCT ?character ?label ?powersOrAbilities\nWHERE {\n  ?character rdfs:label ?label .\n  OPTIONAL { ?character rdfs:comment ?comment . }\n  FILTER (\n    (EXISTS { ?character a &lt;http://dbkwik.webdatacommons.org/marvelcinematicuniverse.wikia.com/class/character&gt; } ||\n     EXISTS { ?character ns1:species|ns1:gender ?x })\n    &amp;&amp; bound(?comment)\n    &amp;&amp; regex(str(?comment), \"(power|abilit|enhanced|superhuman)\", \"i\")\n  )\n  BIND(?comment AS ?powersOrAbilities)\n}\nORDER BY ?label",
                        "refusal": null,
                        "annotations": []
                    },
                    "finish_reason": "stop"
                }
            ],
            "usage": {
                "prompt_tokens": 109324,
                "completion_tokens": 2242,
                "total_tokens": 111566,
                "prompt_tokens_details": {
                    "cached_tokens": 0,
                    "audio_tokens": 0
                },
                "completion_tokens_details": {
                    "reasoning_tokens": 2048,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</si>
  <si>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ns1: &lt;http://dbkwik.webdatacommons.org/marvelcinematicuniverse.wikia.com/property/&gt;
PREFIX rdfs: &lt;http://www.w3.org/2000/01/rdf-schema#&gt;
SELECT DISTINCT ?character ?label ?powersOrAbilities
WHERE {
  ?character rdfs:label ?label .
  OPTIONAL { ?character rdfs:comment ?comment . }
  FILTER (
    (EXISTS { ?character a &lt;http://dbkwik.webdatacommons.org/marvelcinematicuniverse.wikia.com/class/character&gt; } ||
     EXISTS { ?character ns1:species|ns1:gender ?x })
    &amp;&amp; bound(?comment)
    &amp;&amp; regex(str(?comment), "(power|abilit|enhanced|superhuman)", "i")
  )
  BIND(?comment AS ?powersOrAbilities)
}
ORDER BY ?label</t>
  </si>
  <si>
    <t>{
  "cq_text": "What are all the listed powers or abilities for each of the characters?",
  "syntax_ok": true,
  "satisfiable": true,
  "deterministic": true,
  "latency": {
    "p50_ms": 477.45,
    "p95_ms": 614.65,
    "mean_ms": 522.13
  },
  "rows": 163,
  "vars": 3,
  "always_unbound_vars": [],
  "lexical_query_overlap": 0.07,
  "semantic_similarity_to_CQ": 0.72,
  "semantic_soft_coverage_to_CQ": 0.76,
  "tuple_cohesion": 0.52,
  "variables": [
    {
      "var": "character",
      "rows": 163,
      "distinct": 154,
      "null_rate": 0.0,
      "label_resolution_rate": 1.0,
      "diversity_entropy_norm": 0.99,
      "semantic_cohesion": 0.52,
      "dup_ratio": 0.06,
      "bound_rate": 1.0
    },
    {
      "var": "label",
      "rows": 163,
      "distinct": 163,
      "null_rate": 0.0,
      "label_resolution_rate": 1.0,
      "diversity_entropy_norm": 1.0,
      "semantic_cohesion": 0.48,
      "dup_ratio": 0.0,
      "bound_rate": 1.0
    },
    {
      "var": "powersOrAbilities",
      "rows": 163,
      "distinct": 163,
      "null_rate": 0.0,
      "label_resolution_rate": 1.0,
      "diversity_entropy_norm": 1.0,
      "semantic_cohesion": 0.56,
      "dup_ratio": 0.0,
      "bound_rate": 1.0
    }
  ]
}</t>
  </si>
  <si>
    <t>[{"var": "character", "rows": 163, "distinct": 154, "null_rate": 0.0, "label_resolution_rate": 1.0, "diversity_entropy_norm": 0.99, "semantic_cohesion": 0.52, "dup_ratio": 0.06, "bound_rate": 1.0}, {"var": "label", "rows": 163, "distinct": 163, "null_rate": 0.0, "label_resolution_rate": 1.0, "diversity_entropy_norm": 1.0, "semantic_cohesion": 0.48, "dup_ratio": 0.0, "bound_rate": 1.0}, {"var": "powersOrAbilities", "rows": 163, "distinct": 163, "null_rate": 0.0, "label_resolution_rate": 1.0, "diversity_entropy_norm": 1.0, "semantic_cohesion": 0.56, "dup_ratio": 0.0, "bound_rate": 1.0}]</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</si>
  <si>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</si>
  <si>
    <t>PREFIX rdf: &lt;http://www.w3.org/1999/02/22-rdf-syntax-ns#&gt;
PREFIX rdfs: &lt;http://www.w3.org/2000/01/rdf-schema#&gt;
PREFIX ns1: &lt;http://dbkwik.webdatacommons.org/marvelcinematicuniverse.wikia.com/property/&gt;
PREFIX ns2: &lt;http://dbkwik.webdatacommons.org/marvelcinematicuniverse.wikia.com/property/affiliation(s)&gt;
SELECT DISTINCT ?character ?characterLabel ?affiliation ?affiliationLabel
WHERE {
  ?character rdf:type &lt;http://dbkwik.webdatacommons.org/marvelcinematicuniverse.wikia.com/class/character&gt; .
  {
    ?character ns1:affiliation ?affiliation .
  } UNION {
    ?character ns2: ?affiliation .
  } UNION {
    ?character ns1:team ?affiliation .
  } UNION {
    ?affiliation ns1:members ?character .
  } UNION {
    ?affiliation ns1:formermembers ?character .
  }
  OPTIONAL { ?character rdfs:label ?characterLabel . }
  OPTIONAL { ?affiliation rdfs:label ?affiliationLabel . }
}
ORDER BY LCASE(STR(?characterLabel)) LCASE(STR(?affiliationLabel)) ?character ?affiliation</t>
  </si>
  <si>
    <t>{
    "id": "batch_req_691fabe928108190b29e46f3311ab8a7",
    "custom_id": "cq-8",
    "response": {
        "status_code": 200,
        "request_id": "c422c52e77a26ee6d758143f021a20af",
        "body": {
            "id": "chatcmpl-Ce7mCHNfxdaTAksq6AZxuVbD6sCdq",
            "object": "chat.completion",
            "created": 1763679048,
            "model": "gpt-5-2025-08-07",
            "choices": [
                {
                    "index": 0,
                    "message": {
                        "role": "assistant",
                        "content": "PREFIX rdf: &lt;http://www.w3.org/1999/02/22-rdf-syntax-ns#&gt;\nPREFIX rdfs: &lt;http://www.w3.org/2000/01/rdf-schema#&gt;\nPREFIX ns1: &lt;http://dbkwik.webdatacommons.org/marvelcinematicuniverse.wikia.com/property/&gt;\nPREFIX ns2: &lt;http://dbkwik.webdatacommons.org/marvelcinematicuniverse.wikia.com/property/affiliation(s)&gt;\n\nSELECT DISTINCT ?character ?characterLabel ?affiliation ?affiliationLabel\nWHERE {\n  ?character rdf:type &lt;http://dbkwik.webdatacommons.org/marvelcinematicuniverse.wikia.com/class/character&gt; .\n  {\n    ?character ns1:affiliation ?affiliation .\n  } UNION {\n    ?character ns2: ?affiliation .\n  } UNION {\n    ?character ns1:team ?affiliation .\n  } UNION {\n    ?affiliation ns1:members ?character .\n  } UNION {\n    ?affiliation ns1:formermembers ?character .\n  }\n  OPTIONAL { ?character rdfs:label ?characterLabel . }\n  OPTIONAL { ?affiliation rdfs:label ?affiliationLabel . }\n}\nORDER BY LCASE(STR(?characterLabel)) LCASE(STR(?affiliationLabel)) ?character ?affiliation",
                        "refusal": null,
                        "annotations": []
                    },
                    "finish_reason": "stop"
                }
            ],
            "usage": {
                "prompt_tokens": 109324,
                "completion_tokens": 2790,
                "total_tokens": 112114,
                "prompt_tokens_details": {
                    "cached_tokens": 0,
                    "audio_tokens": 0
                },
                "completion_tokens_details": {
                    "reasoning_tokens": 2496,
                    "audio_tokens": 0,
                    "accepted_prediction_tokens": 0,
                    "rejected_prediction_tokens": 0
                }
            },
            "service_tier": "default",
            "system_fingerprint": null
        }
    },
    "error": null
}</t>
  </si>
  <si>
    <t>PREFIX dc: &lt;http://purl.org/dc/elements/1.1/&gt;
PREFIX dcterms: &lt;http://purl.org/dc/terms/&gt;
PREFIX foaf: &lt;http://xmlns.com/foaf/0.1/&gt;
PREFIX ns3: &lt;http://dbkwik.webdatacommons.org/ontology/&gt;
PREFIX ns6: &lt;http://dbkwik.webdatacommons.org/marvelcinematicuniverse.wikia.com/property/%23&gt;
PREFIX owl: &lt;http://www.w3.org/2002/07/owl#&gt;
PREFIX skos: &lt;http://www.w3.org/2004/02/skos/core#&gt;
PREFIX xsd: &lt;http://www.w3.org/2001/XMLSchema#&gt;
PREFIX rdf: &lt;http://www.w3.org/1999/02/22-rdf-syntax-ns#&gt;
PREFIX rdfs: &lt;http://www.w3.org/2000/01/rdf-schema#&gt;
PREFIX ns1: &lt;http://dbkwik.webdatacommons.org/marvelcinematicuniverse.wikia.com/property/&gt;
PREFIX ns2: &lt;http://dbkwik.webdatacommons.org/marvelcinematicuniverse.wikia.com/property/affiliation(s)&gt;
SELECT DISTINCT ?character ?characterLabel ?affiliation ?affiliationLabel
WHERE {
  ?character rdf:type &lt;http://dbkwik.webdatacommons.org/marvelcinematicuniverse.wikia.com/class/character&gt; .
  {
    ?character ns1:affiliation ?affiliation .
  } UNION {
    ?character ns2: ?affiliation .
  } UNION {
    ?character ns1:team ?affiliation .
  } UNION {
    ?affiliation ns1:members ?character .
  } UNION {
    ?affiliation ns1:formermembers ?character .
  }
  OPTIONAL { ?character rdfs:label ?characterLabel . }
  OPTIONAL { ?affiliation rdfs:label ?affiliationLabel . }
}
ORDER BY LCASE(STR(?characterLabel)) LCASE(STR(?affiliationLabel)) ?character ?affiliation</t>
  </si>
  <si>
    <t>{
  "cq_text": "What are all the team or organization affiliations for each of the characters?",
  "syntax_ok": true,
  "satisfiable": true,
  "deterministic": true,
  "latency": {
    "p50_ms": 156.77,
    "p95_ms": 163.52,
    "mean_ms": 152.82
  },
  "rows": 1285,
  "vars": 4,
  "always_unbound_vars": [],
  "lexical_query_overlap": 0.0,
  "semantic_similarity_to_CQ": 0.77,
  "semantic_soft_coverage_to_CQ": 0.78,
  "tuple_cohesion": 0.67,
  "variables": [
    {
      "var": "character",
      "rows": 1285,
      "distinct": 846,
      "null_rate": 0.0,
      "label_resolution_rate": 1.0,
      "diversity_entropy_norm": 0.96,
      "semantic_cohesion": 0.59,
      "dup_ratio": 0.34,
      "bound_rate": 1.0
    },
    {
      "var": "characterLabel",
      "rows": 1285,
      "distinct": 958,
      "null_rate": 0.0,
      "label_resolution_rate": 1.0,
      "diversity_entropy_norm": 0.98,
      "semantic_cohesion": 0.59,
      "dup_ratio": 0.25,
      "bound_rate": 1.0
    },
    {
      "var": "affiliation",
      "rows": 1285,
      "distinct": 339,
      "null_rate": 0.0,
      "label_resolution_rate": 1.0,
      "diversity_entropy_norm": 0.91,
      "semantic_cohesion": 0.55,
      "dup_ratio": 0.74,
      "bound_rate": 1.0
    },
    {
      "var": "affiliationLabel",
      "rows": 1285,
      "distinct": 315,
      "null_rate": 0.038910505836575876,
      "label_resolution_rate": 1.0,
      "diversity_entropy_norm": 0.92,
      "semantic_cohesion": 0.53,
      "dup_ratio": 0.74,
      "bound_rate": 0.9610894941634242
    }
  ]
}</t>
  </si>
  <si>
    <t>[{"var": "character", "rows": 1285, "distinct": 846, "null_rate": 0.0, "label_resolution_rate": 1.0, "diversity_entropy_norm": 0.96, "semantic_cohesion": 0.59, "dup_ratio": 0.34, "bound_rate": 1.0}, {"var": "characterLabel", "rows": 1285, "distinct": 958, "null_rate": 0.0, "label_resolution_rate": 1.0, "diversity_entropy_norm": 0.98, "semantic_cohesion": 0.59, "dup_ratio": 0.25, "bound_rate": 1.0}, {"var": "affiliation", "rows": 1285, "distinct": 339, "null_rate": 0.0, "label_resolution_rate": 1.0, "diversity_entropy_norm": 0.91, "semantic_cohesion": 0.55, "dup_ratio": 0.74, "bound_rate": 1.0}, {"var": "affiliationLabel", "rows": 1285, "distinct": 315, "null_rate": 0.038910505836575876, "label_resolution_rate": 1.0, "diversity_entropy_norm": 0.92, "semantic_cohesion": 0.53, "dup_ratio": 0.74, "bound_rate": 0.9610894941634242}]</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</si>
  <si>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</si>
  <si>
    <t>PREFIX ns1: &lt;http://dbkwik.webdatacommons.org/marvelcinematicuniverse.wikia.com/property/&gt;
PREFIX rdf: &lt;http://www.w3.org/1999/02/22-rdf-syntax-ns#&gt;
PREFIX rdfs: &lt;http://www.w3.org/2000/01/rdf-schema#&gt;
SELECT DISTINCT ?place ?label
WHERE {
  {
    ?s ns1:location ?place .
  } UNION {
    ?s ns1:place ?place .
  } UNION {
    ?place a &lt;http://dbkwik.webdatacommons.org/marvelcinematicuniverse.wikia.com/class/location&gt; .
  }
  OPTIONAL { ?place rdfs:label ?label }
}
ORDER BY LCASE(STR(COALESCE(?label, STR(?place))))</t>
  </si>
  <si>
    <t>{
    "id": "batch_req_691fabe929e48190842658cea3e85167",
    "custom_id": "cq-9",
    "response": {
        "status_code": 200,
        "request_id": "80dc7e4c3a98f550147f535976386c2a",
        "body": {
            "id": "chatcmpl-Ce7tiKGkT9iwFK0vIZXlER11NzTzw",
            "object": "chat.completion",
            "created": 1763679514,
            "model": "gpt-5-2025-08-07",
            "choices": [
                {
                    "index": 0,
                    "message": {
                        "role": "assistant",
                        "content": "PREFIX ns1: &lt;http://dbkwik.webdatacommons.org/marvelcinematicuniverse.wikia.com/property/&gt;\nPREFIX rdf: &lt;http://www.w3.org/1999/02/22-rdf-syntax-ns#&gt;\nPREFIX rdfs: &lt;http://www.w3.org/2000/01/rdf-schema#&gt;\n\nSELECT DISTINCT ?place ?label\nWHERE {\n  {\n    ?s ns1:location ?place .\n  } UNION {\n    ?s ns1:place ?place .\n  } UNION {\n    ?place a &lt;http://dbkwik.webdatacommons.org/marvelcinematicuniverse.wikia.com/class/location&gt; .\n  }\n  OPTIONAL { ?place rdfs:label ?label }\n}\nORDER BY LCASE(STR(COALESCE(?label, STR(?place))))",
                        "refusal": null,
                        "annotations": []
                    },
                    "finish_reason": "stop"
                }
            ],
            "usage": {
                "prompt_tokens": 109320,
                "completion_tokens": 1782,
                "total_tokens": 111102,
                "prompt_tokens_details": {
                    "cached_tokens": 0,
                    "audio_tokens": 0
                },
                "completion_tokens_details": {
                    "reasoning_tokens": 1600,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</si>
  <si>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ns1: &lt;http://dbkwik.webdatacommons.org/marvelcinematicuniverse.wikia.com/property/&gt;
PREFIX rdf: &lt;http://www.w3.org/1999/02/22-rdf-syntax-ns#&gt;
PREFIX rdfs: &lt;http://www.w3.org/2000/01/rdf-schema#&gt;
SELECT DISTINCT ?place ?label
WHERE {
  {
    ?s ns1:location ?place .
  } UNION {
    ?s ns1:place ?place .
  } UNION {
    ?place a &lt;http://dbkwik.webdatacommons.org/marvelcinematicuniverse.wikia.com/class/location&gt; .
  }
  OPTIONAL { ?place rdfs:label ?label }
}
ORDER BY LCASE(STR(COALESCE(?label, STR(?place))))</t>
  </si>
  <si>
    <t>{
  "cq_text": "What are all the locations (places) available?",
  "syntax_ok": true,
  "satisfiable": true,
  "deterministic": true,
  "latency": {
    "p50_ms": 78.97,
    "p95_ms": 81.71,
    "mean_ms": 78.42
  },
  "rows": 1087,
  "vars": 2,
  "always_unbound_vars": [],
  "lexical_query_overlap": 0.0,
  "semantic_similarity_to_CQ": 0.69,
  "semantic_soft_coverage_to_CQ": 0.75,
  "tuple_cohesion": 0.6,
  "variables": [
    {
      "var": "place",
      "rows": 1087,
      "distinct": 1010,
      "null_rate": 0.0,
      "label_resolution_rate": 1.0,
      "diversity_entropy_norm": 0.99,
      "semantic_cohesion": 0.65,
      "dup_ratio": 0.07,
      "bound_rate": 1.0
    },
    {
      "var": "label",
      "rows": 1087,
      "distinct": 1022,
      "null_rate": 0.05979760809567617,
      "label_resolution_rate": 1.0,
      "diversity_entropy_norm": 1.0,
      "semantic_cohesion": 0.63,
      "dup_ratio": 0.0,
      "bound_rate": 0.9402023919043239
    }
  ]
}</t>
  </si>
  <si>
    <t>[{"var": "place", "rows": 1087, "distinct": 1010, "null_rate": 0.0, "label_resolution_rate": 1.0, "diversity_entropy_norm": 0.99, "semantic_cohesion": 0.65, "dup_ratio": 0.07, "bound_rate": 1.0}, {"var": "label", "rows": 1087, "distinct": 1022, "null_rate": 0.05979760809567617, "label_resolution_rate": 1.0, "diversity_entropy_norm": 1.0, "semantic_cohesion": 0.63, "dup_ratio": 0.0, "bound_rate": 0.9402023919043239}]</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</si>
  <si>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</si>
  <si>
    <t>PREFIX rdfs: &lt;http://www.w3.org/2000/01/rdf-schema#&gt;
PREFIX ns1: &lt;http://dbkwik.webdatacommons.org/marvelcinematicuniverse.wikia.com/property/&gt;
SELECT DISTINCT ?movie ?movieLabel ?director ?directorLabel
WHERE {
  ?movie a &lt;http://dbkwik.webdatacommons.org/marvelcinematicuniverse.wikia.com/class/movie&gt; .
  OPTIONAL { ?movie (ns1:director|^ns1:directed|ns1:directors) ?director . }
  OPTIONAL { ?movie rdfs:label ?movieLabel . }
  OPTIONAL { ?director rdfs:label ?directorLabel . }
}
ORDER BY ?movieLabel ?directorLabel</t>
  </si>
  <si>
    <t>{
    "id": "batch_req_691fabea00108190844c67383a967c1e",
    "custom_id": "cq-10",
    "response": {
        "status_code": 200,
        "request_id": "bf6262d2f690ec8e25aefda039b41984",
        "body": {
            "id": "chatcmpl-Ce7mCRrlS6HINuQXga0e0G9nmQG9Z",
            "object": "chat.completion",
            "created": 1763679048,
            "model": "gpt-5-2025-08-07",
            "choices": [
                {
                    "index": 0,
                    "message": {
                        "role": "assistant",
                        "content": "PREFIX rdfs: &lt;http://www.w3.org/2000/01/rdf-schema#&gt;\nPREFIX ns1: &lt;http://dbkwik.webdatacommons.org/marvelcinematicuniverse.wikia.com/property/&gt;\n\nSELECT DISTINCT ?movie ?movieLabel ?director ?directorLabel\nWHERE {\n  ?movie a &lt;http://dbkwik.webdatacommons.org/marvelcinematicuniverse.wikia.com/class/movie&gt; .\n  OPTIONAL { ?movie (ns1:director|^ns1:directed|ns1:directors) ?director . }\n  OPTIONAL { ?movie rdfs:label ?movieLabel . }\n  OPTIONAL { ?director rdfs:label ?directorLabel . }\n}\nORDER BY ?movieLabel ?directorLabel",
                        "refusal": null,
                        "annotations": []
                    },
                    "finish_reason": "stop"
                }
            ],
            "usage": {
                "prompt_tokens": 109320,
                "completion_tokens": 2086,
                "total_tokens": 111406,
                "prompt_tokens_details": {
                    "cached_tokens": 0,
                    "audio_tokens": 0
                },
                "completion_tokens_details": {
                    "reasoning_tokens": 1920,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</si>
  <si>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rdfs: &lt;http://www.w3.org/2000/01/rdf-schema#&gt;
PREFIX ns1: &lt;http://dbkwik.webdatacommons.org/marvelcinematicuniverse.wikia.com/property/&gt;
SELECT DISTINCT ?movie ?movieLabel ?director ?directorLabel
WHERE {
  ?movie a &lt;http://dbkwik.webdatacommons.org/marvelcinematicuniverse.wikia.com/class/movie&gt; .
  OPTIONAL { ?movie (ns1:director|^ns1:directed|ns1:directors) ?director . }
  OPTIONAL { ?movie rdfs:label ?movieLabel . }
  OPTIONAL { ?director rdfs:label ?directorLabel . }
}
ORDER BY ?movieLabel ?directorLabel</t>
  </si>
  <si>
    <t>{
  "cq_text": "What are all the available movies and their directors?",
  "syntax_ok": true,
  "satisfiable": true,
  "deterministic": true,
  "latency": {
    "p50_ms": 1143.52,
    "p95_ms": 1261.83,
    "mean_ms": 1152.2
  },
  "rows": 18955,
  "vars": 4,
  "always_unbound_vars": [],
  "lexical_query_overlap": 0.0,
  "semantic_similarity_to_CQ": 0.75,
  "semantic_soft_coverage_to_CQ": 0.73,
  "tuple_cohesion": 0.9,
  "variables": [
    {
      "var": "movie",
      "rows": 18955,
      "distinct": 22,
      "null_rate": 0.0,
      "label_resolution_rate": 1.0,
      "diversity_entropy_norm": 0.01,
      "semantic_cohesion": 0.58,
      "dup_ratio": 1.0,
      "bound_rate": 1.0
    },
    {
      "var": "movieLabel",
      "rows": 18955,
      "distinct": 26,
      "null_rate": 0.0,
      "label_resolution_rate": 1.0,
      "diversity_entropy_norm": 0.01,
      "semantic_cohesion": 0.72,
      "dup_ratio": 1.0,
      "bound_rate": 1.0
    },
    {
      "var": "director",
      "rows": 18955,
      "distinct": 18307,
      "null_rate": 0.0,
      "label_resolution_rate": 1.0,
      "diversity_entropy_norm": 1.0,
      "semantic_cohesion": 0.72,
      "dup_ratio": 0.03,
      "bound_rate": 1.0
    },
    {
      "var": "directorLabel",
      "rows": 18955,
      "distinct": 18623,
      "null_rate": 0.0,
      "label_resolution_rate": 1.0,
      "diversity_entropy_norm": 1.0,
      "semantic_cohesion": 0.74,
      "dup_ratio": 0.02,
      "bound_rate": 1.0
    }
  ]
}</t>
  </si>
  <si>
    <t>[{"var": "movie", "rows": 18955, "distinct": 22, "null_rate": 0.0, "label_resolution_rate": 1.0, "diversity_entropy_norm": 0.01, "semantic_cohesion": 0.58, "dup_ratio": 1.0, "bound_rate": 1.0}, {"var": "movieLabel", "rows": 18955, "distinct": 26, "null_rate": 0.0, "label_resolution_rate": 1.0, "diversity_entropy_norm": 0.01, "semantic_cohesion": 0.72, "dup_ratio": 1.0, "bound_rate": 1.0}, {"var": "director", "rows": 18955, "distinct": 18307, "null_rate": 0.0, "label_resolution_rate": 1.0, "diversity_entropy_norm": 1.0, "semantic_cohesion": 0.72, "dup_ratio": 0.03, "bound_rate": 1.0}, {"var": "directorLabel", "rows": 18955, "distinct": 18623, "null_rate": 0.0, "label_resolution_rate": 1.0, "diversity_entropy_norm": 1.0, "semantic_cohesion": 0.74, "dup_ratio": 0.02, "bound_rate": 1.0}]</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</si>
  <si>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</si>
  <si>
    <t>PREFIX ns1: &lt;http://dbkwik.webdatacommons.org/marvelcinematicuniverse.wikia.com/property/&gt;
PREFIX rdf: &lt;http://www.w3.org/1999/02/22-rdf-syntax-ns#&gt;
PREFIX rdfs: &lt;http://www.w3.org/2000/01/rdf-schema#&gt;
SELECT ?character ?characterLabel (COALESCE(SAMPLE(?rnName), SAMPLE(?alName)) AS ?primaryAliasOrRealName)
WHERE {
  ?character a &lt;http://dbkwik.webdatacommons.org/marvelcinematicuniverse.wikia.com/class/character&gt; .
  OPTIONAL { ?character rdfs:label ?characterLabel . }
  OPTIONAL {
    ?character ns1:realName ?rn .
    OPTIONAL { ?rn rdfs:label ?rnLabel . }
    BIND(IF(isLiteral(?rn), STR(?rn), COALESCE(?rnLabel, STR(?rn))) AS ?rnName)
  }
  OPTIONAL {
    ?character ns1:alias ?al .
    OPTIONAL { ?al rdfs:label ?alLabel . }
    BIND(IF(isLiteral(?al), STR(?al), COALESCE(?alLabel, STR(?al))) AS ?alName)
  }
  FILTER(BOUND(?rn) || BOUND(?al))
}
GROUP BY ?character ?characterLabel
ORDER BY LCASE(STR(?characterLabel))</t>
  </si>
  <si>
    <t>{
    "id": "batch_req_691fabea286c8190bae995feae3ec4f8",
    "custom_id": "cq-11",
    "response": {
        "status_code": 200,
        "request_id": "0feb94c8b1d2a801b8a9a22671b27e0d",
        "body": {
            "id": "chatcmpl-Ce7tnoGJTLN9quVBboQsmsLgR9f9V",
            "object": "chat.completion",
            "created": 1763679519,
            "model": "gpt-5-2025-08-07",
            "choices": [
                {
                    "index": 0,
                    "message": {
                        "role": "assistant",
                        "content": "PREFIX ns1: &lt;http://dbkwik.webdatacommons.org/marvelcinematicuniverse.wikia.com/property/&gt;\nPREFIX rdf: &lt;http://www.w3.org/1999/02/22-rdf-syntax-ns#&gt;\nPREFIX rdfs: &lt;http://www.w3.org/2000/01/rdf-schema#&gt;\n\nSELECT ?character ?characterLabel (COALESCE(SAMPLE(?rnName), SAMPLE(?alName)) AS ?primaryAliasOrRealName)\nWHERE {\n  ?character a &lt;http://dbkwik.webdatacommons.org/marvelcinematicuniverse.wikia.com/class/character&gt; .\n  OPTIONAL { ?character rdfs:label ?characterLabel . }\n  OPTIONAL {\n    ?character ns1:realName ?rn .\n    OPTIONAL { ?rn rdfs:label ?rnLabel . }\n    BIND(IF(isLiteral(?rn), STR(?rn), COALESCE(?rnLabel, STR(?rn))) AS ?rnName)\n  }\n  OPTIONAL {\n    ?character ns1:alias ?al .\n    OPTIONAL { ?al rdfs:label ?alLabel . }\n    BIND(IF(isLiteral(?al), STR(?al), COALESCE(?alLabel, STR(?al))) AS ?alName)\n  }\n  FILTER(BOUND(?rn) || BOUND(?al))\n}\nGROUP BY ?character ?characterLabel\nORDER BY LCASE(STR(?characterLabel))",
                        "refusal": null,
                        "annotations": []
                    },
                    "finish_reason": "stop"
                }
            ],
            "usage": {
                "prompt_tokens": 109324,
                "completion_tokens": 3122,
                "total_tokens": 112446,
                "prompt_tokens_details": {
                    "cached_tokens": 0,
                    "audio_tokens": 0
                },
                "completion_tokens_details": {
                    "reasoning_tokens": 2816,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</si>
  <si>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ns1: &lt;http://dbkwik.webdatacommons.org/marvelcinematicuniverse.wikia.com/property/&gt;
PREFIX rdf: &lt;http://www.w3.org/1999/02/22-rdf-syntax-ns#&gt;
PREFIX rdfs: &lt;http://www.w3.org/2000/01/rdf-schema#&gt;
SELECT ?character ?characterLabel (COALESCE(SAMPLE(?rnName), SAMPLE(?alName)) AS ?primaryAliasOrRealName)
WHERE {
  ?character a &lt;http://dbkwik.webdatacommons.org/marvelcinematicuniverse.wikia.com/class/character&gt; .
  OPTIONAL { ?character rdfs:label ?characterLabel . }
  OPTIONAL {
    ?character ns1:realName ?rn .
    OPTIONAL { ?rn rdfs:label ?rnLabel . }
    BIND(IF(isLiteral(?rn), STR(?rn), COALESCE(?rnLabel, STR(?rn))) AS ?rnName)
  }
  OPTIONAL {
    ?character ns1:alias ?al .
    OPTIONAL { ?al rdfs:label ?alLabel . }
    BIND(IF(isLiteral(?al), STR(?al), COALESCE(?alLabel, STR(?al))) AS ?alName)
  }
  FILTER(BOUND(?rn) || BOUND(?al))
}
GROUP BY ?character ?characterLabel
ORDER BY LCASE(STR(?characterLabel))</t>
  </si>
  <si>
    <t>{
  "cq_text": "What are all the available characters and their primary alias/real name?",
  "syntax_ok": true,
  "satisfiable": true,
  "deterministic": true,
  "latency": {
    "p50_ms": 168.33,
    "p95_ms": 187.82,
    "mean_ms": 168.54
  },
  "rows": 2143,
  "vars": 5,
  "always_unbound_vars": [
    "rnName",
    "alName"
  ],
  "lexical_query_overlap": 0.03,
  "semantic_similarity_to_CQ": 0.77,
  "semantic_soft_coverage_to_CQ": 0.77,
  "tuple_cohesion": 0.62,
  "variables": [
    {
      "var": "character",
      "rows": 2143,
      "distinct": 1770,
      "null_rate": 0.0,
      "label_resolution_rate": 1.0,
      "diversity_entropy_norm": 0.98,
      "semantic_cohesion": 0.64,
      "dup_ratio": 0.17,
      "bound_rate": 1.0
    },
    {
      "var": "characterLabel",
      "rows": 2143,
      "distinct": 2143,
      "null_rate": 0.0,
      "label_resolution_rate": 1.0,
      "diversity_entropy_norm": 1.0,
      "semantic_cohesion": 0.64,
      "dup_ratio": 0.0,
      "bound_rate": 1.0
    },
    {
      "var": "rnName",
      "rows": 2143,
      "distinct": 0,
      "null_rate": 1.0,
      "label_resolution_rate": 0.0,
      "diversity_entropy_norm": 0.0,
      "semantic_cohesion": 1.0,
      "dup_ratio": 0.0,
      "bound_rate": 0.0
    },
    {
      "var": "alName",
      "rows": 2143,
      "distinct": 0,
      "null_rate": 1.0,
      "label_resolution_rate": 0.0,
      "diversity_entropy_norm": 0.0,
      "semantic_cohesion": 1.0,
      "dup_ratio": 0.0,
      "bound_rate": 0.0
    },
    {
      "var": "primaryAliasOrRealName",
      "rows": 2143,
      "distinct": 2010,
      "null_rate": 0.0,
      "label_resolution_rate": 1.0,
      "diversity_entropy_norm": 1.0,
      "semantic_cohesion": 0.65,
      "dup_ratio": 0.06,
      "bound_rate": 1.0
    }
  ]
}</t>
  </si>
  <si>
    <t>["rnName", "alName"]</t>
  </si>
  <si>
    <t>[{"var": "character", "rows": 2143, "distinct": 1770, "null_rate": 0.0, "label_resolution_rate": 1.0, "diversity_entropy_norm": 0.98, "semantic_cohesion": 0.64, "dup_ratio": 0.17, "bound_rate": 1.0}, {"var": "characterLabel", "rows": 2143, "distinct": 2143, "null_rate": 0.0, "label_resolution_rate": 1.0, "diversity_entropy_norm": 1.0, "semantic_cohesion": 0.64, "dup_ratio": 0.0, "bound_rate": 1.0}, {"var": "rnName", "rows": 2143, "distinct": 0, "null_rate": 1.0, "label_resolution_rate": 0.0, "diversity_entropy_norm": 0.0, "semantic_cohesion": 1.0, "dup_ratio": 0.0, "bound_rate": 0.0}, {"var": "alName", "rows": 2143, "distinct": 0, "null_rate": 1.0, "label_resolution_rate": 0.0, "diversity_entropy_norm": 0.0, "semantic_cohesion": 1.0, "dup_ratio": 0.0, "bound_rate": 0.0}, {"var": "primaryAliasOrRealName", "rows": 2143, "distinct": 2010, "null_rate": 0.0, "label_resolution_rate": 1.0, "diversity_entropy_norm": 1.0, "semantic_cohesion": 0.65, "dup_ratio": 0.06, "bound_rate": 1.0}]</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</si>
  <si>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</si>
  <si>
    <t>PREFIX ns1: &lt;http://dbkwik.webdatacommons.org/marvelcinematicuniverse.wikia.com/property/&gt;
PREFIX rdf: &lt;http://www.w3.org/1999/02/22-rdf-syntax-ns#&gt;
PREFIX rdfs: &lt;http://www.w3.org/2000/01/rdf-schema#&gt;
SELECT DISTINCT ?character ?characterLabel ?movie ?movieLabel
WHERE {
  ?character a &lt;http://dbkwik.webdatacommons.org/marvelcinematicuniverse.wikia.com/class/character&gt; ;
             ns1:movie ?movie .
  OPTIONAL { ?character rdfs:label ?characterLabel . }
  OPTIONAL { ?movie rdfs:label ?movieLabel . }
}
ORDER BY ?characterLabel ?movieLabel</t>
  </si>
  <si>
    <t>{
    "id": "batch_req_691fabea2e188190a0a4408d934a3d34",
    "custom_id": "cq-12",
    "response": {
        "status_code": 200,
        "request_id": "6cc487ce5458f0d285c2bd922e4f5536",
        "body": {
            "id": "chatcmpl-Ce8XoZ0F5lnmJ8iRvdFLzMsc7Gt44",
            "object": "chat.completion",
            "created": 1763682000,
            "model": "gpt-5-2025-08-07",
            "choices": [
                {
                    "index": 0,
                    "message": {
                        "role": "assistant",
                        "content": "PREFIX ns1: &lt;http://dbkwik.webdatacommons.org/marvelcinematicuniverse.wikia.com/property/&gt;\nPREFIX rdf: &lt;http://www.w3.org/1999/02/22-rdf-syntax-ns#&gt;\nPREFIX rdfs: &lt;http://www.w3.org/2000/01/rdf-schema#&gt;\n\nSELECT DISTINCT ?character ?characterLabel ?movie ?movieLabel\nWHERE {\n  ?character a &lt;http://dbkwik.webdatacommons.org/marvelcinematicuniverse.wikia.com/class/character&gt; ;\n             ns1:movie ?movie .\n  OPTIONAL { ?character rdfs:label ?characterLabel . }\n  OPTIONAL { ?movie rdfs:label ?movieLabel . }\n}\nORDER BY ?characterLabel ?movieLabel",
                        "refusal": null,
                        "annotations": []
                    },
                    "finish_reason": "stop"
                }
            ],
            "usage": {
                "prompt_tokens": 109329,
                "completion_tokens": 1964,
                "total_tokens": 111293,
                "prompt_tokens_details": {
                    "cached_tokens": 0,
                    "audio_tokens": 0
                },
                "completion_tokens_details": {
                    "reasoning_tokens": 1792,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</si>
  <si>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ns1: &lt;http://dbkwik.webdatacommons.org/marvelcinematicuniverse.wikia.com/property/&gt;
PREFIX rdf: &lt;http://www.w3.org/1999/02/22-rdf-syntax-ns#&gt;
PREFIX rdfs: &lt;http://www.w3.org/2000/01/rdf-schema#&gt;
SELECT DISTINCT ?character ?characterLabel ?movie ?movieLabel
WHERE {
  ?character a &lt;http://dbkwik.webdatacommons.org/marvelcinematicuniverse.wikia.com/class/character&gt; ;
             ns1:movie ?movie .
  OPTIONAL { ?character rdfs:label ?characterLabel . }
  OPTIONAL { ?movie rdfs:label ?movieLabel . }
}
ORDER BY ?characterLabel ?movieLabel</t>
  </si>
  <si>
    <t>{
  "cq_text": "What are all the character\u2013movie appearance pairs (which characters appear in which movies) available?",
  "syntax_ok": true,
  "satisfiable": true,
  "deterministic": true,
  "latency": {
    "p50_ms": 89.17,
    "p95_ms": 92.22,
    "mean_ms": 89.75
  },
  "rows": 961,
  "vars": 4,
  "always_unbound_vars": [],
  "lexical_query_overlap": 0.07,
  "semantic_similarity_to_CQ": 0.65,
  "semantic_soft_coverage_to_CQ": 0.77,
  "tuple_cohesion": 0.79,
  "variables": [
    {
      "var": "character",
      "rows": 961,
      "distinct": 495,
      "null_rate": 0.0,
      "label_resolution_rate": 1.0,
      "diversity_entropy_norm": 0.93,
      "semantic_cohesion": 0.56,
      "dup_ratio": 0.48,
      "bound_rate": 1.0
    },
    {
      "var": "characterLabel",
      "rows": 961,
      "distinct": 531,
      "null_rate": 0.0,
      "label_resolution_rate": 1.0,
      "diversity_entropy_norm": 0.95,
      "semantic_cohesion": 0.56,
      "dup_ratio": 0.45,
      "bound_rate": 1.0
    },
    {
      "var": "movie",
      "rows": 961,
      "distinct": 26,
      "null_rate": 0.0,
      "label_resolution_rate": 1.0,
      "diversity_entropy_norm": 0.9,
      "semantic_cohesion": 0.56,
      "dup_ratio": 0.97,
      "bound_rate": 1.0
    },
    {
      "var": "movieLabel",
      "rows": 961,
      "distinct": 28,
      "null_rate": 0.008324661810613945,
      "label_resolution_rate": 1.0,
      "diversity_entropy_norm": 0.93,
      "semantic_cohesion": 0.69,
      "dup_ratio": 0.97,
      "bound_rate": 0.991675338189386
    }
  ]
}</t>
  </si>
  <si>
    <t>[{"var": "character", "rows": 961, "distinct": 495, "null_rate": 0.0, "label_resolution_rate": 1.0, "diversity_entropy_norm": 0.93, "semantic_cohesion": 0.56, "dup_ratio": 0.48, "bound_rate": 1.0}, {"var": "characterLabel", "rows": 961, "distinct": 531, "null_rate": 0.0, "label_resolution_rate": 1.0, "diversity_entropy_norm": 0.95, "semantic_cohesion": 0.56, "dup_ratio": 0.45, "bound_rate": 1.0}, {"var": "movie", "rows": 961, "distinct": 26, "null_rate": 0.0, "label_resolution_rate": 1.0, "diversity_entropy_norm": 0.9, "semantic_cohesion": 0.56, "dup_ratio": 0.97, "bound_rate": 1.0}, {"var": "movieLabel", "rows": 961, "distinct": 28, "null_rate": 0.008324661810613945, "label_resolution_rate": 1.0, "diversity_entropy_norm": 0.93, "semantic_cohesion": 0.69, "dup_ratio": 0.97, "bound_rate": 0.991675338189386}]</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</si>
  <si>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</si>
  <si>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PREFIX ns1: &lt;http://dbkwik.webdatacommons.org/marvelcinematicuniverse.wikia.com/property/&gt;
PREFIX rdfs: &lt;http://www.w3.org/2000/01/rdf-schema#&gt;
SELECT DISTINCT ?actor ?actorLabel ?character ?characterLabel
WHERE {
  {
    ?character ns1:actor ?actor .
  } UNION {
    ?character ns1:voiceActor ?actor .
  } UNION {
    ?actor ns1:character ?character .
  }
  OPTIONAL { ?actor rdfs:label ?actorLabel . }
  OPTIONAL { ?character rdfs:label ?characterLabel . }
}</t>
  </si>
  <si>
    <t>{
    "id": "batch_req_691fabea30dc8190a9c605214dfe3562",
    "custom_id": "cq-13",
    "response": {
        "status_code": 200,
        "request_id": "45551f6988a80a0b2105d5ec8f0aebb7",
        "body": {
            "id": "chatcmpl-Ce8OkuDrxSUjA9Fgynq1HCVCUkWEO",
            "object": "chat.completion",
            "created": 1763681438,
            "model": "gpt-5-2025-08-07",
            "choices": [
                {
                    "index": 0,
                    "message": {
                        "role": "assistant",
                        "content": "PREFIX ns1: &lt;http://dbkwik.webdatacommons.org/marvelcinematicuniverse.wikia.com/property/&gt;\nPREFIX rdfs: &lt;http://www.w3.org/2000/01/rdf-schema#&gt;\n\nSELECT DISTINCT ?actor ?actorLabel ?character ?characterLabel\nWHERE {\n  {\n    ?character ns1:actor ?actor .\n  } UNION {\n    ?character ns1:voiceActor ?actor .\n  } UNION {\n    ?actor ns1:character ?character .\n  }\n  OPTIONAL { ?actor rdfs:label ?actorLabel . }\n  OPTIONAL { ?character rdfs:label ?characterLabel . }\n}",
                        "refusal": null,
                        "annotations": []
                    },
                    "finish_reason": "stop"
                }
            ],
            "usage": {
                "prompt_tokens": 109327,
                "completion_tokens": 1488,
                "total_tokens": 110815,
                "prompt_tokens_details": {
                    "cached_tokens": 0,
                    "audio_tokens": 0
                },
                "completion_tokens_details": {
                    "reasoning_tokens": 1344,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</si>
  <si>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ns1: &lt;http://dbkwik.webdatacommons.org/marvelcinematicuniverse.wikia.com/property/&gt;
PREFIX rdfs: &lt;http://www.w3.org/2000/01/rdf-schema#&gt;
SELECT DISTINCT ?actor ?actorLabel ?character ?characterLabel
WHERE {
  {
    ?character ns1:actor ?actor .
  } UNION {
    ?character ns1:voiceActor ?actor .
  } UNION {
    ?actor ns1:character ?character .
  }
  OPTIONAL { ?actor rdfs:label ?actorLabel . }
  OPTIONAL { ?character rdfs:label ?characterLabel . }
}</t>
  </si>
  <si>
    <t>{
  "cq_text": "What are all the actor\u2013character pairs (which actors portray which characters) available?",
  "syntax_ok": true,
  "satisfiable": true,
  "deterministic": true,
  "latency": {
    "p50_ms": 342.44,
    "p95_ms": 541.59,
    "mean_ms": 399.22
  },
  "rows": 6256,
  "vars": 4,
  "always_unbound_vars": [],
  "lexical_query_overlap": 0.08,
  "semantic_similarity_to_CQ": 0.73,
  "semantic_soft_coverage_to_CQ": 0.76,
  "tuple_cohesion": 0.62,
  "variables": [
    {
      "var": "actor",
      "rows": 6256,
      "distinct": 5546,
      "null_rate": 0.0,
      "label_resolution_rate": 1.0,
      "diversity_entropy_norm": 0.99,
      "semantic_cohesion": 0.67,
      "dup_ratio": 0.11,
      "bound_rate": 1.0
    },
    {
      "var": "actorLabel",
      "rows": 6256,
      "distinct": 5545,
      "null_rate": 0.001438618925831202,
      "label_resolution_rate": 1.0,
      "diversity_entropy_norm": 0.99,
      "semantic_cohesion": 0.67,
      "dup_ratio": 0.11,
      "bound_rate": 0.9985613810741688
    },
    {
      "var": "character",
      "rows": 6256,
      "distinct": 3863,
      "null_rate": 0.0,
      "label_resolution_rate": 1.0,
      "diversity_entropy_norm": 0.91,
      "semantic_cohesion": 0.72,
      "dup_ratio": 0.38,
      "bound_rate": 1.0
    },
    {
      "var": "characterLabel",
      "rows": 6256,
      "distinct": 1794,
      "null_rate": 0.6131713554987213,
      "label_resolution_rate": 1.0,
      "diversity_entropy_norm": 0.88,
      "semantic_cohesion": 0.63,
      "dup_ratio": 0.26,
      "bound_rate": 0.3868286445012788
    }
  ]
}</t>
  </si>
  <si>
    <t>[{"var": "actor", "rows": 6256, "distinct": 5546, "null_rate": 0.0, "label_resolution_rate": 1.0, "diversity_entropy_norm": 0.99, "semantic_cohesion": 0.67, "dup_ratio": 0.11, "bound_rate": 1.0}, {"var": "actorLabel", "rows": 6256, "distinct": 5545, "null_rate": 0.001438618925831202, "label_resolution_rate": 1.0, "diversity_entropy_norm": 0.99, "semantic_cohesion": 0.67, "dup_ratio": 0.11, "bound_rate": 0.9985613810741688}, {"var": "character", "rows": 6256, "distinct": 3863, "null_rate": 0.0, "label_resolution_rate": 1.0, "diversity_entropy_norm": 0.91, "semantic_cohesion": 0.72, "dup_ratio": 0.38, "bound_rate": 1.0}, {"var": "characterLabel", "rows": 6256, "distinct": 1794, "null_rate": 0.6131713554987213, "label_resolution_rate": 1.0, "diversity_entropy_norm": 0.88, "semantic_cohesion": 0.63, "dup_ratio": 0.26, "bound_rate": 0.3868286445012788}]</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</si>
  <si>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</si>
  <si>
    <t>PREFIX ns1: &lt;http://dbkwik.webdatacommons.org/marvelcinematicuniverse.wikia.com/property/&gt;
SELECT DISTINCT ?character ?team ?movie
WHERE {
  ?character a &lt;http://dbkwik.webdatacommons.org/marvelcinematicuniverse.wikia.com/class/character&gt; ;
             ns1:movie ?movie .
  ?movie a &lt;http://dbkwik.webdatacommons.org/marvelcinematicuniverse.wikia.com/class/movie&gt; .
  {
    ?character ns1:team ?team .
  } UNION {
    ?character ns1:affiliation ?team .
  } UNION {
    ?team ns1:members ?character .
  } UNION {
    ?team ns1:formermembers ?character .
  }
}</t>
  </si>
  <si>
    <t>{
    "id": "batch_req_691fabea306081909d76c00b61925b8a",
    "custom_id": "cq-14",
    "response": {
        "status_code": 200,
        "request_id": "6e57a3ad2a4c1da9e599b03bfa675c35",
        "body": {
            "id": "chatcmpl-Ce8ZhdrZbPMvG5Mrx2DzcIIMkXtT1",
            "object": "chat.completion",
            "created": 1763682117,
            "model": "gpt-5-2025-08-07",
            "choices": [
                {
                    "index": 0,
                    "message": {
                        "role": "assistant",
                        "content": "PREFIX ns1: &lt;http://dbkwik.webdatacommons.org/marvelcinematicuniverse.wikia.com/property/&gt;\nSELECT DISTINCT ?character ?team ?movie\nWHERE {\n  ?character a &lt;http://dbkwik.webdatacommons.org/marvelcinematicuniverse.wikia.com/class/character&gt; ;\n             ns1:movie ?movie .\n  ?movie a &lt;http://dbkwik.webdatacommons.org/marvelcinematicuniverse.wikia.com/class/movie&gt; .\n  {\n    ?character ns1:team ?team .\n  } UNION {\n    ?character ns1:affiliation ?team .\n  } UNION {\n    ?team ns1:members ?character .\n  } UNION {\n    ?team ns1:formermembers ?character .\n  }\n}",
                        "refusal": null,
                        "annotations": []
                    },
                    "finish_reason": "stop"
                }
            ],
            "usage": {
                "prompt_tokens": 109336,
                "completion_tokens": 2926,
                "total_tokens": 112262,
                "prompt_tokens_details": {
                    "cached_tokens": 0,
                    "audio_tokens": 0
                },
                "completion_tokens_details": {
                    "reasoning_tokens": 2752,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</si>
  <si>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DISTINCT ?character ?team ?movie
WHERE {
  ?character a &lt;http://dbkwik.webdatacommons.org/marvelcinematicuniverse.wikia.com/class/character&gt; ;
             ns1:movie ?movie .
  ?movie a &lt;http://dbkwik.webdatacommons.org/marvelcinematicuniverse.wikia.com/class/movie&gt; .
  {
    ?character ns1:team ?team .
  } UNION {
    ?character ns1:affiliation ?team .
  } UNION {
    ?team ns1:members ?character .
  } UNION {
    ?team ns1:formermembers ?character .
  }
}</t>
  </si>
  <si>
    <t>{
  "cq_text": "What are all the character\u2013team\u2013movie triples available where a character is a member of a team and appears in a movie?",
  "syntax_ok": true,
  "satisfiable": true,
  "deterministic": true,
  "latency": {
    "p50_ms": 89.09,
    "p95_ms": 89.98,
    "mean_ms": 88.76
  },
  "rows": 1091,
  "vars": 3,
  "always_unbound_vars": [],
  "lexical_query_overlap": 0.12,
  "semantic_similarity_to_CQ": 0.71,
  "semantic_soft_coverage_to_CQ": 0.82,
  "tuple_cohesion": 0.85,
  "variables": [
    {
      "var": "character",
      "rows": 1091,
      "distinct": 233,
      "null_rate": 0.0,
      "label_resolution_rate": 1.0,
      "diversity_entropy_norm": 0.8,
      "semantic_cohesion": 0.51,
      "dup_ratio": 0.79,
      "bound_rate": 1.0
    },
    {
      "var": "team",
      "rows": 1091,
      "distinct": 131,
      "null_rate": 0.0,
      "label_resolution_rate": 1.0,
      "diversity_entropy_norm": 0.83,
      "semantic_cohesion": 0.51,
      "dup_ratio": 0.88,
      "bound_rate": 1.0
    },
    {
      "var": "movie",
      "rows": 1091,
      "distinct": 21,
      "null_rate": 0.0,
      "label_resolution_rate": 1.0,
      "diversity_entropy_norm": 0.93,
      "semantic_cohesion": 0.6,
      "dup_ratio": 0.98,
      "bound_rate": 1.0
    }
  ]
}</t>
  </si>
  <si>
    <t>[{"var": "character", "rows": 1091, "distinct": 233, "null_rate": 0.0, "label_resolution_rate": 1.0, "diversity_entropy_norm": 0.8, "semantic_cohesion": 0.51, "dup_ratio": 0.79, "bound_rate": 1.0}, {"var": "team", "rows": 1091, "distinct": 131, "null_rate": 0.0, "label_resolution_rate": 1.0, "diversity_entropy_norm": 0.83, "semantic_cohesion": 0.51, "dup_ratio": 0.88, "bound_rate": 1.0}, {"var": "movie", "rows": 1091, "distinct": 21, "null_rate": 0.0, "label_resolution_rate": 1.0, "diversity_entropy_norm": 0.93, "semantic_cohesion": 0.6, "dup_ratio": 0.98, "bound_rate": 1.0}]</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</si>
  <si>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</si>
  <si>
    <t>No valid query can be generated based on the provided schema.</t>
  </si>
  <si>
    <t>{
    "id": "batch_req_691fabea2cc88190af8f53226a66bb67",
    "custom_id": "cq-15",
    "response": {
        "status_code": 200,
        "request_id": "c4e4ceede651819e84288dda32d5ffd3",
        "body": {
            "id": "chatcmpl-Ce8YqXb9DKOS9EVMv4KaloR6Hc63e",
            "object": "chat.completion",
            "created": 1763682064,
            "model": "gpt-5-2025-08-07",
            "choices": [
                {
                    "index": 0,
                    "message": {
                        "role": "assistant",
                        "content": "No valid query can be generated based on the provided schema.",
                        "refusal": null,
                        "annotations": []
                    },
                    "finish_reason": "stop"
                }
            ],
            "usage": {
                "prompt_tokens": 109335,
                "completion_tokens": 2133,
                "total_tokens": 111468,
                "prompt_tokens_details": {
                    "cached_tokens": 0,
                    "audio_tokens": 0
                },
                "completion_tokens_details": {
                    "reasoning_tokens": 2112,
                    "audio_tokens": 0,
                    "accepted_prediction_tokens": 0,
                    "rejected_prediction_tokens": 0
                }
            },
            "service_tier": "default",
            "system_fingerprint": null
        }
    },
    "error": null
}</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</si>
  <si>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No valid query can be generated based on the provided schema.</t>
  </si>
  <si>
    <t>{
  "cq_text": "What are all the character\u2013power\u2013movie triples available with respect to characters with specific powers and the movies they appear in?",
  "syntax_ok": false,
  "syntax_msg": "No SPARQL form found"
}</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</si>
  <si>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</si>
  <si>
    <t>PREFIX ns1: &lt;http://dbkwik.webdatacommons.org/marvelcinematicuniverse.wikia.com/property/&gt;
PREFIX rdf: &lt;http://www.w3.org/1999/02/22-rdf-syntax-ns#&gt;
SELECT ?c1 ?c2 (COUNT(DISTINCT ?m) AS ?sharedMovies)
WHERE {
  ?c1 a &lt;http://dbkwik.webdatacommons.org/marvelcinematicuniverse.wikia.com/class/character&gt; ;
      ns1:movie ?m .
  ?c2 a &lt;http://dbkwik.webdatacommons.org/marvelcinematicuniverse.wikia.com/class/character&gt; ;
      ns1:movie ?m .
  ?m a &lt;http://dbkwik.webdatacommons.org/marvelcinematicuniverse.wikia.com/class/movie&gt; .
  FILTER(?c1 != ?c2)
  FILTER(STR(?c1) &lt; STR(?c2))
}
GROUP BY ?c1 ?c2
HAVING (COUNT(DISTINCT ?m) &gt;= 2)
ORDER BY ?c1 ?c2</t>
  </si>
  <si>
    <t>{
    "id": "batch_req_691fabea2ee08190bfc0b8238a00aacd",
    "custom_id": "cq-16",
    "response": {
        "status_code": 200,
        "request_id": "767a7f92dfe7404005957c7d297c95d8",
        "body": {
            "id": "chatcmpl-Ce7uHSNMTBmpLbiAkhrWcYQGXPt5j",
            "object": "chat.completion",
            "created": 1763679549,
            "model": "gpt-5-2025-08-07",
            "choices": [
                {
                    "index": 0,
                    "message": {
                        "role": "assistant",
                        "content": "PREFIX ns1: &lt;http://dbkwik.webdatacommons.org/marvelcinematicuniverse.wikia.com/property/&gt;\nPREFIX rdf: &lt;http://www.w3.org/1999/02/22-rdf-syntax-ns#&gt;\n\nSELECT ?c1 ?c2 (COUNT(DISTINCT ?m) AS ?sharedMovies)\nWHERE {\n  ?c1 a &lt;http://dbkwik.webdatacommons.org/marvelcinematicuniverse.wikia.com/class/character&gt; ;\n      ns1:movie ?m .\n  ?c2 a &lt;http://dbkwik.webdatacommons.org/marvelcinematicuniverse.wikia.com/class/character&gt; ;\n      ns1:movie ?m .\n  ?m a &lt;http://dbkwik.webdatacommons.org/marvelcinematicuniverse.wikia.com/class/movie&gt; .\n  FILTER(?c1 != ?c2)\n  FILTER(STR(?c1) &lt; STR(?c2))\n}\nGROUP BY ?c1 ?c2\nHAVING (COUNT(DISTINCT ?m) &gt;= 2)\nORDER BY ?c1 ?c2",
                        "refusal": null,
                        "annotations": []
                    },
                    "finish_reason": "stop"
                }
            ],
            "usage": {
                "prompt_tokens": 109332,
                "completion_tokens": 1974,
                "total_tokens": 111306,
                "prompt_tokens_details": {
                    "cached_tokens": 0,
                    "audio_tokens": 0
                },
                "completion_tokens_details": {
                    "reasoning_tokens": 1728,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</si>
  <si>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ns1: &lt;http://dbkwik.webdatacommons.org/marvelcinematicuniverse.wikia.com/property/&gt;
PREFIX rdf: &lt;http://www.w3.org/1999/02/22-rdf-syntax-ns#&gt;
SELECT ?c1 ?c2 (COUNT(DISTINCT ?m) AS ?sharedMovies)
WHERE {
  ?c1 a &lt;http://dbkwik.webdatacommons.org/marvelcinematicuniverse.wikia.com/class/character&gt; ;
      ns1:movie ?m .
  ?c2 a &lt;http://dbkwik.webdatacommons.org/marvelcinematicuniverse.wikia.com/class/character&gt; ;
      ns1:movie ?m .
  ?m a &lt;http://dbkwik.webdatacommons.org/marvelcinematicuniverse.wikia.com/class/movie&gt; .
  FILTER(?c1 != ?c2)
  FILTER(STR(?c1) &lt; STR(?c2))
}
GROUP BY ?c1 ?c2
HAVING (COUNT(DISTINCT ?m) &gt;= 2)
ORDER BY ?c1 ?c2</t>
  </si>
  <si>
    <t>{
  "cq_text": "What are all the pairs of characters that are linked through movies and co-appear in at least two movies?",
  "syntax_ok": true,
  "satisfiable": true,
  "deterministic": true,
  "latency": {
    "p50_ms": 4582.1,
    "p95_ms": 5231.49,
    "mean_ms": 4775.2
  },
  "rows": 2264,
  "vars": 3,
  "always_unbound_vars": [],
  "lexical_query_overlap": 0.0,
  "semantic_similarity_to_CQ": 0.69,
  "semantic_soft_coverage_to_CQ": 0.72,
  "tuple_cohesion": 0.92,
  "variables": [
    {
      "var": "c1",
      "rows": 2264,
      "distinct": 134,
      "null_rate": 0.0,
      "label_resolution_rate": 1.0,
      "diversity_entropy_norm": 0.86,
      "semantic_cohesion": 0.51,
      "dup_ratio": 0.94,
      "bound_rate": 1.0
    },
    {
      "var": "c2",
      "rows": 2264,
      "distinct": 131,
      "null_rate": 0.0,
      "label_resolution_rate": 1.0,
      "diversity_entropy_norm": 0.89,
      "semantic_cohesion": 0.51,
      "dup_ratio": 0.94,
      "bound_rate": 1.0
    },
    {
      "var": "sharedMovies",
      "rows": 2264,
      "distinct": 11,
      "null_rate": 0.0,
      "label_resolution_rate": 1.0,
      "diversity_entropy_norm": 0.43,
      "semantic_cohesion": 0.96,
      "dup_ratio": 1.0,
      "bound_rate": 1.0
    }
  ]
}</t>
  </si>
  <si>
    <t>[{"var": "c1", "rows": 2264, "distinct": 134, "null_rate": 0.0, "label_resolution_rate": 1.0, "diversity_entropy_norm": 0.86, "semantic_cohesion": 0.51, "dup_ratio": 0.94, "bound_rate": 1.0}, {"var": "c2", "rows": 2264, "distinct": 131, "null_rate": 0.0, "label_resolution_rate": 1.0, "diversity_entropy_norm": 0.89, "semantic_cohesion": 0.51, "dup_ratio": 0.94, "bound_rate": 1.0}, {"var": "sharedMovies", "rows": 2264, "distinct": 11, "null_rate": 0.0, "label_resolution_rate": 1.0, "diversity_entropy_norm": 0.43, "semantic_cohesion": 0.96, "dup_ratio": 1.0, "bound_rate": 1.0}]</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</si>
  <si>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</si>
  <si>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PREFIX rdfs: &lt;http://www.w3.org/2000/01/rdf-schema#&gt;
PREFIX ns1: &lt;http://dbkwik.webdatacommons.org/marvelcinematicuniverse.wikia.com/property/&gt;
SELECT ?team ?teamLabel (GROUP_CONCAT(DISTINCT ?memberLabel; separator=", ") AS ?members)
WHERE {
  ?team (ns1:members|ns1:formermembers|^ns1:team) ?member .
  OPTIONAL { ?team rdfs:label ?teamLabel . }
  OPTIONAL { ?member rdfs:label ?memberLabel . }
}
GROUP BY ?team ?teamLabel
ORDER BY ?teamLabel</t>
  </si>
  <si>
    <t>{
    "id": "batch_req_691fabea422c81909d76a45cea1c94c5",
    "custom_id": "cq-17",
    "response": {
        "status_code": 200,
        "request_id": "fa1466b9a19bd3ed33d69d6013c3f38b",
        "body": {
            "id": "chatcmpl-Ce8oE1No9gTPFUAp6WQHZH00oH0qm",
            "object": "chat.completion",
            "created": 1763683018,
            "model": "gpt-5-2025-08-07",
            "choices": [
                {
                    "index": 0,
                    "message": {
                        "role": "assistant",
                        "content": "PREFIX rdfs: &lt;http://www.w3.org/2000/01/rdf-schema#&gt;\nPREFIX ns1: &lt;http://dbkwik.webdatacommons.org/marvelcinematicuniverse.wikia.com/property/&gt;\n\nSELECT ?team ?teamLabel (GROUP_CONCAT(DISTINCT ?memberLabel; separator=\", \") AS ?members)\nWHERE {\n  ?team (ns1:members|ns1:formermembers|^ns1:team) ?member .\n  OPTIONAL { ?team rdfs:label ?teamLabel . }\n  OPTIONAL { ?member rdfs:label ?memberLabel . }\n}\nGROUP BY ?team ?teamLabel\nORDER BY ?teamLabel",
                        "refusal": null,
                        "annotations": []
                    },
                    "finish_reason": "stop"
                }
            ],
            "usage": {
                "prompt_tokens": 109325,
                "completion_tokens": 2518,
                "total_tokens": 111843,
                "prompt_tokens_details": {
                    "cached_tokens": 0,
                    "audio_tokens": 0
                },
                "completion_tokens_details": {
                    "reasoning_tokens": 2368,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</si>
  <si>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rdfs: &lt;http://www.w3.org/2000/01/rdf-schema#&gt;
PREFIX ns1: &lt;http://dbkwik.webdatacommons.org/marvelcinematicuniverse.wikia.com/property/&gt;
SELECT ?team ?teamLabel (GROUP_CONCAT(DISTINCT ?memberLabel; separator=", ") AS ?members)
WHERE {
  ?team (ns1:members|ns1:formermembers|^ns1:team) ?member .
  OPTIONAL { ?team rdfs:label ?teamLabel . }
  OPTIONAL { ?member rdfs:label ?memberLabel . }
}
GROUP BY ?team ?teamLabel
ORDER BY ?teamLabel</t>
  </si>
  <si>
    <t>{
  "cq_text": "What are all the teams and the set of members for each team available?",
  "syntax_ok": true,
  "satisfiable": true,
  "deterministic": true,
  "latency": {
    "p50_ms": 48.38,
    "p95_ms": 52.69,
    "mean_ms": 49.07
  },
  "rows": 192,
  "vars": 4,
  "always_unbound_vars": [
    "memberLabel"
  ],
  "lexical_query_overlap": 0.04,
  "semantic_similarity_to_CQ": 0.77,
  "semantic_soft_coverage_to_CQ": 0.76,
  "tuple_cohesion": 0.49,
  "variables": [
    {
      "var": "team",
      "rows": 192,
      "distinct": 182,
      "null_rate": 0.0,
      "label_resolution_rate": 1.0,
      "diversity_entropy_norm": 0.99,
      "semantic_cohesion": 0.56,
      "dup_ratio": 0.05,
      "bound_rate": 1.0
    },
    {
      "var": "teamLabel",
      "rows": 192,
      "distinct": 192,
      "null_rate": 0.0,
      "label_resolution_rate": 1.0,
      "diversity_entropy_norm": 1.0,
      "semantic_cohesion": 0.54,
      "dup_ratio": 0.0,
      "bound_rate": 1.0
    },
    {
      "var": "memberLabel",
      "rows": 192,
      "distinct": 0,
      "null_rate": 1.0,
      "label_resolution_rate": 0.0,
      "diversity_entropy_norm": 0.0,
      "semantic_cohesion": 1.0,
      "dup_ratio": 0.0,
      "bound_rate": 0.0
    },
    {
      "var": "members",
      "rows": 192,
      "distinct": 178,
      "null_rate": 0.046875,
      "label_resolution_rate": 1.0,
      "diversity_entropy_norm": 1.0,
      "semantic_cohesion": 0.53,
      "dup_ratio": 0.03,
      "bound_rate": 0.953125
    }
  ]
}</t>
  </si>
  <si>
    <t>["memberLabel"]</t>
  </si>
  <si>
    <t>[{"var": "team", "rows": 192, "distinct": 182, "null_rate": 0.0, "label_resolution_rate": 1.0, "diversity_entropy_norm": 0.99, "semantic_cohesion": 0.56, "dup_ratio": 0.05, "bound_rate": 1.0}, {"var": "teamLabel", "rows": 192, "distinct": 192, "null_rate": 0.0, "label_resolution_rate": 1.0, "diversity_entropy_norm": 1.0, "semantic_cohesion": 0.54, "dup_ratio": 0.0, "bound_rate": 1.0}, {"var": "memberLabel", "rows": 192, "distinct": 0, "null_rate": 1.0, "label_resolution_rate": 0.0, "diversity_entropy_norm": 0.0, "semantic_cohesion": 1.0, "dup_ratio": 0.0, "bound_rate": 0.0}, {"var": "members", "rows": 192, "distinct": 178, "null_rate": 0.046875, "label_resolution_rate": 1.0, "diversity_entropy_norm": 1.0, "semantic_cohesion": 0.53, "dup_ratio": 0.03, "bound_rate": 0.953125}]</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</si>
  <si>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</si>
  <si>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PREFIX rdf: &lt;http://www.w3.org/1999/02/22-rdf-syntax-ns#&gt;
PREFIX rdfs: &lt;http://www.w3.org/2000/01/rdf-schema#&gt;
PREFIX ns1: &lt;http://dbkwik.webdatacommons.org/marvelcinematicuniverse.wikia.com/property/&gt;
SELECT ?movie ?movieLabel (GROUP_CONCAT(DISTINCT COALESCE(?teamLabel, STR(?team)); separator=" | ") AS ?teams)
WHERE {
  ?movie a &lt;http://dbkwik.webdatacommons.org/marvelcinematicuniverse.wikia.com/class/movie&gt; .
  OPTIONAL { ?movie rdfs:label ?movieLabel . }
  {
    SELECT DISTINCT ?movie ?team WHERE {
      { ?member ns1:movie ?movie } UNION { ?member ns1:movies ?movie } .
      { ?team ns1:members ?member }
      UNION { ?member ns1:team ?team }
      UNION { ?member ns1:affiliation ?team } 
    }
  }
  OPTIONAL { ?team rdfs:label ?teamLabel . }
}
GROUP BY ?movie ?movieLabel
ORDER BY ?movieLabel</t>
  </si>
  <si>
    <t>{
    "id": "batch_req_691fabea27a8819092e81c740b097014",
    "custom_id": "cq-18",
    "response": {
        "status_code": 200,
        "request_id": "c5b331e029033f6dfe56ab8a15b476c5",
        "body": {
            "id": "chatcmpl-Ce8Z00IM9biVgSUyfMFsmsdcwZAdt",
            "object": "chat.completion",
            "created": 1763682074,
            "model": "gpt-5-2025-08-07",
            "choices": [
                {
                    "index": 0,
                    "message": {
                        "role": "assistant",
                        "content": "PREFIX rdf: &lt;http://www.w3.org/1999/02/22-rdf-syntax-ns#&gt;\nPREFIX rdfs: &lt;http://www.w3.org/2000/01/rdf-schema#&gt;\nPREFIX ns1: &lt;http://dbkwik.webdatacommons.org/marvelcinematicuniverse.wikia.com/property/&gt;\n\nSELECT ?movie ?movieLabel (GROUP_CONCAT(DISTINCT COALESCE(?teamLabel, STR(?team)); separator=\" | \") AS ?teams)\nWHERE {\n  ?movie a &lt;http://dbkwik.webdatacommons.org/marvelcinematicuniverse.wikia.com/class/movie&gt; .\n  OPTIONAL { ?movie rdfs:label ?movieLabel . }\n  {\n    SELECT DISTINCT ?movie ?team WHERE {\n      { ?member ns1:movie ?movie } UNION { ?member ns1:movies ?movie } .\n      { ?team ns1:members ?member }\n      UNION { ?member ns1:team ?team }\n      UNION { ?member ns1:affiliation ?team } \n    }\n  }\n  OPTIONAL { ?team rdfs:label ?teamLabel . }\n}\nGROUP BY ?movie ?movieLabel\nORDER BY ?movieLabel",
                        "refusal": null,
                        "annotations": []
                    },
                    "finish_reason": "stop"
                }
            ],
            "usage": {
                "prompt_tokens": 109330,
                "completion_tokens": 4678,
                "total_tokens": 114008,
                "prompt_tokens_details": {
                    "cached_tokens": 0,
                    "audio_tokens": 0
                },
                "completion_tokens_details": {
                    "reasoning_tokens": 4416,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</si>
  <si>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rdf: &lt;http://www.w3.org/1999/02/22-rdf-syntax-ns#&gt;
PREFIX rdfs: &lt;http://www.w3.org/2000/01/rdf-schema#&gt;
PREFIX ns1: &lt;http://dbkwik.webdatacommons.org/marvelcinematicuniverse.wikia.com/property/&gt;
SELECT ?movie ?movieLabel (GROUP_CONCAT(DISTINCT COALESCE(?teamLabel, STR(?team)); separator=" | ") AS ?teams)
WHERE {
  ?movie a &lt;http://dbkwik.webdatacommons.org/marvelcinematicuniverse.wikia.com/class/movie&gt; .
  OPTIONAL { ?movie rdfs:label ?movieLabel . }
  {
    SELECT DISTINCT ?movie ?team WHERE {
      { ?member ns1:movie ?movie } UNION { ?member ns1:movies ?movie } .
      { ?team ns1:members ?member }
      UNION { ?member ns1:team ?team }
      UNION { ?member ns1:affiliation ?team } 
    }
  }
  OPTIONAL { ?team rdfs:label ?teamLabel . }
}
GROUP BY ?movie ?movieLabel
ORDER BY ?movieLabel</t>
  </si>
  <si>
    <t>{
  "cq_text": "What are all the movies and the set of teams that have at least one member appearing in them?",
  "syntax_ok": true,
  "satisfiable": true,
  "deterministic": true,
  "latency": {
    "p50_ms": 121.06,
    "p95_ms": 124.5,
    "mean_ms": 117.47
  },
  "rows": 24,
  "vars": 5,
  "always_unbound_vars": [
    "teamLabel",
    "team"
  ],
  "lexical_query_overlap": 0.02,
  "semantic_similarity_to_CQ": 0.77,
  "semantic_soft_coverage_to_CQ": 0.75,
  "tuple_cohesion": 0.76,
  "variables": [
    {
      "var": "movie",
      "rows": 24,
      "distinct": 13,
      "null_rate": 0.0,
      "label_resolution_rate": 1.0,
      "diversity_entropy_norm": 0.75,
      "semantic_cohesion": 0.62,
      "dup_ratio": 0.46,
      "bound_rate": 1.0
    },
    {
      "var": "movieLabel",
      "rows": 24,
      "distinct": 24,
      "null_rate": 0.0,
      "label_resolution_rate": 1.0,
      "diversity_entropy_norm": 1.0,
      "semantic_cohesion": 0.74,
      "dup_ratio": 0.0,
      "bound_rate": 1.0
    },
    {
      "var": "teamLabel",
      "rows": 24,
      "distinct": 0,
      "null_rate": 1.0,
      "label_resolution_rate": 0.0,
      "diversity_entropy_norm": 0.0,
      "semantic_cohesion": 1.0,
      "dup_ratio": 0.0,
      "bound_rate": 0.0
    },
    {
      "var": "team",
      "rows": 24,
      "distinct": 0,
      "null_rate": 1.0,
      "label_resolution_rate": 0.0,
      "diversity_entropy_norm": 0.0,
      "semantic_cohesion": 1.0,
      "dup_ratio": 0.0,
      "bound_rate": 0.0
    },
    {
      "var": "teams",
      "rows": 24,
      "distinct": 24,
      "null_rate": 0.0,
      "label_resolution_rate": 1.0,
      "diversity_entropy_norm": 1.0,
      "semantic_cohesion": 0.81,
      "dup_ratio": 0.0,
      "bound_rate": 1.0
    }
  ]
}</t>
  </si>
  <si>
    <t>["teamLabel", "team"]</t>
  </si>
  <si>
    <t>[{"var": "movie", "rows": 24, "distinct": 13, "null_rate": 0.0, "label_resolution_rate": 1.0, "diversity_entropy_norm": 0.75, "semantic_cohesion": 0.62, "dup_ratio": 0.46, "bound_rate": 1.0}, {"var": "movieLabel", "rows": 24, "distinct": 24, "null_rate": 0.0, "label_resolution_rate": 1.0, "diversity_entropy_norm": 1.0, "semantic_cohesion": 0.74, "dup_ratio": 0.0, "bound_rate": 1.0}, {"var": "teamLabel", "rows": 24, "distinct": 0, "null_rate": 1.0, "label_resolution_rate": 0.0, "diversity_entropy_norm": 0.0, "semantic_cohesion": 1.0, "dup_ratio": 0.0, "bound_rate": 0.0}, {"var": "team", "rows": 24, "distinct": 0, "null_rate": 1.0, "label_resolution_rate": 0.0, "diversity_entropy_norm": 0.0, "semantic_cohesion": 1.0, "dup_ratio": 0.0, "bound_rate": 0.0}, {"var": "teams", "rows": 24, "distinct": 24, "null_rate": 0.0, "label_resolution_rate": 1.0, "diversity_entropy_norm": 1.0, "semantic_cohesion": 0.81, "dup_ratio": 0.0, "bound_rate": 1.0}]</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</si>
  <si>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</si>
  <si>
    <t>PREFIX rdf: &lt;http://www.w3.org/1999/02/22-rdf-syntax-ns#&gt;
PREFIX rdfs: &lt;http://www.w3.org/2000/01/rdf-schema#&gt;
PREFIX ns1: &lt;http://dbkwik.webdatacommons.org/marvelcinematicuniverse.wikia.com/property/&gt;
SELECT DISTINCT ?loc ?locLabel WHERE {
  {
    { ?char rdf:type &lt;http://dbkwik.webdatacommons.org/marvelcinematicuniverse.wikia.com/class/character&gt; }
    UNION
    { ?char ns1:actor ?actor }
    { ?char ns1:citizenship ?loc }
    UNION
    { ?char ns1:homeplanet ?loc }
  }
  UNION
  {
    { ?char rdf:type &lt;http://dbkwik.webdatacommons.org/marvelcinematicuniverse.wikia.com/class/character&gt; }
    UNION
    { ?char ns1:actor ?actor }
    ?char ?charWorkProp ?work .
    FILTER(?charWorkProp IN (ns1:movie, ns1:tvSeries))
    ?loc rdf:type &lt;http://dbkwik.webdatacommons.org/marvelcinematicuniverse.wikia.com/class/location&gt; ;
         ?locWorkProp ?work .
    FILTER(?locWorkProp IN (ns1:movie, ns1:tvSeries))
  }
  OPTIONAL { ?loc rdfs:label ?locLabel }
}</t>
  </si>
  <si>
    <t>{
    "id": "batch_req_691fabea444081908b80092588fcd728",
    "custom_id": "cq-19",
    "response": {
        "status_code": 200,
        "request_id": "1af294d50cec5e759b621bfd5dcf3d0e",
        "body": {
            "id": "chatcmpl-Ce7ukGuQaHYYp7Ppnvof7ENr7KFNp",
            "object": "chat.completion",
            "created": 1763679578,
            "model": "gpt-5-2025-08-07",
            "choices": [
                {
                    "index": 0,
                    "message": {
                        "role": "assistant",
                        "content": "PREFIX rdf: &lt;http://www.w3.org/1999/02/22-rdf-syntax-ns#&gt;\nPREFIX rdfs: &lt;http://www.w3.org/2000/01/rdf-schema#&gt;\nPREFIX ns1: &lt;http://dbkwik.webdatacommons.org/marvelcinematicuniverse.wikia.com/property/&gt;\n\nSELECT DISTINCT ?loc ?locLabel WHERE {\n  {\n    { ?char rdf:type &lt;http://dbkwik.webdatacommons.org/marvelcinematicuniverse.wikia.com/class/character&gt; }\n    UNION\n    { ?char ns1:actor ?actor }\n    { ?char ns1:citizenship ?loc }\n    UNION\n    { ?char ns1:homeplanet ?loc }\n  }\n  UNION\n  {\n    { ?char rdf:type &lt;http://dbkwik.webdatacommons.org/marvelcinematicuniverse.wikia.com/class/character&gt; }\n    UNION\n    { ?char ns1:actor ?actor }\n    ?char ?charWorkProp ?work .\n    FILTER(?charWorkProp IN (ns1:movie, ns1:tvSeries))\n    ?loc rdf:type &lt;http://dbkwik.webdatacommons.org/marvelcinematicuniverse.wikia.com/class/location&gt; ;\n         ?locWorkProp ?work .\n    FILTER(?locWorkProp IN (ns1:movie, ns1:tvSeries))\n  }\n  OPTIONAL { ?loc rdfs:label ?locLabel }\n}",
                        "refusal": null,
                        "annotations": []
                    },
                    "finish_reason": "stop"
                }
            ],
            "usage": {
                "prompt_tokens": 109332,
                "completion_tokens": 4482,
                "total_tokens": 113814,
                "prompt_tokens_details": {
                    "cached_tokens": 0,
                    "audio_tokens": 0
                },
                "completion_tokens_details": {
                    "reasoning_tokens": 4160,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</si>
  <si>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rdf: &lt;http://www.w3.org/1999/02/22-rdf-syntax-ns#&gt;
PREFIX rdfs: &lt;http://www.w3.org/2000/01/rdf-schema#&gt;
PREFIX ns1: &lt;http://dbkwik.webdatacommons.org/marvelcinematicuniverse.wikia.com/property/&gt;
SELECT DISTINCT ?loc ?locLabel WHERE {
  {
    { ?char rdf:type &lt;http://dbkwik.webdatacommons.org/marvelcinematicuniverse.wikia.com/class/character&gt; }
    UNION
    { ?char ns1:actor ?actor }
    { ?char ns1:citizenship ?loc }
    UNION
    { ?char ns1:homeplanet ?loc }
  }
  UNION
  {
    { ?char rdf:type &lt;http://dbkwik.webdatacommons.org/marvelcinematicuniverse.wikia.com/class/character&gt; }
    UNION
    { ?char ns1:actor ?actor }
    ?char ?charWorkProp ?work .
    FILTER(?charWorkProp IN (ns1:movie, ns1:tvSeries))
    ?loc rdf:type &lt;http://dbkwik.webdatacommons.org/marvelcinematicuniverse.wikia.com/class/location&gt; ;
         ?locWorkProp ?work .
    FILTER(?locWorkProp IN (ns1:movie, ns1:tvSeries))
  }
  OPTIONAL { ?loc rdfs:label ?locLabel }
}</t>
  </si>
  <si>
    <t>{
  "cq_text": "What are all locations that are associated with at least one character appearance (e.g., origin or major setting)?",
  "syntax_ok": true,
  "satisfiable": true,
  "deterministic": true,
  "latency": {
    "p50_ms": 28390.78,
    "p95_ms": 32147.5,
    "mean_ms": 29557.23
  },
  "rows": 925,
  "vars": 2,
  "always_unbound_vars": [],
  "lexical_query_overlap": 0.02,
  "semantic_similarity_to_CQ": 0.62,
  "semantic_soft_coverage_to_CQ": 0.74,
  "tuple_cohesion": 0.6,
  "variables": [
    {
      "var": "loc",
      "rows": 925,
      "distinct": 855,
      "null_rate": 0.0,
      "label_resolution_rate": 1.0,
      "diversity_entropy_norm": 0.99,
      "semantic_cohesion": 0.65,
      "dup_ratio": 0.08,
      "bound_rate": 1.0
    },
    {
      "var": "locLabel",
      "rows": 925,
      "distinct": 925,
      "null_rate": 0.0,
      "label_resolution_rate": 1.0,
      "diversity_entropy_norm": 1.0,
      "semantic_cohesion": 0.64,
      "dup_ratio": 0.0,
      "bound_rate": 1.0
    }
  ]
}</t>
  </si>
  <si>
    <t>[{"var": "loc", "rows": 925, "distinct": 855, "null_rate": 0.0, "label_resolution_rate": 1.0, "diversity_entropy_norm": 0.99, "semantic_cohesion": 0.65, "dup_ratio": 0.08, "bound_rate": 1.0}, {"var": "locLabel", "rows": 925, "distinct": 925, "null_rate": 0.0, "label_resolution_rate": 1.0, "diversity_entropy_norm": 1.0, "semantic_cohesion": 0.64, "dup_ratio": 0.0, "bound_rate": 1.0}]</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</si>
  <si>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</si>
  <si>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PREFIX ns1: &lt;http://dbkwik.webdatacommons.org/marvelcinematicuniverse.wikia.com/property/&gt;
PREFIX rdf: &lt;http://www.w3.org/1999/02/22-rdf-syntax-ns#&gt;
SELECT DISTINCT ?director ?actor
WHERE {
  ?movie rdf:type &lt;http://dbkwik.webdatacommons.org/marvelcinematicuniverse.wikia.com/class/movie&gt; .
  { ?director ns1:directed ?movie } UNION { ?movie ns1:director ?director } .
  { ?actor ns1:movies ?movie } UNION { ?char ns1:movie ?movie ; ns1:actor ?actor } .
}</t>
  </si>
  <si>
    <t>{
    "id": "batch_req_691fabeaee3481909d91dfe3c0a7df85",
    "custom_id": "cq-20",
    "response": {
        "status_code": 200,
        "request_id": "fccf2db8e8242fd25b4430c551106d57",
        "body": {
            "id": "chatcmpl-Ce8Z4mxwFmzrr2Kj4qeNqB8u683xr",
            "object": "chat.completion",
            "created": 1763682078,
            "model": "gpt-5-2025-08-07",
            "choices": [
                {
                    "index": 0,
                    "message": {
                        "role": "assistant",
                        "content": "PREFIX ns1: &lt;http://dbkwik.webdatacommons.org/marvelcinematicuniverse.wikia.com/property/&gt;\nPREFIX rdf: &lt;http://www.w3.org/1999/02/22-rdf-syntax-ns#&gt;\n\nSELECT DISTINCT ?director ?actor\nWHERE {\n  ?movie rdf:type &lt;http://dbkwik.webdatacommons.org/marvelcinematicuniverse.wikia.com/class/movie&gt; .\n  { ?director ns1:directed ?movie } UNION { ?movie ns1:director ?director } .\n  { ?actor ns1:movies ?movie } UNION { ?char ns1:movie ?movie ; ns1:actor ?actor } .\n}",
                        "refusal": null,
                        "annotations": []
                    },
                    "finish_reason": "stop"
                }
            ],
            "usage": {
                "prompt_tokens": 109323,
                "completion_tokens": 4059,
                "total_tokens": 113382,
                "prompt_tokens_details": {
                    "cached_tokens": 0,
                    "audio_tokens": 0
                },
                "completion_tokens_details": {
                    "reasoning_tokens": 3904,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</si>
  <si>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ns1: &lt;http://dbkwik.webdatacommons.org/marvelcinematicuniverse.wikia.com/property/&gt;
PREFIX rdf: &lt;http://www.w3.org/1999/02/22-rdf-syntax-ns#&gt;
SELECT DISTINCT ?director ?actor
WHERE {
  ?movie rdf:type &lt;http://dbkwik.webdatacommons.org/marvelcinematicuniverse.wikia.com/class/movie&gt; .
  { ?director ns1:directed ?movie } UNION { ?movie ns1:director ?director } .
  { ?actor ns1:movies ?movie } UNION { ?char ns1:movie ?movie ; ns1:actor ?actor } .
}</t>
  </si>
  <si>
    <t>{
  "cq_text": "What are all the director\u2013actor pairs linked through movies available?",
  "syntax_ok": true,
  "satisfiable": true,
  "deterministic": true,
  "latency": {
    "p50_ms": 136.87,
    "p95_ms": 140.8,
    "mean_ms": 133.94
  },
  "rows": 1511,
  "vars": 2,
  "always_unbound_vars": [],
  "lexical_query_overlap": 0.07,
  "semantic_similarity_to_CQ": 0.74,
  "semantic_soft_coverage_to_CQ": 0.77,
  "tuple_cohesion": 0.89,
  "variables": [
    {
      "var": "director",
      "rows": 1511,
      "distinct": 19,
      "null_rate": 0.0,
      "label_resolution_rate": 1.0,
      "diversity_entropy_norm": 0.86,
      "semantic_cohesion": 0.55,
      "dup_ratio": 0.99,
      "bound_rate": 1.0
    },
    {
      "var": "actor",
      "rows": 1511,
      "distinct": 453,
      "null_rate": 0.0,
      "label_resolution_rate": 1.0,
      "diversity_entropy_norm": 0.97,
      "semantic_cohesion": 0.57,
      "dup_ratio": 0.7,
      "bound_rate": 1.0
    }
  ]
}</t>
  </si>
  <si>
    <t>[{"var": "director", "rows": 1511, "distinct": 19, "null_rate": 0.0, "label_resolution_rate": 1.0, "diversity_entropy_norm": 0.86, "semantic_cohesion": 0.55, "dup_ratio": 0.99, "bound_rate": 1.0}, {"var": "actor", "rows": 1511, "distinct": 453, "null_rate": 0.0, "label_resolution_rate": 1.0, "diversity_entropy_norm": 0.97, "semantic_cohesion": 0.57, "dup_ratio": 0.7, "bound_rate": 1.0}]</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</si>
  <si>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</si>
  <si>
    <t>{
    "id": "batch_req_691fabeb19d081908945d624afdbfef0",
    "custom_id": "cq-21",
    "response": {
        "status_code": 200,
        "request_id": "34e234756b1824af2c97dabc5ca9a180",
        "body": {
            "id": "chatcmpl-Ce7nqmoR5vMZREghhdDggJi2D4uu4",
            "object": "chat.completion",
            "created": 1763679150,
            "model": "gpt-5-2025-08-07",
            "choices": [
                {
                    "index": 0,
                    "message": {
                        "role": "assistant",
                        "content": "No valid query can be generated based on the provided schema.",
                        "refusal": null,
                        "annotations": []
                    },
                    "finish_reason": "stop"
                }
            ],
            "usage": {
                "prompt_tokens": 109327,
                "completion_tokens": 1878,
                "total_tokens": 111205,
                "prompt_tokens_details": {
                    "cached_tokens": 0,
                    "audio_tokens": 0
                },
                "completion_tokens_details": {
                    "reasoning_tokens": 1856,
                    "audio_tokens": 0,
                    "accepted_prediction_tokens": 0,
                    "rejected_prediction_tokens": 0
                }
            },
            "service_tier": "default",
            "system_fingerprint": null
        }
    },
    "error": null
}</t>
  </si>
  <si>
    <t>{
  "cq_text": "What are all the available distinct powers and the set of characters associated with each power?",
  "syntax_ok": false,
  "syntax_msg": "No SPARQL form found"
}</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</si>
  <si>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</si>
  <si>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PREFIX rdf: &lt;http://www.w3.org/1999/02/22-rdf-syntax-ns#&gt;
PREFIX rdfs: &lt;http://www.w3.org/2000/01/rdf-schema#&gt;
PREFIX ns1: &lt;http://dbkwik.webdatacommons.org/marvelcinematicuniverse.wikia.com/property/&gt;
PREFIX mcuc: &lt;http://dbkwik.webdatacommons.org/marvelcinematicuniverse.wikia.com/class/&gt;
SELECT DISTINCT ?movie ?movieLabel ?char1 ?char1Label ?char2 ?char2Label
WHERE {
  ?char1 a mcuc:character ;
         ns1:movie ?movie .
  ?char2 a mcuc:character ;
         ns1:movie ?movie .
  ?movie a mcuc:movie .
  FILTER(?char1 != ?char2)
  FILTER(STR(?char1) &lt; STR(?char2))
  OPTIONAL { ?char1 rdfs:label ?char1Label . }
  OPTIONAL { ?char2 rdfs:label ?char2Label . }
  OPTIONAL { ?movie rdfs:label ?movieLabel . }
}
ORDER BY ?movie ?char1 ?char2</t>
  </si>
  <si>
    <t>{
    "id": "batch_req_691fabeb317c8190a44a6c8137114443",
    "custom_id": "cq-22",
    "response": {
        "status_code": 200,
        "request_id": "bd562a30733c416865d73e9c3a742266",
        "body": {
            "id": "chatcmpl-Ce7uuwZKzfrsK4enuG4cbOy4uqm0s",
            "object": "chat.completion",
            "created": 1763679588,
            "model": "gpt-5-2025-08-07",
            "choices": [
                {
                    "index": 0,
                    "message": {
                        "role": "assistant",
                        "content": "PREFIX rdf: &lt;http://www.w3.org/1999/02/22-rdf-syntax-ns#&gt;\nPREFIX rdfs: &lt;http://www.w3.org/2000/01/rdf-schema#&gt;\nPREFIX ns1: &lt;http://dbkwik.webdatacommons.org/marvelcinematicuniverse.wikia.com/property/&gt;\nPREFIX mcuc: &lt;http://dbkwik.webdatacommons.org/marvelcinematicuniverse.wikia.com/class/&gt;\n\nSELECT DISTINCT ?movie ?movieLabel ?char1 ?char1Label ?char2 ?char2Label\nWHERE {\n  ?char1 a mcuc:character ;\n         ns1:movie ?movie .\n  ?char2 a mcuc:character ;\n         ns1:movie ?movie .\n  ?movie a mcuc:movie .\n  FILTER(?char1 != ?char2)\n  FILTER(STR(?char1) &lt; STR(?char2))\n  OPTIONAL { ?char1 rdfs:label ?char1Label . }\n  OPTIONAL { ?char2 rdfs:label ?char2Label . }\n  OPTIONAL { ?movie rdfs:label ?movieLabel . }\n}\nORDER BY ?movie ?char1 ?char2",
                        "refusal": null,
                        "annotations": []
                    },
                    "finish_reason": "stop"
                }
            ],
            "usage": {
                "prompt_tokens": 109328,
                "completion_tokens": 2563,
                "total_tokens": 111891,
                "prompt_tokens_details": {
                    "cached_tokens": 0,
                    "audio_tokens": 0
                },
                "completion_tokens_details": {
                    "reasoning_tokens": 2304,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</si>
  <si>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rdf: &lt;http://www.w3.org/1999/02/22-rdf-syntax-ns#&gt;
PREFIX rdfs: &lt;http://www.w3.org/2000/01/rdf-schema#&gt;
PREFIX ns1: &lt;http://dbkwik.webdatacommons.org/marvelcinematicuniverse.wikia.com/property/&gt;
PREFIX mcuc: &lt;http://dbkwik.webdatacommons.org/marvelcinematicuniverse.wikia.com/class/&gt;
SELECT DISTINCT ?movie ?movieLabel ?char1 ?char1Label ?char2 ?char2Label
WHERE {
  ?char1 a mcuc:character ;
         ns1:movie ?movie .
  ?char2 a mcuc:character ;
         ns1:movie ?movie .
  ?movie a mcuc:movie .
  FILTER(?char1 != ?char2)
  FILTER(STR(?char1) &lt; STR(?char2))
  OPTIONAL { ?char1 rdfs:label ?char1Label . }
  OPTIONAL { ?char2 rdfs:label ?char2Label . }
  OPTIONAL { ?movie rdfs:label ?movieLabel . }
}
ORDER BY ?movie ?char1 ?char2</t>
  </si>
  <si>
    <t>{
  "cq_text": "What are all the pairs of characters available that have co-appeared in a movie?",
  "syntax_ok": true,
  "satisfiable": true,
  "deterministic": true,
  "latency": {
    "p50_ms": 6050.1,
    "p95_ms": 6178.62,
    "mean_ms": 6090.63
  },
  "rows": 21185,
  "vars": 6,
  "always_unbound_vars": [],
  "lexical_query_overlap": 0.06,
  "semantic_similarity_to_CQ": 0.68,
  "semantic_soft_coverage_to_CQ": 0.72,
  "tuple_cohesion": 0.92,
  "variables": [
    {
      "var": "movie",
      "rows": 21185,
      "distinct": 21,
      "null_rate": 0.0,
      "label_resolution_rate": 1.0,
      "diversity_entropy_norm": 0.9,
      "semantic_cohesion": 0.59,
      "dup_ratio": 1.0,
      "bound_rate": 1.0
    },
    {
      "var": "movieLabel",
      "rows": 21185,
      "distinct": 24,
      "null_rate": 0.0,
      "label_resolution_rate": 1.0,
      "diversity_entropy_norm": 0.92,
      "semantic_cohesion": 0.73,
      "dup_ratio": 1.0,
      "bound_rate": 1.0
    },
    {
      "var": "char1",
      "rows": 21185,
      "distinct": 484,
      "null_rate": 0.0,
      "label_resolution_rate": 1.0,
      "diversity_entropy_norm": 0.9,
      "semantic_cohesion": 0.56,
      "dup_ratio": 0.98,
      "bound_rate": 1.0
    },
    {
      "var": "char1Label",
      "rows": 21185,
      "distinct": 518,
      "null_rate": 0.0,
      "label_resolution_rate": 1.0,
      "diversity_entropy_norm": 0.92,
      "semantic_cohesion": 0.56,
      "dup_ratio": 0.98,
      "bound_rate": 1.0
    },
    {
      "var": "char2",
      "rows": 21185,
      "distinct": 480,
      "null_rate": 0.0,
      "label_resolution_rate": 1.0,
      "diversity_entropy_norm": 0.88,
      "semantic_cohesion": 0.56,
      "dup_ratio": 0.98,
      "bound_rate": 1.0
    },
    {
      "var": "char2Label",
      "rows": 21185,
      "distinct": 515,
      "null_rate": 0.0,
      "label_resolution_rate": 1.0,
      "diversity_entropy_norm": 0.9,
      "semantic_cohesion": 0.56,
      "dup_ratio": 0.98,
      "bound_rate": 1.0
    }
  ]
}</t>
  </si>
  <si>
    <t>[{"var": "movie", "rows": 21185, "distinct": 21, "null_rate": 0.0, "label_resolution_rate": 1.0, "diversity_entropy_norm": 0.9, "semantic_cohesion": 0.59, "dup_ratio": 1.0, "bound_rate": 1.0}, {"var": "movieLabel", "rows": 21185, "distinct": 24, "null_rate": 0.0, "label_resolution_rate": 1.0, "diversity_entropy_norm": 0.92, "semantic_cohesion": 0.73, "dup_ratio": 1.0, "bound_rate": 1.0}, {"var": "char1", "rows": 21185, "distinct": 484, "null_rate": 0.0, "label_resolution_rate": 1.0, "diversity_entropy_norm": 0.9, "semantic_cohesion": 0.56, "dup_ratio": 0.98, "bound_rate": 1.0}, {"var": "char1Label", "rows": 21185, "distinct": 518, "null_rate": 0.0, "label_resolution_rate": 1.0, "diversity_entropy_norm": 0.92, "semantic_cohesion": 0.56, "dup_ratio": 0.98, "bound_rate": 1.0}, {"var": "char2", "rows": 21185, "distinct": 480, "null_rate": 0.0, "label_resolution_rate": 1.0, "diversity_entropy_norm": 0.88, "semantic_cohesion": 0.56, "dup_ratio": 0.98, "bound_rate": 1.0}, {"var": "char2Label", "rows": 21185, "distinct": 515, "null_rate": 0.0, "label_resolution_rate": 1.0, "diversity_entropy_norm": 0.9, "semantic_cohesion": 0.56, "dup_ratio": 0.98, "bound_rate": 1.0}]</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</si>
  <si>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</si>
  <si>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PREFIX rdf: &lt;http://www.w3.org/1999/02/22-rdf-syntax-ns#&gt;
PREFIX rdfs: &lt;http://www.w3.org/2000/01/rdf-schema#&gt;
PREFIX ns1: &lt;http://dbkwik.webdatacommons.org/marvelcinematicuniverse.wikia.com/property/&gt;
SELECT ?character (SAMPLE(?label) AS ?name) (COUNT(DISTINCT ?movie) AS ?movieCount)
WHERE {
  ?character a &lt;http://dbkwik.webdatacommons.org/marvelcinematicuniverse.wikia.com/class/character&gt; .
  OPTIONAL { ?character rdfs:label ?label . }
  OPTIONAL { ?character ns1:movie|ns1:movies ?movie . }
}
GROUP BY ?character
ORDER BY DESC(?movieCount) ?name</t>
  </si>
  <si>
    <t>{
    "id": "batch_req_691fabeb32e08190b3282d40af164471",
    "custom_id": "cq-23",
    "response": {
        "status_code": 200,
        "request_id": "6073c7606afecf9bbb117c7e06baeab8",
        "body": {
            "id": "chatcmpl-Ce8ZzxW9rwHkiS4sN6zON2A1zBCo9",
            "object": "chat.completion",
            "created": 1763682135,
            "model": "gpt-5-2025-08-07",
            "choices": [
                {
                    "index": 0,
                    "message": {
                        "role": "assistant",
                        "content": "PREFIX rdf: &lt;http://www.w3.org/1999/02/22-rdf-syntax-ns#&gt;\nPREFIX rdfs: &lt;http://www.w3.org/2000/01/rdf-schema#&gt;\nPREFIX ns1: &lt;http://dbkwik.webdatacommons.org/marvelcinematicuniverse.wikia.com/property/&gt;\n\nSELECT ?character (SAMPLE(?label) AS ?name) (COUNT(DISTINCT ?movie) AS ?movieCount)\nWHERE {\n  ?character a &lt;http://dbkwik.webdatacommons.org/marvelcinematicuniverse.wikia.com/class/character&gt; .\n  OPTIONAL { ?character rdfs:label ?label . }\n  OPTIONAL { ?character ns1:movie|ns1:movies ?movie . }\n}\nGROUP BY ?character\nORDER BY DESC(?movieCount) ?name",
                        "refusal": null,
                        "annotations": []
                    },
                    "finish_reason": "stop"
                }
            ],
            "usage": {
                "prompt_tokens": 109323,
                "completion_tokens": 2106,
                "total_tokens": 111429,
                "prompt_tokens_details": {
                    "cached_tokens": 0,
                    "audio_tokens": 0
                },
                "completion_tokens_details": {
                    "reasoning_tokens": 1920,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</si>
  <si>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rdf: &lt;http://www.w3.org/1999/02/22-rdf-syntax-ns#&gt;
PREFIX rdfs: &lt;http://www.w3.org/2000/01/rdf-schema#&gt;
PREFIX ns1: &lt;http://dbkwik.webdatacommons.org/marvelcinematicuniverse.wikia.com/property/&gt;
SELECT ?character (SAMPLE(?label) AS ?name) (COUNT(DISTINCT ?movie) AS ?movieCount)
WHERE {
  ?character a &lt;http://dbkwik.webdatacommons.org/marvelcinematicuniverse.wikia.com/class/character&gt; .
  OPTIONAL { ?character rdfs:label ?label . }
  OPTIONAL { ?character ns1:movie|ns1:movies ?movie . }
}
GROUP BY ?character
ORDER BY DESC(?movieCount) ?name</t>
  </si>
  <si>
    <t>{
  "cq_text": "How many movies does each character appear in (character appearance count)?",
  "syntax_ok": true,
  "satisfiable": true,
  "deterministic": true,
  "latency": {
    "p50_ms": 135.03,
    "p95_ms": 154.41,
    "mean_ms": 139.3
  },
  "rows": 2262,
  "vars": 5,
  "always_unbound_vars": [
    "label",
    "movie"
  ],
  "lexical_query_overlap": 0.04,
  "semantic_similarity_to_CQ": 0.69,
  "semantic_soft_coverage_to_CQ": 0.8,
  "tuple_cohesion": 0.8,
  "variables": [
    {
      "var": "character",
      "rows": 2262,
      "distinct": 1859,
      "null_rate": 0.0,
      "label_resolution_rate": 1.0,
      "diversity_entropy_norm": 0.98,
      "semantic_cohesion": 0.64,
      "dup_ratio": 0.18,
      "bound_rate": 1.0
    },
    {
      "var": "label",
      "rows": 2262,
      "distinct": 0,
      "null_rate": 1.0,
      "label_resolution_rate": 0.0,
      "diversity_entropy_norm": 0.0,
      "semantic_cohesion": 1.0,
      "dup_ratio": 0.0,
      "bound_rate": 0.0
    },
    {
      "var": "name",
      "rows": 2262,
      "distinct": 2262,
      "null_rate": 0.0,
      "label_resolution_rate": 1.0,
      "diversity_entropy_norm": 1.0,
      "semantic_cohesion": 0.65,
      "dup_ratio": 0.0,
      "bound_rate": 1.0
    },
    {
      "var": "movie",
      "rows": 2262,
      "distinct": 0,
      "null_rate": 1.0,
      "label_resolution_rate": 0.0,
      "diversity_entropy_norm": 0.0,
      "semantic_cohesion": 1.0,
      "dup_ratio": 0.0,
      "bound_rate": 0.0
    },
    {
      "var": "movieCount",
      "rows": 2262,
      "distinct": 15,
      "null_rate": 0.0,
      "label_resolution_rate": 1.0,
      "diversity_entropy_norm": 0.3,
      "semantic_cohesion": 0.95,
      "dup_ratio": 0.99,
      "bound_rate": 1.0
    }
  ]
}</t>
  </si>
  <si>
    <t>["label", "movie"]</t>
  </si>
  <si>
    <t>[{"var": "character", "rows": 2262, "distinct": 1859, "null_rate": 0.0, "label_resolution_rate": 1.0, "diversity_entropy_norm": 0.98, "semantic_cohesion": 0.64, "dup_ratio": 0.18, "bound_rate": 1.0}, {"var": "label", "rows": 2262, "distinct": 0, "null_rate": 1.0, "label_resolution_rate": 0.0, "diversity_entropy_norm": 0.0, "semantic_cohesion": 1.0, "dup_ratio": 0.0, "bound_rate": 0.0}, {"var": "name", "rows": 2262, "distinct": 2262, "null_rate": 0.0, "label_resolution_rate": 1.0, "diversity_entropy_norm": 1.0, "semantic_cohesion": 0.65, "dup_ratio": 0.0, "bound_rate": 1.0}, {"var": "movie", "rows": 2262, "distinct": 0, "null_rate": 1.0, "label_resolution_rate": 0.0, "diversity_entropy_norm": 0.0, "semantic_cohesion": 1.0, "dup_ratio": 0.0, "bound_rate": 0.0}, {"var": "movieCount", "rows": 2262, "distinct": 15, "null_rate": 0.0, "label_resolution_rate": 1.0, "diversity_entropy_norm": 0.3, "semantic_cohesion": 0.95, "dup_ratio": 0.99, "bound_rate": 1.0}]</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</si>
  <si>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</si>
  <si>
    <t>PREFIX rdf: &lt;http://www.w3.org/1999/02/22-rdf-syntax-ns#&gt;
PREFIX rdfs: &lt;http://www.w3.org/2000/01/rdf-schema#&gt;
PREFIX ns1: &lt;http://dbkwik.webdatacommons.org/marvelcinematicuniverse.wikia.com/property/&gt;
SELECT ?char1 ?char1Label ?char2 ?char2Label
       (COUNT(DISTINCT ?movie) AS ?sharedMovieCount)
       (GROUP_CONCAT(DISTINCT ?movieLabel; separator=", ") AS ?sharedMovies)
WHERE {
  ?char1 (ns1:movie|ns1:movies) ?movie .
  ?char2 (ns1:movie|ns1:movies) ?movie .
  ?movie a &lt;http://dbkwik.webdatacommons.org/marvelcinematicuniverse.wikia.com/class/movie&gt; .
  FILTER(?char1 != ?char2)
  FILTER(STR(?char1) &lt; STR(?char2))
  OPTIONAL { ?char1 rdfs:label ?char1Label . }
  OPTIONAL { ?char2 rdfs:label ?char2Label . }
  OPTIONAL { ?movie rdfs:label ?movieLabel . }
}
GROUP BY ?char1 ?char1Label ?char2 ?char2Label
HAVING (COUNT(DISTINCT ?movie) &gt; 1)
ORDER BY DESC(?sharedMovieCount) ?char1Label ?char2Label</t>
  </si>
  <si>
    <t>{
    "id": "batch_req_691fabeb21b881908da941b66d6c3e79",
    "custom_id": "cq-24",
    "response": {
        "status_code": 200,
        "request_id": "60ebe471a69a71b1be8f0145307ad400",
        "body": {
            "id": "chatcmpl-Ce8Trgy5pVELLkaPeOvVMv5CT86e4",
            "object": "chat.completion",
            "created": 1763681755,
            "model": "gpt-5-2025-08-07",
            "choices": [
                {
                    "index": 0,
                    "message": {
                        "role": "assistant",
                        "content": "PREFIX rdf: &lt;http://www.w3.org/1999/02/22-rdf-syntax-ns#&gt;\nPREFIX rdfs: &lt;http://www.w3.org/2000/01/rdf-schema#&gt;\nPREFIX ns1: &lt;http://dbkwik.webdatacommons.org/marvelcinematicuniverse.wikia.com/property/&gt;\n\nSELECT ?char1 ?char1Label ?char2 ?char2Label\n       (COUNT(DISTINCT ?movie) AS ?sharedMovieCount)\n       (GROUP_CONCAT(DISTINCT ?movieLabel; separator=\", \") AS ?sharedMovies)\nWHERE {\n  ?char1 (ns1:movie|ns1:movies) ?movie .\n  ?char2 (ns1:movie|ns1:movies) ?movie .\n  ?movie a &lt;http://dbkwik.webdatacommons.org/marvelcinematicuniverse.wikia.com/class/movie&gt; .\n  FILTER(?char1 != ?char2)\n  FILTER(STR(?char1) &lt; STR(?char2))\n  OPTIONAL { ?char1 rdfs:label ?char1Label . }\n  OPTIONAL { ?char2 rdfs:label ?char2Label . }\n  OPTIONAL { ?movie rdfs:label ?movieLabel . }\n}\nGROUP BY ?char1 ?char1Label ?char2 ?char2Label\nHAVING (COUNT(DISTINCT ?movie) &gt; 1)\nORDER BY DESC(?sharedMovieCount) ?char1Label ?char2Label",
                        "refusal": null,
                        "annotations": []
                    },
                    "finish_reason": "stop"
                }
            ],
            "usage": {
                "prompt_tokens": 109331,
                "completion_tokens": 2942,
                "total_tokens": 112273,
                "prompt_tokens_details": {
                    "cached_tokens": 0,
                    "audio_tokens": 0
                },
                "completion_tokens_details": {
                    "reasoning_tokens": 2624,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</si>
  <si>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rdf: &lt;http://www.w3.org/1999/02/22-rdf-syntax-ns#&gt;
PREFIX rdfs: &lt;http://www.w3.org/2000/01/rdf-schema#&gt;
PREFIX ns1: &lt;http://dbkwik.webdatacommons.org/marvelcinematicuniverse.wikia.com/property/&gt;
SELECT ?char1 ?char1Label ?char2 ?char2Label
       (COUNT(DISTINCT ?movie) AS ?sharedMovieCount)
       (GROUP_CONCAT(DISTINCT ?movieLabel; separator=", ") AS ?sharedMovies)
WHERE {
  ?char1 (ns1:movie|ns1:movies) ?movie .
  ?char2 (ns1:movie|ns1:movies) ?movie .
  ?movie a &lt;http://dbkwik.webdatacommons.org/marvelcinematicuniverse.wikia.com/class/movie&gt; .
  FILTER(?char1 != ?char2)
  FILTER(STR(?char1) &lt; STR(?char2))
  OPTIONAL { ?char1 rdfs:label ?char1Label . }
  OPTIONAL { ?char2 rdfs:label ?char2Label . }
  OPTIONAL { ?movie rdfs:label ?movieLabel . }
}
GROUP BY ?char1 ?char1Label ?char2 ?char2Label
HAVING (COUNT(DISTINCT ?movie) &gt; 1)
ORDER BY DESC(?sharedMovieCount) ?char1Label ?char2Label</t>
  </si>
  <si>
    <t>ERROR: EndPointInternalError: The endpoint returned the HTTP status code 500. 
Response:
b'Java heap space\n'</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</si>
  <si>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</si>
  <si>
    <t>PREFIX ns1: &lt;http://dbkwik.webdatacommons.org/marvelcinematicuniverse.wikia.com/property/&gt;
PREFIX ns2: &lt;http://dbkwik.webdatacommons.org/marvelcinematicuniverse.wikia.com/property/affiliation(s)&gt;
PREFIX rdf: &lt;http://www.w3.org/1999/02/22-rdf-syntax-ns#&gt;
PREFIX rdfs: &lt;http://www.w3.org/2000/01/rdf-schema#&gt;
SELECT ?team ?teamLabel (GROUP_CONCAT(DISTINCT COALESCE(?movieLabel, STR(?movie)); separator=" | ") AS ?teamMovies)
WHERE {
  ?team (ns1:members|^ns1:affiliation|^ns2:|^ns1:team) ?member .
  ?member (ns1:movie|ns1:movies) ?movie .
  OPTIONAL { ?team rdfs:label ?teamLabel . }
  OPTIONAL { ?movie rdfs:label ?movieLabel . }
}
GROUP BY ?team ?teamLabel
ORDER BY ?teamLabel</t>
  </si>
  <si>
    <t>{
    "id": "batch_req_691fabeb20048190a4cd01bdd8bbdc6d",
    "custom_id": "cq-25",
    "response": {
        "status_code": 200,
        "request_id": "2a17afacdfbfb30b1d81e69711dab36c",
        "body": {
            "id": "chatcmpl-Ce7vAxZSo8SN73fMftQIZN9HsGIiu",
            "object": "chat.completion",
            "created": 1763679604,
            "model": "gpt-5-2025-08-07",
            "choices": [
                {
                    "index": 0,
                    "message": {
                        "role": "assistant",
                        "content": "PREFIX ns1: &lt;http://dbkwik.webdatacommons.org/marvelcinematicuniverse.wikia.com/property/&gt;\nPREFIX ns2: &lt;http://dbkwik.webdatacommons.org/marvelcinematicuniverse.wikia.com/property/affiliation(s)&gt;\nPREFIX rdf: &lt;http://www.w3.org/1999/02/22-rdf-syntax-ns#&gt;\nPREFIX rdfs: &lt;http://www.w3.org/2000/01/rdf-schema#&gt;\n\nSELECT ?team ?teamLabel (GROUP_CONCAT(DISTINCT COALESCE(?movieLabel, STR(?movie)); separator=\" | \") AS ?teamMovies)\nWHERE {\n  ?team (ns1:members|^ns1:affiliation|^ns2:|^ns1:team) ?member .\n  ?member (ns1:movie|ns1:movies) ?movie .\n  OPTIONAL { ?team rdfs:label ?teamLabel . }\n  OPTIONAL { ?movie rdfs:label ?movieLabel . }\n}\nGROUP BY ?team ?teamLabel\nORDER BY ?teamLabel",
                        "refusal": null,
                        "annotations": []
                    },
                    "finish_reason": "stop"
                }
            ],
            "usage": {
                "prompt_tokens": 109335,
                "completion_tokens": 4845,
                "total_tokens": 114180,
                "prompt_tokens_details": {
                    "cached_tokens": 0,
                    "audio_tokens": 0
                },
                "completion_tokens_details": {
                    "reasoning_tokens": 4608,
                    "audio_tokens": 0,
                    "accepted_prediction_tokens": 0,
                    "rejected_prediction_tokens": 0
                }
            },
            "service_tier": "default",
            "system_fingerprint": null
        }
    },
    "error": null
}</t>
  </si>
  <si>
    <t>PREFIX dc: &lt;http://purl.org/dc/elements/1.1/&gt;
PREFIX dcterms: &lt;http://purl.org/dc/terms/&gt;
PREFIX foaf: &lt;http://xmlns.com/foaf/0.1/&gt;
PREFIX ns3: &lt;http://dbkwik.webdatacommons.org/ontology/&gt;
PREFIX ns6: &lt;http://dbkwik.webdatacommons.org/marvelcinematicuniverse.wikia.com/property/%23&gt;
PREFIX owl: &lt;http://www.w3.org/2002/07/owl#&gt;
PREFIX skos: &lt;http://www.w3.org/2004/02/skos/core#&gt;
PREFIX xsd: &lt;http://www.w3.org/2001/XMLSchema#&gt;
PREFIX ns1: &lt;http://dbkwik.webdatacommons.org/marvelcinematicuniverse.wikia.com/property/&gt;
PREFIX ns2: &lt;http://dbkwik.webdatacommons.org/marvelcinematicuniverse.wikia.com/property/affiliation(s)&gt;
PREFIX rdf: &lt;http://www.w3.org/1999/02/22-rdf-syntax-ns#&gt;
PREFIX rdfs: &lt;http://www.w3.org/2000/01/rdf-schema#&gt;
SELECT ?team ?teamLabel (GROUP_CONCAT(DISTINCT COALESCE(?movieLabel, STR(?movie)); separator=" | ") AS ?teamMovies)
WHERE {
  ?team (ns1:members|^ns1:affiliation|^ns2:|^ns1:team) ?member .
  ?member (ns1:movie|ns1:movies) ?movie .
  OPTIONAL { ?team rdfs:label ?teamLabel . }
  OPTIONAL { ?movie rdfs:label ?movieLabel . }
}
GROUP BY ?team ?teamLabel
ORDER BY ?teamLabel</t>
  </si>
  <si>
    <t>{
  "cq_text": "What are all the unions of movies for each of the teams in which any of their members appear (team-level filmography)?",
  "syntax_ok": true,
  "satisfiable": true,
  "deterministic": true,
  "latency": {
    "p50_ms": 70.53,
    "p95_ms": 82.28,
    "mean_ms": 73.57
  },
  "rows": 142,
  "vars": 5,
  "always_unbound_vars": [
    "movieLabel",
    "movie"
  ],
  "lexical_query_overlap": 0.03,
  "semantic_similarity_to_CQ": 0.76,
  "semantic_soft_coverage_to_CQ": 0.77,
  "tuple_cohesion": 0.72,
  "variables": [
    {
      "var": "team",
      "rows": 142,
      "distinct": 140,
      "null_rate": 0.0,
      "label_resolution_rate": 1.0,
      "diversity_entropy_norm": 1.0,
      "semantic_cohesion": 0.52,
      "dup_ratio": 0.01,
      "bound_rate": 1.0
    },
    {
      "var": "teamLabel",
      "rows": 142,
      "distinct": 137,
      "null_rate": 0.035211267605633804,
      "label_resolution_rate": 1.0,
      "diversity_entropy_norm": 1.0,
      "semantic_cohesion": 0.53,
      "dup_ratio": 0.0,
      "bound_rate": 0.9647887323943662
    },
    {
      "var": "movieLabel",
      "rows": 142,
      "distinct": 0,
      "null_rate": 1.0,
      "label_resolution_rate": 0.0,
      "diversity_entropy_norm": 0.0,
      "semantic_cohesion": 1.0,
      "dup_ratio": 0.0,
      "bound_rate": 0.0
    },
    {
      "var": "movie",
      "rows": 142,
      "distinct": 0,
      "null_rate": 1.0,
      "label_resolution_rate": 0.0,
      "diversity_entropy_norm": 0.0,
      "semantic_cohesion": 1.0,
      "dup_ratio": 0.0,
      "bound_rate": 0.0
    },
    {
      "var": "teamMovies",
      "rows": 142,
      "distinct": 80,
      "null_rate": 0.0,
      "label_resolution_rate": 1.0,
      "diversity_entropy_norm": 0.94,
      "semantic_cohesion": 0.91,
      "dup_ratio": 0.44,
      "bound_rate": 1.0
    }
  ]
}</t>
  </si>
  <si>
    <t>["movieLabel", "movie"]</t>
  </si>
  <si>
    <t>[{"var": "team", "rows": 142, "distinct": 140, "null_rate": 0.0, "label_resolution_rate": 1.0, "diversity_entropy_norm": 1.0, "semantic_cohesion": 0.52, "dup_ratio": 0.01, "bound_rate": 1.0}, {"var": "teamLabel", "rows": 142, "distinct": 137, "null_rate": 0.035211267605633804, "label_resolution_rate": 1.0, "diversity_entropy_norm": 1.0, "semantic_cohesion": 0.53, "dup_ratio": 0.0, "bound_rate": 0.9647887323943662}, {"var": "movieLabel", "rows": 142, "distinct": 0, "null_rate": 1.0, "label_resolution_rate": 0.0, "diversity_entropy_norm": 0.0, "semantic_cohesion": 1.0, "dup_ratio": 0.0, "bound_rate": 0.0}, {"var": "movie", "rows": 142, "distinct": 0, "null_rate": 1.0, "label_resolution_rate": 0.0, "diversity_entropy_norm": 0.0, "semantic_cohesion": 1.0, "dup_ratio": 0.0, "bound_rate": 0.0}, {"var": "teamMovies", "rows": 142, "distinct": 80, "null_rate": 0.0, "label_resolution_rate": 1.0, "diversity_entropy_norm": 0.94, "semantic_cohesion": 0.91, "dup_ratio": 0.44, "bound_rate": 1.0}]</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</si>
  <si>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</si>
  <si>
    <t>{
    "id": "batch_req_691fabeb1e348190b815cbf5d1ebade5",
    "custom_id": "cq-26",
    "response": {
        "status_code": 200,
        "request_id": "4696caa0540996c4de983c0208e34892",
        "body": {
            "id": "chatcmpl-Ce7mCULdq7hy1CG0wVMnomjSCiRd9",
            "object": "chat.completion",
            "created": 1763679048,
            "model": "gpt-5-2025-08-07",
            "choices": [
                {
                    "index": 0,
                    "message": {
                        "role": "assistant",
                        "content": "No valid query can be generated based on the provided schema.",
                        "refusal": null,
                        "annotations": []
                    },
                    "finish_reason": "stop"
                }
            ],
            "usage": {
                "prompt_tokens": 109330,
                "completion_tokens": 2005,
                "total_tokens": 111335,
                "prompt_tokens_details": {
                    "cached_tokens": 0,
                    "audio_tokens": 0
                },
                "completion_tokens_details": {
                    "reasoning_tokens": 1984,
                    "audio_tokens": 0,
                    "accepted_prediction_tokens": 0,
                    "rejected_prediction_tokens": 0
                }
            },
            "service_tier": "default",
            "system_fingerprint": null
        }
    },
    "error": null
}</t>
  </si>
  <si>
    <t>{
  "cq_text": "Who are the distinct characters that possess a power, their counts, and rank-ordered by popularity?",
  "syntax_ok": false,
  "syntax_msg": "No SPARQL form found"
}</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</si>
  <si>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</si>
  <si>
    <t>PREFIX ns1: &lt;http://dbkwik.webdatacommons.org/marvelcinematicuniverse.wikia.com/property/&gt;
PREFIX rdfs: &lt;http://www.w3.org/2000/01/rdf-schema#&gt;
SELECT DISTINCT ?character ?characterLabel ?team1 ?team1Label ?team2 ?team2Label
WHERE {
  {
    { ?character ns1:team ?t1 . }
    UNION
    { ?t1 ns1:members ?character . }
    UNION
    { ?t1 ns1:formermembers ?character . }
  }
  {
    { ?character ns1:team ?t2 . }
    UNION
    { ?t2 ns1:members ?character . }
    UNION
    { ?t2 ns1:formermembers ?character . }
  }
  FILTER (?t1 != ?t2)
  FILTER (STR(?t1) &lt; STR(?t2))
  BIND(?t1 AS ?team1)
  BIND(?t2 AS ?team2)
  OPTIONAL { ?character rdfs:label ?characterLabel . }
  OPTIONAL { ?team1 rdfs:label ?team1Label . }
  OPTIONAL { ?team2 rdfs:label ?team2Label . }
}
ORDER BY ?character ?team1 ?team2</t>
  </si>
  <si>
    <t>{
    "id": "batch_req_691fabeb29608190ba8d530a89ef9226",
    "custom_id": "cq-27",
    "response": {
        "status_code": 200,
        "request_id": "1a7761073fc7768ddb19fb171f5cf413",
        "body": {
            "id": "chatcmpl-Ce7oGIVVyxG6S2yTuXJs9MNosMHoq",
            "object": "chat.completion",
            "created": 1763679176,
            "model": "gpt-5-2025-08-07",
            "choices": [
                {
                    "index": 0,
                    "message": {
                        "role": "assistant",
                        "content": "PREFIX ns1: &lt;http://dbkwik.webdatacommons.org/marvelcinematicuniverse.wikia.com/property/&gt;\nPREFIX rdfs: &lt;http://www.w3.org/2000/01/rdf-schema#&gt;\n\nSELECT DISTINCT ?character ?characterLabel ?team1 ?team1Label ?team2 ?team2Label\nWHERE {\n  {\n    { ?character ns1:team ?t1 . }\n    UNION\n    { ?t1 ns1:members ?character . }\n    UNION\n    { ?t1 ns1:formermembers ?character . }\n  }\n  {\n    { ?character ns1:team ?t2 . }\n    UNION\n    { ?t2 ns1:members ?character . }\n    UNION\n    { ?t2 ns1:formermembers ?character . }\n  }\n  FILTER (?t1 != ?t2)\n  FILTER (STR(?t1) &lt; STR(?t2))\n  BIND(?t1 AS ?team1)\n  BIND(?t2 AS ?team2)\n  OPTIONAL { ?character rdfs:label ?characterLabel . }\n  OPTIONAL { ?team1 rdfs:label ?team1Label . }\n  OPTIONAL { ?team2 rdfs:label ?team2Label . }\n}\nORDER BY ?character ?team1 ?team2",
                        "refusal": null,
                        "annotations": []
                    },
                    "finish_reason": "stop"
                }
            ],
            "usage": {
                "prompt_tokens": 109332,
                "completion_tokens": 2078,
                "total_tokens": 111410,
                "prompt_tokens_details": {
                    "cached_tokens": 0,
                    "audio_tokens": 0
                },
                "completion_tokens_details": {
                    "reasoning_tokens": 1792,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</si>
  <si>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ns1: &lt;http://dbkwik.webdatacommons.org/marvelcinematicuniverse.wikia.com/property/&gt;
PREFIX rdfs: &lt;http://www.w3.org/2000/01/rdf-schema#&gt;
SELECT DISTINCT ?character ?characterLabel ?team1 ?team1Label ?team2 ?team2Label
WHERE {
  {
    { ?character ns1:team ?t1 . }
    UNION
    { ?t1 ns1:members ?character . }
    UNION
    { ?t1 ns1:formermembers ?character . }
  }
  {
    { ?character ns1:team ?t2 . }
    UNION
    { ?t2 ns1:members ?character . }
    UNION
    { ?t2 ns1:formermembers ?character . }
  }
  FILTER (?t1 != ?t2)
  FILTER (STR(?t1) &lt; STR(?t2))
  BIND(?t1 AS ?team1)
  BIND(?t2 AS ?team2)
  OPTIONAL { ?character rdfs:label ?characterLabel . }
  OPTIONAL { ?team1 rdfs:label ?team1Label . }
  OPTIONAL { ?team2 rdfs:label ?team2Label . }
}
ORDER BY ?character ?team1 ?team2</t>
  </si>
  <si>
    <t>{
  "cq_text": "Who are all the bridge characters that are members of more than one team, and what are those team combinations?",
  "syntax_ok": true,
  "satisfiable": true,
  "deterministic": true,
  "latency": {
    "p50_ms": 62.89,
    "p95_ms": 64.03,
    "mean_ms": 62.84
  },
  "rows": 217,
  "vars": 6,
  "always_unbound_vars": [],
  "lexical_query_overlap": 0.0,
  "semantic_similarity_to_CQ": 0.73,
  "semantic_soft_coverage_to_CQ": 0.75,
  "tuple_cohesion": 0.75,
  "variables": [
    {
      "var": "character",
      "rows": 217,
      "distinct": 121,
      "null_rate": 0.0,
      "label_resolution_rate": 1.0,
      "diversity_entropy_norm": 0.92,
      "semantic_cohesion": 0.5,
      "dup_ratio": 0.44,
      "bound_rate": 1.0
    },
    {
      "var": "characterLabel",
      "rows": 217,
      "distinct": 135,
      "null_rate": 0.0,
      "label_resolution_rate": 1.0,
      "diversity_entropy_norm": 0.93,
      "semantic_cohesion": 0.49,
      "dup_ratio": 0.38,
      "bound_rate": 1.0
    },
    {
      "var": "team1",
      "rows": 217,
      "distinct": 71,
      "null_rate": 0.0,
      "label_resolution_rate": 1.0,
      "diversity_entropy_norm": 0.85,
      "semantic_cohesion": 0.52,
      "dup_ratio": 0.67,
      "bound_rate": 1.0
    },
    {
      "var": "team1Label",
      "rows": 217,
      "distinct": 72,
      "null_rate": 0.0,
      "label_resolution_rate": 1.0,
      "diversity_entropy_norm": 0.86,
      "semantic_cohesion": 0.49,
      "dup_ratio": 0.67,
      "bound_rate": 1.0
    },
    {
      "var": "team2",
      "rows": 217,
      "distinct": 66,
      "null_rate": 0.0,
      "label_resolution_rate": 1.0,
      "diversity_entropy_norm": 0.86,
      "semantic_cohesion": 0.49,
      "dup_ratio": 0.7,
      "bound_rate": 1.0
    },
    {
      "var": "team2Label",
      "rows": 217,
      "distinct": 68,
      "null_rate": 0.0,
      "label_resolution_rate": 1.0,
      "diversity_entropy_norm": 0.86,
      "semantic_cohesion": 0.51,
      "dup_ratio": 0.69,
      "bound_rate": 1.0
    }
  ]
}</t>
  </si>
  <si>
    <t>[{"var": "character", "rows": 217, "distinct": 121, "null_rate": 0.0, "label_resolution_rate": 1.0, "diversity_entropy_norm": 0.92, "semantic_cohesion": 0.5, "dup_ratio": 0.44, "bound_rate": 1.0}, {"var": "characterLabel", "rows": 217, "distinct": 135, "null_rate": 0.0, "label_resolution_rate": 1.0, "diversity_entropy_norm": 0.93, "semantic_cohesion": 0.49, "dup_ratio": 0.38, "bound_rate": 1.0}, {"var": "team1", "rows": 217, "distinct": 71, "null_rate": 0.0, "label_resolution_rate": 1.0, "diversity_entropy_norm": 0.85, "semantic_cohesion": 0.52, "dup_ratio": 0.67, "bound_rate": 1.0}, {"var": "team1Label", "rows": 217, "distinct": 72, "null_rate": 0.0, "label_resolution_rate": 1.0, "diversity_entropy_norm": 0.86, "semantic_cohesion": 0.49, "dup_ratio": 0.67, "bound_rate": 1.0}, {"var": "team2", "rows": 217, "distinct": 66, "null_rate": 0.0, "label_resolution_rate": 1.0, "diversity_entropy_norm": 0.86, "semantic_cohesion": 0.49, "dup_ratio": 0.7, "bound_rate": 1.0}, {"var": "team2Label", "rows": 217, "distinct": 68, "null_rate": 0.0, "label_resolution_rate": 1.0, "diversity_entropy_norm": 0.86, "semantic_cohesion": 0.51, "dup_ratio": 0.69, "bound_rate": 1.0}]</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</si>
  <si>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</si>
  <si>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PREFIX ns1: &lt;http://dbkwik.webdatacommons.org/marvelcinematicuniverse.wikia.com/property/&gt;
PREFIX rdfs: &lt;http://www.w3.org/2000/01/rdf-schema#&gt;
SELECT ?actor ?actorLabel (GROUP_CONCAT(DISTINCT ?charLabel; separator=", ") AS ?characters)
WHERE {
  ?char ns1:actor ?actor ;
        ns1:movie ?movie .
  ?movie a &lt;http://dbkwik.webdatacommons.org/marvelcinematicuniverse.wikia.com/class/movie&gt; .
  OPTIONAL { ?char rdfs:label ?charLabel . }
  OPTIONAL { ?actor rdfs:label ?actorLabel . }
}
GROUP BY ?actor ?actorLabel
ORDER BY ?actorLabel</t>
  </si>
  <si>
    <t>{
    "id": "batch_req_691fabebbc0881908f9da102d2778e21",
    "custom_id": "cq-28",
    "response": {
        "status_code": 200,
        "request_id": "72cbfe6d17b4af1c1eab475b1af0fe25",
        "body": {
            "id": "chatcmpl-Ce8SV6cI6KzDegBPNWThN6UHZn9VA",
            "object": "chat.completion",
            "created": 1763681671,
            "model": "gpt-5-2025-08-07",
            "choices": [
                {
                    "index": 0,
                    "message": {
                        "role": "assistant",
                        "content": "PREFIX ns1: &lt;http://dbkwik.webdatacommons.org/marvelcinematicuniverse.wikia.com/property/&gt;\nPREFIX rdfs: &lt;http://www.w3.org/2000/01/rdf-schema#&gt;\n\nSELECT ?actor ?actorLabel (GROUP_CONCAT(DISTINCT ?charLabel; separator=\", \") AS ?characters)\nWHERE {\n  ?char ns1:actor ?actor ;\n        ns1:movie ?movie .\n  ?movie a &lt;http://dbkwik.webdatacommons.org/marvelcinematicuniverse.wikia.com/class/movie&gt; .\n  OPTIONAL { ?char rdfs:label ?charLabel . }\n  OPTIONAL { ?actor rdfs:label ?actorLabel . }\n}\nGROUP BY ?actor ?actorLabel\nORDER BY ?actorLabel",
                        "refusal": null,
                        "annotations": []
                    },
                    "finish_reason": "stop"
                }
            ],
            "usage": {
                "prompt_tokens": 109330,
                "completion_tokens": 2668,
                "total_tokens": 111998,
                "prompt_tokens_details": {
                    "cached_tokens": 0,
                    "audio_tokens": 0
                },
                "completion_tokens_details": {
                    "reasoning_tokens": 2496,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</si>
  <si>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ns1: &lt;http://dbkwik.webdatacommons.org/marvelcinematicuniverse.wikia.com/property/&gt;
PREFIX rdfs: &lt;http://www.w3.org/2000/01/rdf-schema#&gt;
SELECT ?actor ?actorLabel (GROUP_CONCAT(DISTINCT ?charLabel; separator=", ") AS ?characters)
WHERE {
  ?char ns1:actor ?actor ;
        ns1:movie ?movie .
  ?movie a &lt;http://dbkwik.webdatacommons.org/marvelcinematicuniverse.wikia.com/class/movie&gt; .
  OPTIONAL { ?char rdfs:label ?charLabel . }
  OPTIONAL { ?actor rdfs:label ?actorLabel . }
}
GROUP BY ?actor ?actorLabel
ORDER BY ?actorLabel</t>
  </si>
  <si>
    <t>{
  "cq_text": "What are all the sets of characters that have been portrayed across all movies by each of the actors?",
  "syntax_ok": true,
  "satisfiable": true,
  "deterministic": true,
  "latency": {
    "p50_ms": 67.68,
    "p95_ms": 82.07,
    "mean_ms": 71.69
  },
  "rows": 448,
  "vars": 4,
  "always_unbound_vars": [
    "charLabel"
  ],
  "lexical_query_overlap": 0.0,
  "semantic_similarity_to_CQ": 0.68,
  "semantic_soft_coverage_to_CQ": 0.73,
  "tuple_cohesion": 0.5,
  "variables": [
    {
      "var": "actor",
      "rows": 448,
      "distinct": 448,
      "null_rate": 0.0,
      "label_resolution_rate": 1.0,
      "diversity_entropy_norm": 1.0,
      "semantic_cohesion": 0.57,
      "dup_ratio": 0.0,
      "bound_rate": 1.0
    },
    {
      "var": "actorLabel",
      "rows": 448,
      "distinct": 444,
      "null_rate": 0.008928571428571428,
      "label_resolution_rate": 1.0,
      "diversity_entropy_norm": 1.0,
      "semantic_cohesion": 0.57,
      "dup_ratio": 0.0,
      "bound_rate": 0.9910714285714286
    },
    {
      "var": "charLabel",
      "rows": 448,
      "distinct": 0,
      "null_rate": 1.0,
      "label_resolution_rate": 0.0,
      "diversity_entropy_norm": 0.0,
      "semantic_cohesion": 1.0,
      "dup_ratio": 0.0,
      "bound_rate": 0.0
    },
    {
      "var": "characters",
      "rows": 448,
      "distinct": 413,
      "null_rate": 0.0,
      "label_resolution_rate": 1.0,
      "diversity_entropy_norm": 0.99,
      "semantic_cohesion": 0.55,
      "dup_ratio": 0.08,
      "bound_rate": 1.0
    }
  ]
}</t>
  </si>
  <si>
    <t>["charLabel"]</t>
  </si>
  <si>
    <t>[{"var": "actor", "rows": 448, "distinct": 448, "null_rate": 0.0, "label_resolution_rate": 1.0, "diversity_entropy_norm": 1.0, "semantic_cohesion": 0.57, "dup_ratio": 0.0, "bound_rate": 1.0}, {"var": "actorLabel", "rows": 448, "distinct": 444, "null_rate": 0.008928571428571428, "label_resolution_rate": 1.0, "diversity_entropy_norm": 1.0, "semantic_cohesion": 0.57, "dup_ratio": 0.0, "bound_rate": 0.9910714285714286}, {"var": "charLabel", "rows": 448, "distinct": 0, "null_rate": 1.0, "label_resolution_rate": 0.0, "diversity_entropy_norm": 0.0, "semantic_cohesion": 1.0, "dup_ratio": 0.0, "bound_rate": 0.0}, {"var": "characters", "rows": 448, "distinct": 413, "null_rate": 0.0, "label_resolution_rate": 1.0, "diversity_entropy_norm": 0.99, "semantic_cohesion": 0.55, "dup_ratio": 0.08, "bound_rate": 1.0}]</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</si>
  <si>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</si>
  <si>
    <t>PREFIX ns1: &lt;http://dbkwik.webdatacommons.org/marvelcinematicuniverse.wikia.com/property/&gt;
PREFIX rdfs: &lt;http://www.w3.org/2000/01/rdf-schema#&gt;
SELECT ?location ?label ?movieCount ?characterCount ?assocCount
WHERE {
  {
    SELECT DISTINCT ?location WHERE {
      { ?location a &lt;http://dbkwik.webdatacommons.org/marvelcinematicuniverse.wikia.com/class/location&gt; }
      UNION { ?location ns1:movie ?m }
      UNION { ?c ns1:citizenship ?location }
      UNION { ?c ns1:homeplanet ?location }
      UNION { ?location ns1:inhabitants ?c }
      UNION { ?location ns1:notable ?c }
      UNION { ?location ns1:notableformer ?c }
      UNION { ?location ns1:formerinhabitants ?c }
    }
  }
  OPTIONAL { ?location rdfs:label ?label }
  OPTIONAL {
    SELECT ?location (COUNT(DISTINCT ?m) AS ?movieCount)
    WHERE {
      ?location ns1:movie ?m .
      ?m a &lt;http://dbkwik.webdatacommons.org/marvelcinematicuniverse.wikia.com/class/movie&gt; .
    }
    GROUP BY ?location
  }
  OPTIONAL {
    SELECT ?location (COUNT(DISTINCT ?c) AS ?characterCount)
    WHERE {
      { ?location ns1:inhabitants ?c }
      UNION { ?location ns1:notable ?c }
      UNION { ?location ns1:notableformer ?c }
      UNION { ?location ns1:formerinhabitants ?c }
      UNION { ?c ns1:citizenship ?location }
      UNION { ?c ns1:homeplanet ?location }
    }
    GROUP BY ?location
  }
  BIND((COALESCE(?movieCount, 0) + COALESCE(?characterCount, 0)) AS ?assocCount)
  FILTER(?assocCount &gt; 1)
}
ORDER BY DESC(?assocCount) ?label</t>
  </si>
  <si>
    <t>{
    "id": "batch_req_691fabeb389c8190b6601dd4afb4cd4f",
    "custom_id": "cq-29",
    "response": {
        "status_code": 200,
        "request_id": "6cf4836b39bdab0ccba0bcfa15ca5e32",
        "body": {
            "id": "chatcmpl-Ce7ovE8P0QtEj47316VHN76rOh4F4",
            "object": "chat.completion",
            "created": 1763679217,
            "model": "gpt-5-2025-08-07",
            "choices": [
                {
                    "index": 0,
                    "message": {
                        "role": "assistant",
                        "content": "PREFIX ns1: &lt;http://dbkwik.webdatacommons.org/marvelcinematicuniverse.wikia.com/property/&gt;\nPREFIX rdfs: &lt;http://www.w3.org/2000/01/rdf-schema#&gt;\n\nSELECT ?location ?label ?movieCount ?characterCount ?assocCount\nWHERE {\n  {\n    SELECT DISTINCT ?location WHERE {\n      { ?location a &lt;http://dbkwik.webdatacommons.org/marvelcinematicuniverse.wikia.com/class/location&gt; }\n      UNION { ?location ns1:movie ?m }\n      UNION { ?c ns1:citizenship ?location }\n      UNION { ?c ns1:homeplanet ?location }\n      UNION { ?location ns1:inhabitants ?c }\n      UNION { ?location ns1:notable ?c }\n      UNION { ?location ns1:notableformer ?c }\n      UNION { ?location ns1:formerinhabitants ?c }\n    }\n  }\n  OPTIONAL { ?location rdfs:label ?label }\n\n  OPTIONAL {\n    SELECT ?location (COUNT(DISTINCT ?m) AS ?movieCount)\n    WHERE {\n      ?location ns1:movie ?m .\n      ?m a &lt;http://dbkwik.webdatacommons.org/marvelcinematicuniverse.wikia.com/class/movie&gt; .\n    }\n    GROUP BY ?location\n  }\n\n  OPTIONAL {\n    SELECT ?location (COUNT(DISTINCT ?c) AS ?characterCount)\n    WHERE {\n      { ?location ns1:inhabitants ?c }\n      UNION { ?location ns1:notable ?c }\n      UNION { ?location ns1:notableformer ?c }\n      UNION { ?location ns1:formerinhabitants ?c }\n      UNION { ?c ns1:citizenship ?location }\n      UNION { ?c ns1:homeplanet ?location }\n    }\n    GROUP BY ?location\n  }\n\n  BIND((COALESCE(?movieCount, 0) + COALESCE(?characterCount, 0)) AS ?assocCount)\n  FILTER(?assocCount &gt; 1)\n}\nORDER BY DESC(?assocCount) ?label",
                        "refusal": null,
                        "annotations": []
                    },
                    "finish_reason": "stop"
                }
            ],
            "usage": {
                "prompt_tokens": 109334,
                "completion_tokens": 6536,
                "total_tokens": 115870,
                "prompt_tokens_details": {
                    "cached_tokens": 0,
                    "audio_tokens": 0
                },
                "completion_tokens_details": {
                    "reasoning_tokens": 6080,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</si>
  <si>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ns1: &lt;http://dbkwik.webdatacommons.org/marvelcinematicuniverse.wikia.com/property/&gt;
PREFIX rdfs: &lt;http://www.w3.org/2000/01/rdf-schema#&gt;
SELECT ?location ?label ?movieCount ?characterCount ?assocCount
WHERE {
  {
    SELECT DISTINCT ?location WHERE {
      { ?location a &lt;http://dbkwik.webdatacommons.org/marvelcinematicuniverse.wikia.com/class/location&gt; }
      UNION { ?location ns1:movie ?m }
      UNION { ?c ns1:citizenship ?location }
      UNION { ?c ns1:homeplanet ?location }
      UNION { ?location ns1:inhabitants ?c }
      UNION { ?location ns1:notable ?c }
      UNION { ?location ns1:notableformer ?c }
      UNION { ?location ns1:formerinhabitants ?c }
    }
  }
  OPTIONAL { ?location rdfs:label ?label }
  OPTIONAL {
    SELECT ?location (COUNT(DISTINCT ?m) AS ?movieCount)
    WHERE {
      ?location ns1:movie ?m .
      ?m a &lt;http://dbkwik.webdatacommons.org/marvelcinematicuniverse.wikia.com/class/movie&gt; .
    }
    GROUP BY ?location
  }
  OPTIONAL {
    SELECT ?location (COUNT(DISTINCT ?c) AS ?characterCount)
    WHERE {
      { ?location ns1:inhabitants ?c }
      UNION { ?location ns1:notable ?c }
      UNION { ?location ns1:notableformer ?c }
      UNION { ?location ns1:formerinhabitants ?c }
      UNION { ?c ns1:citizenship ?location }
      UNION { ?c ns1:homeplanet ?location }
    }
    GROUP BY ?location
  }
  BIND((COALESCE(?movieCount, 0) + COALESCE(?characterCount, 0)) AS ?assocCount)
  FILTER(?assocCount &gt; 1)
}
ORDER BY DESC(?assocCount) ?label</t>
  </si>
  <si>
    <t>{
  "cq_text": "What are all the locations used as settings or associated contexts for multiple movies and/or characters and the counts of those associations?",
  "syntax_ok": true,
  "satisfiable": true,
  "deterministic": true,
  "latency": {
    "p50_ms": 179.41,
    "p95_ms": 213.83,
    "mean_ms": 190.58
  },
  "rows": 1274,
  "vars": 5,
  "always_unbound_vars": [],
  "lexical_query_overlap": 0.0,
  "semantic_similarity_to_CQ": 0.69,
  "semantic_soft_coverage_to_CQ": 0.75,
  "tuple_cohesion": 0.83,
  "variables": [
    {
      "var": "location",
      "rows": 1274,
      "distinct": 1224,
      "null_rate": 0.0,
      "label_resolution_rate": 1.0,
      "diversity_entropy_norm": 1.0,
      "semantic_cohesion": 0.6,
      "dup_ratio": 0.04,
      "bound_rate": 1.0
    },
    {
      "var": "label",
      "rows": 1274,
      "distinct": 1274,
      "null_rate": 0.0,
      "label_resolution_rate": 1.0,
      "diversity_entropy_norm": 1.0,
      "semantic_cohesion": 0.61,
      "dup_ratio": 0.0,
      "bound_rate": 1.0
    },
    {
      "var": "movieCount",
      "rows": 1274,
      "distinct": 20,
      "null_rate": 0.12401883830455258,
      "label_resolution_rate": 1.0,
      "diversity_entropy_norm": 0.57,
      "semantic_cohesion": 0.96,
      "dup_ratio": 0.98,
      "bound_rate": 0.8759811616954474
    },
    {
      "var": "characterCount",
      "rows": 1274,
      "distinct": 15,
      "null_rate": 0.7307692307692307,
      "label_resolution_rate": 1.0,
      "diversity_entropy_norm": 0.71,
      "semantic_cohesion": 0.96,
      "dup_ratio": 0.96,
      "bound_rate": 0.2692307692307692
    },
    {
      "var": "assocCount",
      "rows": 1274,
      "distinct": 24,
      "null_rate": 0.0,
      "label_resolution_rate": 1.0,
      "diversity_entropy_norm": 0.53,
      "semantic_cohesion": 0.96,
      "dup_ratio": 0.98,
      "bound_rate": 1.0
    }
  ]
}</t>
  </si>
  <si>
    <t>[{"var": "location", "rows": 1274, "distinct": 1224, "null_rate": 0.0, "label_resolution_rate": 1.0, "diversity_entropy_norm": 1.0, "semantic_cohesion": 0.6, "dup_ratio": 0.04, "bound_rate": 1.0}, {"var": "label", "rows": 1274, "distinct": 1274, "null_rate": 0.0, "label_resolution_rate": 1.0, "diversity_entropy_norm": 1.0, "semantic_cohesion": 0.61, "dup_ratio": 0.0, "bound_rate": 1.0}, {"var": "movieCount", "rows": 1274, "distinct": 20, "null_rate": 0.12401883830455258, "label_resolution_rate": 1.0, "diversity_entropy_norm": 0.57, "semantic_cohesion": 0.96, "dup_ratio": 0.98, "bound_rate": 0.8759811616954474}, {"var": "characterCount", "rows": 1274, "distinct": 15, "null_rate": 0.7307692307692307, "label_resolution_rate": 1.0, "diversity_entropy_norm": 0.71, "semantic_cohesion": 0.96, "dup_ratio": 0.96, "bound_rate": 0.2692307692307692}, {"var": "assocCount", "rows": 1274, "distinct": 24, "null_rate": 0.0, "label_resolution_rate": 1.0, "diversity_entropy_norm": 0.53, "semantic_cohesion": 0.96, "dup_ratio": 0.98, "bound_rate": 1.0}]</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</si>
  <si>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</si>
  <si>
    <t>PREFIX rdf: &lt;http://www.w3.org/1999/02/22-rdf-syntax-ns#&gt;
PREFIX ns1: &lt;http://dbkwik.webdatacommons.org/marvelcinematicuniverse.wikia.com/property/&gt;
SELECT ?movie
       (COUNT(DISTINCT ?team) AS ?uniqueTeams)
       (COUNT(DISTINCT ?power) AS ?uniquePowers)
       (COUNT(DISTINCT ?loc) AS ?uniqueLocations)
WHERE {
  ?char ns1:movie ?movie .
  OPTIONAL { ?char (ns1:team|ns1:affiliation) ?team . }
  OPTIONAL { ?char ns1:species ?power . }
  OPTIONAL { ?char (ns1:citizenship|ns1:homeplanet|ns1:location) ?loc . }
}
GROUP BY ?movie</t>
  </si>
  <si>
    <t>{
    "id": "batch_req_691fabebe13c8190bc5163c97ea4124e",
    "custom_id": "cq-30",
    "response": {
        "status_code": 200,
        "request_id": "32db7a3ab514bedb366ca8c05ca003ff",
        "body": {
            "id": "chatcmpl-Ce8KPnaWrq7DlRJXHd5uYuNgs2Xmi",
            "object": "chat.completion",
            "created": 1763681169,
            "model": "gpt-5-2025-08-07",
            "choices": [
                {
                    "index": 0,
                    "message": {
                        "role": "assistant",
                        "content": "PREFIX rdf: &lt;http://www.w3.org/1999/02/22-rdf-syntax-ns#&gt;\nPREFIX ns1: &lt;http://dbkwik.webdatacommons.org/marvelcinematicuniverse.wikia.com/property/&gt;\n\nSELECT ?movie\n       (COUNT(DISTINCT ?team) AS ?uniqueTeams)\n       (COUNT(DISTINCT ?power) AS ?uniquePowers)\n       (COUNT(DISTINCT ?loc) AS ?uniqueLocations)\nWHERE {\n  ?char ns1:movie ?movie .\n  OPTIONAL { ?char (ns1:team|ns1:affiliation) ?team . }\n  OPTIONAL { ?char ns1:species ?power . }\n  OPTIONAL { ?char (ns1:citizenship|ns1:homeplanet|ns1:location) ?loc . }\n}\nGROUP BY ?movie",
                        "refusal": null,
                        "annotations": []
                    },
                    "finish_reason": "stop"
                }
            ],
            "usage": {
                "prompt_tokens": 109334,
                "completion_tokens": 4859,
                "total_tokens": 114193,
                "prompt_tokens_details": {
                    "cached_tokens": 0,
                    "audio_tokens": 0
                },
                "completion_tokens_details": {
                    "reasoning_tokens": 4672,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</si>
  <si>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rdf: &lt;http://www.w3.org/1999/02/22-rdf-syntax-ns#&gt;
PREFIX ns1: &lt;http://dbkwik.webdatacommons.org/marvelcinematicuniverse.wikia.com/property/&gt;
SELECT ?movie
       (COUNT(DISTINCT ?team) AS ?uniqueTeams)
       (COUNT(DISTINCT ?power) AS ?uniquePowers)
       (COUNT(DISTINCT ?loc) AS ?uniqueLocations)
WHERE {
  ?char ns1:movie ?movie .
  OPTIONAL { ?char (ns1:team|ns1:affiliation) ?team . }
  OPTIONAL { ?char ns1:species ?power . }
  OPTIONAL { ?char (ns1:citizenship|ns1:homeplanet|ns1:location) ?loc . }
}
GROUP BY ?movie</t>
  </si>
  <si>
    <t>{
  "cq_text": "What is the number of unique teams, unique powers, and unique locations represented via their characters for each of the movies?",
  "syntax_ok": true,
  "satisfiable": true,
  "deterministic": true,
  "latency": {
    "p50_ms": 213.12,
    "p95_ms": 215.38,
    "mean_ms": 208.17
  },
  "rows": 82,
  "vars": 7,
  "always_unbound_vars": [
    "team",
    "power",
    "loc"
  ],
  "lexical_query_overlap": 0.0,
  "semantic_similarity_to_CQ": 0.68,
  "semantic_soft_coverage_to_CQ": 0.78,
  "tuple_cohesion": 0.85,
  "variables": [
    {
      "var": "movie",
      "rows": 82,
      "distinct": 77,
      "null_rate": 0.0,
      "label_resolution_rate": 1.0,
      "diversity_entropy_norm": 0.99,
      "semantic_cohesion": 0.47,
      "dup_ratio": 0.06,
      "bound_rate": 1.0
    },
    {
      "var": "team",
      "rows": 82,
      "distinct": 0,
      "null_rate": 1.0,
      "label_resolution_rate": 0.0,
      "diversity_entropy_norm": 0.0,
      "semantic_cohesion": 1.0,
      "dup_ratio": 0.0,
      "bound_rate": 0.0
    },
    {
      "var": "uniqueTeams",
      "rows": 82,
      "distinct": 18,
      "null_rate": 0.0,
      "label_resolution_rate": 1.0,
      "diversity_entropy_norm": 0.49,
      "semantic_cohesion": 0.96,
      "dup_ratio": 0.78,
      "bound_rate": 1.0
    },
    {
      "var": "power",
      "rows": 82,
      "distinct": 0,
      "null_rate": 1.0,
      "label_resolution_rate": 0.0,
      "diversity_entropy_norm": 0.0,
      "semantic_cohesion": 1.0,
      "dup_ratio": 0.0,
      "bound_rate": 0.0
    },
    {
      "var": "uniquePowers",
      "rows": 82,
      "distinct": 12,
      "null_rate": 0.0,
      "label_resolution_rate": 1.0,
      "diversity_entropy_norm": 0.55,
      "semantic_cohesion": 0.96,
      "dup_ratio": 0.85,
      "bound_rate": 1.0
    },
    {
      "var": "loc",
      "rows": 82,
      "distinct": 0,
      "null_rate": 1.0,
      "label_resolution_rate": 0.0,
      "diversity_entropy_norm": 0.0,
      "semantic_cohesion": 1.0,
      "dup_ratio": 0.0,
      "bound_rate": 0.0
    },
    {
      "var": "uniqueLocations",
      "rows": 82,
      "distinct": 20,
      "null_rate": 0.0,
      "label_resolution_rate": 1.0,
      "diversity_entropy_norm": 0.55,
      "semantic_cohesion": 0.96,
      "dup_ratio": 0.76,
      "bound_rate": 1.0
    }
  ]
}</t>
  </si>
  <si>
    <t>["team", "power", "loc"]</t>
  </si>
  <si>
    <t>[{"var": "movie", "rows": 82, "distinct": 77, "null_rate": 0.0, "label_resolution_rate": 1.0, "diversity_entropy_norm": 0.99, "semantic_cohesion": 0.47, "dup_ratio": 0.06, "bound_rate": 1.0}, {"var": "team", "rows": 82, "distinct": 0, "null_rate": 1.0, "label_resolution_rate": 0.0, "diversity_entropy_norm": 0.0, "semantic_cohesion": 1.0, "dup_ratio": 0.0, "bound_rate": 0.0}, {"var": "uniqueTeams", "rows": 82, "distinct": 18, "null_rate": 0.0, "label_resolution_rate": 1.0, "diversity_entropy_norm": 0.49, "semantic_cohesion": 0.96, "dup_ratio": 0.78, "bound_rate": 1.0}, {"var": "power", "rows": 82, "distinct": 0, "null_rate": 1.0, "label_resolution_rate": 0.0, "diversity_entropy_norm": 0.0, "semantic_cohesion": 1.0, "dup_ratio": 0.0, "bound_rate": 0.0}, {"var": "uniquePowers", "rows": 82, "distinct": 12, "null_rate": 0.0, "label_resolution_rate": 1.0, "diversity_entropy_norm": 0.55, "semantic_cohesion": 0.96, "dup_ratio": 0.85, "bound_rate": 1.0}, {"var": "loc", "rows": 82, "distinct": 0, "null_rate": 1.0, "label_resolution_rate": 0.0, "diversity_entropy_norm": 0.0, "semantic_cohesion": 1.0, "dup_ratio": 0.0, "bound_rate": 0.0}, {"var": "uniqueLocations", "rows": 82, "distinct": 20, "null_rate": 0.0, "label_resolution_rate": 1.0, "diversity_entropy_norm": 0.55, "semantic_cohesion": 0.96, "dup_ratio": 0.76, "bound_rate": 1.0}]</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</si>
  <si>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</si>
  <si>
    <t>PREFIX rdf: &lt;http://www.w3.org/1999/02/22-rdf-syntax-ns#&gt;
PREFIX ns1: &lt;http://dbkwik.webdatacommons.org/marvelcinematicuniverse.wikia.com/property/&gt;
SELECT ?character ?coCharacter (COUNT(DISTINCT ?movie) AS ?sharedMovieCount)
WHERE {
  ?character rdf:type &lt;http://dbkwik.webdatacommons.org/marvelcinematicuniverse.wikia.com/class/character&gt; ;
             ns1:movie ?movie .
  ?coCharacter rdf:type &lt;http://dbkwik.webdatacommons.org/marvelcinematicuniverse.wikia.com/class/character&gt; ;
               ns1:movie ?movie .
  FILTER (?character != ?coCharacter)
}
GROUP BY ?character ?coCharacter
ORDER BY DESC(?sharedMovieCount) ?character ?coCharacter</t>
  </si>
  <si>
    <t>{
    "id": "batch_req_691fabec11a081908f96a1d40d510683",
    "custom_id": "cq-31",
    "response": {
        "status_code": 200,
        "request_id": "50eb9e279784ad66d3805ea9de88499b",
        "body": {
            "id": "chatcmpl-Ce7pRmPO335Mn7F9QbMPgcnIkwiX2",
            "object": "chat.completion",
            "created": 1763679249,
            "model": "gpt-5-2025-08-07",
            "choices": [
                {
                    "index": 0,
                    "message": {
                        "role": "assistant",
                        "content": "PREFIX rdf: &lt;http://www.w3.org/1999/02/22-rdf-syntax-ns#&gt;\nPREFIX ns1: &lt;http://dbkwik.webdatacommons.org/marvelcinematicuniverse.wikia.com/property/&gt;\n\nSELECT ?character ?coCharacter (COUNT(DISTINCT ?movie) AS ?sharedMovieCount)\nWHERE {\n  ?character rdf:type &lt;http://dbkwik.webdatacommons.org/marvelcinematicuniverse.wikia.com/class/character&gt; ;\n             ns1:movie ?movie .\n  ?coCharacter rdf:type &lt;http://dbkwik.webdatacommons.org/marvelcinematicuniverse.wikia.com/class/character&gt; ;\n               ns1:movie ?movie .\n  FILTER (?character != ?coCharacter)\n}\nGROUP BY ?character ?coCharacter\nORDER BY DESC(?sharedMovieCount) ?character ?coCharacter",
                        "refusal": null,
                        "annotations": []
                    },
                    "finish_reason": "stop"
                }
            ],
            "usage": {
                "prompt_tokens": 109333,
                "completion_tokens": 2817,
                "total_tokens": 112150,
                "prompt_tokens_details": {
                    "cached_tokens": 0,
                    "audio_tokens": 0
                },
                "completion_tokens_details": {
                    "reasoning_tokens": 2624,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</si>
  <si>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rdf: &lt;http://www.w3.org/1999/02/22-rdf-syntax-ns#&gt;
PREFIX ns1: &lt;http://dbkwik.webdatacommons.org/marvelcinematicuniverse.wikia.com/property/&gt;
SELECT ?character ?coCharacter (COUNT(DISTINCT ?movie) AS ?sharedMovieCount)
WHERE {
  ?character rdf:type &lt;http://dbkwik.webdatacommons.org/marvelcinematicuniverse.wikia.com/class/character&gt; ;
             ns1:movie ?movie .
  ?coCharacter rdf:type &lt;http://dbkwik.webdatacommons.org/marvelcinematicuniverse.wikia.com/class/character&gt; ;
               ns1:movie ?movie .
  FILTER (?character != ?coCharacter)
}
GROUP BY ?character ?coCharacter
ORDER BY DESC(?sharedMovieCount) ?character ?coCharacter</t>
  </si>
  <si>
    <t>{
  "cq_text": "Who are all the other characters connected via shared movie appearances for each of the characters (character co-appearance network)?",
  "syntax_ok": true,
  "satisfiable": true,
  "deterministic": true,
  "latency": {
    "p50_ms": 6609.54,
    "p95_ms": 6874.76,
    "mean_ms": 6686.49
  },
  "rows": 35078,
  "vars": 4,
  "always_unbound_vars": [
    "movie"
  ],
  "lexical_query_overlap": 0.1,
  "semantic_similarity_to_CQ": 0.69,
  "semantic_soft_coverage_to_CQ": 0.76,
  "tuple_cohesion": 0.99,
  "variables": [
    {
      "var": "character",
      "rows": 35078,
      "distinct": 485,
      "null_rate": 0.0,
      "label_resolution_rate": 1.0,
      "diversity_entropy_norm": 0.94,
      "semantic_cohesion": 0.57,
      "dup_ratio": 0.99,
      "bound_rate": 1.0
    },
    {
      "var": "coCharacter",
      "rows": 35078,
      "distinct": 485,
      "null_rate": 0.0,
      "label_resolution_rate": 1.0,
      "diversity_entropy_norm": 0.94,
      "semantic_cohesion": 0.57,
      "dup_ratio": 0.99,
      "bound_rate": 1.0
    },
    {
      "var": "movie",
      "rows": 35078,
      "distinct": 0,
      "null_rate": 1.0,
      "label_resolution_rate": 0.0,
      "diversity_entropy_norm": 0.0,
      "semantic_cohesion": 1.0,
      "dup_ratio": 0.0,
      "bound_rate": 0.0
    },
    {
      "var": "sharedMovieCount",
      "rows": 35078,
      "distinct": 12,
      "null_rate": 0.0,
      "label_resolution_rate": 1.0,
      "diversity_entropy_norm": 0.21,
      "semantic_cohesion": 0.96,
      "dup_ratio": 1.0,
      "bound_rate": 1.0
    }
  ]
}</t>
  </si>
  <si>
    <t>[{"var": "character", "rows": 35078, "distinct": 485, "null_rate": 0.0, "label_resolution_rate": 1.0, "diversity_entropy_norm": 0.94, "semantic_cohesion": 0.57, "dup_ratio": 0.99, "bound_rate": 1.0}, {"var": "coCharacter", "rows": 35078, "distinct": 485, "null_rate": 0.0, "label_resolution_rate": 1.0, "diversity_entropy_norm": 0.94, "semantic_cohesion": 0.57, "dup_ratio": 0.99, "bound_rate": 1.0}, {"var": "movie", "rows": 35078, "distinct": 0, "null_rate": 1.0, "label_resolution_rate": 0.0, "diversity_entropy_norm": 0.0, "semantic_cohesion": 1.0, "dup_ratio": 0.0, "bound_rate": 0.0}, {"var": "sharedMovieCount", "rows": 35078, "distinct": 12, "null_rate": 0.0, "label_resolution_rate": 1.0, "diversity_entropy_norm": 0.21, "semantic_cohesion": 0.96, "dup_ratio": 1.0, "bound_rate": 1.0}]</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</si>
  <si>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</si>
  <si>
    <t>PREFIX ns1: &lt;http://dbkwik.webdatacommons.org/marvelcinematicuniverse.wikia.com/property/&gt;
PREFIX rdfs: &lt;http://www.w3.org/2000/01/rdf-schema#&gt;
PREFIX xsd:  &lt;http://www.w3.org/2001/XMLSchema#&gt;
SELECT
  ?team
  ?teamLabel
  ?species
  ?speciesLabel
  ?speciesCount
  ?teamMemberTotal
  (xsd:decimal(?speciesCount) / xsd:decimal(?teamMemberTotal) AS ?proportion)
WHERE {
  ?team a &lt;http://dbkwik.webdatacommons.org/marvelcinematicuniverse.wikia.com/class/organization&gt; .
  {
    SELECT ?team ?species (COUNT(DISTINCT ?member) AS ?speciesCount)
    WHERE {
      ?team a &lt;http://dbkwik.webdatacommons.org/marvelcinematicuniverse.wikia.com/class/organization&gt; ;
            (ns1:members|ns1:formermembers) ?member .
      ?member ns1:species ?species .
    }
    GROUP BY ?team ?species
  }
  {
    SELECT ?team (COUNT(DISTINCT ?m) AS ?teamMemberTotal)
    WHERE {
      ?team a &lt;http://dbkwik.webdatacommons.org/marvelcinematicuniverse.wikia.com/class/organization&gt; ;
            (ns1:members|ns1:formermembers) ?m .
    }
    GROUP BY ?team
  }
  OPTIONAL { ?team rdfs:label ?teamLabel . }
  OPTIONAL { ?species rdfs:label ?speciesLabel . }
}
ORDER BY ?team ?species</t>
  </si>
  <si>
    <t>{
    "id": "batch_req_691fabec129881909afc07ad48e2b109",
    "custom_id": "cq-32",
    "response": {
        "status_code": 200,
        "request_id": "2f0fac4c49f98b613de6fff3c06e9785",
        "body": {
            "id": "chatcmpl-Ce7mCMYKCZWqbKplKCm0Z52YVIEVg",
            "object": "chat.completion",
            "created": 1763679048,
            "model": "gpt-5-2025-08-07",
            "choices": [
                {
                    "index": 0,
                    "message": {
                        "role": "assistant",
                        "content": "PREFIX ns1: &lt;http://dbkwik.webdatacommons.org/marvelcinematicuniverse.wikia.com/property/&gt;\nPREFIX rdfs: &lt;http://www.w3.org/2000/01/rdf-schema#&gt;\nPREFIX xsd:  &lt;http://www.w3.org/2001/XMLSchema#&gt;\n\nSELECT\n  ?team\n  ?teamLabel\n  ?species\n  ?speciesLabel\n  ?speciesCount\n  ?teamMemberTotal\n  (xsd:decimal(?speciesCount) / xsd:decimal(?teamMemberTotal) AS ?proportion)\nWHERE {\n  ?team a &lt;http://dbkwik.webdatacommons.org/marvelcinematicuniverse.wikia.com/class/organization&gt; .\n\n  {\n    SELECT ?team ?species (COUNT(DISTINCT ?member) AS ?speciesCount)\n    WHERE {\n      ?team a &lt;http://dbkwik.webdatacommons.org/marvelcinematicuniverse.wikia.com/class/organization&gt; ;\n            (ns1:members|ns1:formermembers) ?member .\n      ?member ns1:species ?species .\n    }\n    GROUP BY ?team ?species\n  }\n\n  {\n    SELECT ?team (COUNT(DISTINCT ?m) AS ?teamMemberTotal)\n    WHERE {\n      ?team a &lt;http://dbkwik.webdatacommons.org/marvelcinematicuniverse.wikia.com/class/organization&gt; ;\n            (ns1:members|ns1:formermembers) ?m .\n    }\n    GROUP BY ?team\n  }\n\n  OPTIONAL { ?team rdfs:label ?teamLabel . }\n  OPTIONAL { ?species rdfs:label ?speciesLabel . }\n}\nORDER BY ?team ?species",
                        "refusal": null,
                        "annotations": []
                    },
                    "finish_reason": "stop"
                }
            ],
            "usage": {
                "prompt_tokens": 109346,
                "completion_tokens": 3315,
                "total_tokens": 112661,
                "prompt_tokens_details": {
                    "cached_tokens": 0,
                    "audio_tokens": 0
                },
                "completion_tokens_details": {
                    "reasoning_tokens": 2944,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</si>
  <si>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ns1: &lt;http://dbkwik.webdatacommons.org/marvelcinematicuniverse.wikia.com/property/&gt;
PREFIX rdfs: &lt;http://www.w3.org/2000/01/rdf-schema#&gt;
PREFIX xsd:  &lt;http://www.w3.org/2001/XMLSchema#&gt;
SELECT
  ?team
  ?teamLabel
  ?species
  ?speciesLabel
  ?speciesCount
  ?teamMemberTotal
  (xsd:decimal(?speciesCount) / xsd:decimal(?teamMemberTotal) AS ?proportion)
WHERE {
  ?team a &lt;http://dbkwik.webdatacommons.org/marvelcinematicuniverse.wikia.com/class/organization&gt; .
  {
    SELECT ?team ?species (COUNT(DISTINCT ?member) AS ?speciesCount)
    WHERE {
      ?team a &lt;http://dbkwik.webdatacommons.org/marvelcinematicuniverse.wikia.com/class/organization&gt; ;
            (ns1:members|ns1:formermembers) ?member .
      ?member ns1:species ?species .
    }
    GROUP BY ?team ?species
  }
  {
    SELECT ?team (COUNT(DISTINCT ?m) AS ?teamMemberTotal)
    WHERE {
      ?team a &lt;http://dbkwik.webdatacommons.org/marvelcinematicuniverse.wikia.com/class/organization&gt; ;
            (ns1:members|ns1:formermembers) ?m .
    }
    GROUP BY ?team
  }
  OPTIONAL { ?team rdfs:label ?teamLabel . }
  OPTIONAL { ?species rdfs:label ?speciesLabel . }
}
ORDER BY ?team ?species</t>
  </si>
  <si>
    <t>{
  "cq_text": "What are all the distributions of powers among each team's members, grouped by teams,  for comparing teams for computability (e.g., which powers are most characteristic of each team)?",
  "syntax_ok": true,
  "satisfiable": true,
  "deterministic": true,
  "latency": {
    "p50_ms": 64.85,
    "p95_ms": 65.33,
    "mean_ms": 64.38
  },
  "rows": 236,
  "vars": 9,
  "always_unbound_vars": [],
  "lexical_query_overlap": 0.08,
  "semantic_similarity_to_CQ": 0.64,
  "semantic_soft_coverage_to_CQ": 0.76,
  "tuple_cohesion": 0.84,
  "variables": [
    {
      "var": "team",
      "rows": 236,
      "distinct": 175,
      "null_rate": 0.0,
      "label_resolution_rate": 1.0,
      "diversity_entropy_norm": 0.97,
      "semantic_cohesion": 0.55,
      "dup_ratio": 0.26,
      "bound_rate": 1.0
    },
    {
      "var": "teamLabel",
      "rows": 236,
      "distinct": 185,
      "null_rate": 0.0,
      "label_resolution_rate": 1.0,
      "diversity_entropy_norm": 0.97,
      "semantic_cohesion": 0.53,
      "dup_ratio": 0.22,
      "bound_rate": 1.0
    },
    {
      "var": "species",
      "rows": 236,
      "distinct": 27,
      "null_rate": 0.0,
      "label_resolution_rate": 1.0,
      "diversity_entropy_norm": 0.45,
      "semantic_cohesion": 0.39,
      "dup_ratio": 0.89,
      "bound_rate": 1.0
    },
    {
      "var": "speciesLabel",
      "rows": 236,
      "distinct": 24,
      "null_rate": 0.029661016949152543,
      "label_resolution_rate": 1.0,
      "diversity_entropy_norm": 0.42,
      "semantic_cohesion": 0.38,
      "dup_ratio": 0.9,
      "bound_rate": 0.9703389830508474
    },
    {
      "var": "speciesCount",
      "rows": 236,
      "distinct": 17,
      "null_rate": -1.0,
      "label_resolution_rate": 1.0,
      "diversity_entropy_norm": 0.68,
      "semantic_cohesion": 0.95,
      "dup_ratio": 0.96,
      "bound_rate": 2.0
    },
    {
      "var": "teamMemberTotal",
      "rows": 236,
      "distinct": 19,
      "null_rate": -1.0,
      "label_resolution_rate": 1.0,
      "diversity_entropy_norm": 0.84,
      "semantic_cohesion": 0.95,
      "dup_ratio": 0.96,
      "bound_rate": 2.0
    },
    {
      "var": "speciesCount",
      "rows": 236,
      "distinct": 17,
      "null_rate": -1.0,
      "label_resolution_rate": 1.0,
      "diversity_entropy_norm": 0.68,
      "semantic_cohesion": 0.95,
      "dup_ratio": 0.96,
      "bound_rate": 2.0
    },
    {
      "var": "teamMemberTotal",
      "rows": 236,
      "distinct": 19,
      "null_rate": -1.0,
      "label_resolution_rate": 1.0,
      "diversity_entropy_norm": 0.84,
      "semantic_cohesion": 0.95,
      "dup_ratio": 0.96,
      "bound_rate": 2.0
    },
    {
      "var": "proportion",
      "rows": 236,
      "distinct": 28,
      "null_rate": 0.0,
      "label_resolution_rate": 1.0,
      "diversity_entropy_norm": 0.51,
      "semantic_cohesion": 0.96,
      "dup_ratio": 0.88,
      "bound_rate": 1.0
    }
  ]
}</t>
  </si>
  <si>
    <t>[{"var": "team", "rows": 236, "distinct": 175, "null_rate": 0.0, "label_resolution_rate": 1.0, "diversity_entropy_norm": 0.97, "semantic_cohesion": 0.55, "dup_ratio": 0.26, "bound_rate": 1.0}, {"var": "teamLabel", "rows": 236, "distinct": 185, "null_rate": 0.0, "label_resolution_rate": 1.0, "diversity_entropy_norm": 0.97, "semantic_cohesion": 0.53, "dup_ratio": 0.22, "bound_rate": 1.0}, {"var": "species", "rows": 236, "distinct": 27, "null_rate": 0.0, "label_resolution_rate": 1.0, "diversity_entropy_norm": 0.45, "semantic_cohesion": 0.39, "dup_ratio": 0.89, "bound_rate": 1.0}, {"var": "speciesLabel", "rows": 236, "distinct": 24, "null_rate": 0.029661016949152543, "label_resolution_rate": 1.0, "diversity_entropy_norm": 0.42, "semantic_cohesion": 0.38, "dup_ratio": 0.9, "bound_rate": 0.9703389830508474}, {"var": "speciesCount", "rows": 236, "distinct": 17, "null_rate": -1.0, "label_resolution_rate": 1.0, "diversity_entropy_norm": 0.68, "semantic_cohesion": 0.95, "dup_ratio": 0.96, "bound_rate": 2.0}, {"var": "teamMemberTotal", "rows": 236, "distinct": 19, "null_rate": -1.0, "label_resolution_rate": 1.0, "diversity_entropy_norm": 0.84, "semantic_cohesion": 0.95, "dup_ratio": 0.96, "bound_rate": 2.0}, {"var": "speciesCount", "rows": 236, "distinct": 17, "null_rate": -1.0, "label_resolution_rate": 1.0, "diversity_entropy_norm": 0.68, "semantic_cohesion": 0.95, "dup_ratio": 0.96, "bound_rate": 2.0}, {"var": "teamMemberTotal", "rows": 236, "distinct": 19, "null_rate": -1.0, "label_resolution_rate": 1.0, "diversity_entropy_norm": 0.84, "semantic_cohesion": 0.95, "dup_ratio": 0.96, "bound_rate": 2.0}, {"var": "proportion", "rows": 236, "distinct": 28, "null_rate": 0.0, "label_resolution_rate": 1.0, "diversity_entropy_norm": 0.51, "semantic_cohesion": 0.96, "dup_ratio": 0.88, "bound_rate":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</si>
</sst>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2" fontId="0" fillId="0" borderId="0" xfId="0" applyNumberFormat="1"/>
    <xf numFmtId="2"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tabSelected="1" workbookViewId="0">
      <selection activeCell="V2" sqref="V2:Y34"/>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71</v>
      </c>
      <c r="C2" t="s">
        <v>72</v>
      </c>
      <c r="D2" t="s">
        <v>73</v>
      </c>
      <c r="E2" t="s">
        <v>74</v>
      </c>
      <c r="F2" t="s">
        <v>75</v>
      </c>
      <c r="G2" t="b">
        <v>1</v>
      </c>
      <c r="H2" t="b">
        <v>1</v>
      </c>
      <c r="I2" t="b">
        <v>1</v>
      </c>
      <c r="J2">
        <v>2262</v>
      </c>
      <c r="K2">
        <v>2</v>
      </c>
      <c r="L2">
        <v>104.74</v>
      </c>
      <c r="M2">
        <v>105.14</v>
      </c>
      <c r="N2">
        <v>104.67</v>
      </c>
      <c r="O2">
        <v>0</v>
      </c>
      <c r="P2">
        <v>0.65</v>
      </c>
      <c r="Q2">
        <v>0.72</v>
      </c>
      <c r="R2">
        <v>0.61</v>
      </c>
      <c r="S2" t="s">
        <v>26</v>
      </c>
      <c r="T2" t="s">
        <v>76</v>
      </c>
      <c r="U2" t="s">
        <v>27</v>
      </c>
      <c r="V2">
        <v>1</v>
      </c>
      <c r="W2">
        <v>1</v>
      </c>
      <c r="X2">
        <v>1</v>
      </c>
      <c r="Y2">
        <v>0.75166666666666659</v>
      </c>
    </row>
    <row r="3" spans="1:25" x14ac:dyDescent="0.2">
      <c r="A3" t="s">
        <v>28</v>
      </c>
      <c r="B3" t="s">
        <v>77</v>
      </c>
      <c r="C3" t="s">
        <v>78</v>
      </c>
      <c r="D3" t="s">
        <v>79</v>
      </c>
      <c r="E3" t="s">
        <v>80</v>
      </c>
      <c r="F3" t="s">
        <v>81</v>
      </c>
      <c r="G3" t="b">
        <v>1</v>
      </c>
      <c r="H3" t="b">
        <v>1</v>
      </c>
      <c r="I3" t="b">
        <v>1</v>
      </c>
      <c r="J3">
        <v>40</v>
      </c>
      <c r="K3">
        <v>3</v>
      </c>
      <c r="L3">
        <v>12.41</v>
      </c>
      <c r="M3">
        <v>12.7</v>
      </c>
      <c r="N3">
        <v>12</v>
      </c>
      <c r="O3">
        <v>0.08</v>
      </c>
      <c r="P3">
        <v>0.67</v>
      </c>
      <c r="Q3">
        <v>0.72</v>
      </c>
      <c r="R3">
        <v>0.71</v>
      </c>
      <c r="S3" t="s">
        <v>26</v>
      </c>
      <c r="T3" t="s">
        <v>82</v>
      </c>
      <c r="U3" t="s">
        <v>27</v>
      </c>
      <c r="V3">
        <v>1</v>
      </c>
      <c r="W3">
        <v>1</v>
      </c>
      <c r="X3">
        <v>1</v>
      </c>
      <c r="Y3">
        <v>0.64333333333333342</v>
      </c>
    </row>
    <row r="4" spans="1:25" x14ac:dyDescent="0.2">
      <c r="A4" t="s">
        <v>29</v>
      </c>
      <c r="B4" t="s">
        <v>83</v>
      </c>
      <c r="C4" t="s">
        <v>84</v>
      </c>
      <c r="D4" t="s">
        <v>85</v>
      </c>
      <c r="E4" t="s">
        <v>86</v>
      </c>
      <c r="F4" t="s">
        <v>87</v>
      </c>
      <c r="G4" t="b">
        <v>1</v>
      </c>
      <c r="H4" t="b">
        <v>1</v>
      </c>
      <c r="I4" t="b">
        <v>1</v>
      </c>
      <c r="J4">
        <v>4028</v>
      </c>
      <c r="K4">
        <v>4</v>
      </c>
      <c r="L4">
        <v>476.84</v>
      </c>
      <c r="M4">
        <v>527.66</v>
      </c>
      <c r="N4">
        <v>492.47</v>
      </c>
      <c r="O4">
        <v>0.02</v>
      </c>
      <c r="P4">
        <v>0.73</v>
      </c>
      <c r="Q4">
        <v>0.78</v>
      </c>
      <c r="R4">
        <v>0.76</v>
      </c>
      <c r="S4" t="s">
        <v>26</v>
      </c>
      <c r="T4" t="s">
        <v>88</v>
      </c>
      <c r="U4" t="s">
        <v>27</v>
      </c>
      <c r="V4">
        <v>1</v>
      </c>
      <c r="W4">
        <v>1</v>
      </c>
      <c r="X4">
        <v>1</v>
      </c>
      <c r="Y4">
        <v>0.625</v>
      </c>
    </row>
    <row r="5" spans="1:25" x14ac:dyDescent="0.2">
      <c r="A5" t="s">
        <v>30</v>
      </c>
      <c r="B5" t="s">
        <v>89</v>
      </c>
      <c r="C5" t="s">
        <v>90</v>
      </c>
      <c r="D5" t="s">
        <v>91</v>
      </c>
      <c r="E5" t="s">
        <v>92</v>
      </c>
      <c r="F5" t="s">
        <v>93</v>
      </c>
      <c r="G5" t="b">
        <v>1</v>
      </c>
      <c r="H5" t="b">
        <v>1</v>
      </c>
      <c r="I5" t="b">
        <v>1</v>
      </c>
      <c r="J5">
        <v>2189</v>
      </c>
      <c r="K5">
        <v>4</v>
      </c>
      <c r="L5">
        <v>184.89</v>
      </c>
      <c r="M5">
        <v>190.68</v>
      </c>
      <c r="N5">
        <v>179.36</v>
      </c>
      <c r="O5">
        <v>0.06</v>
      </c>
      <c r="P5">
        <v>0.7</v>
      </c>
      <c r="Q5">
        <v>0.76</v>
      </c>
      <c r="R5">
        <v>0.69</v>
      </c>
      <c r="S5" t="s">
        <v>26</v>
      </c>
      <c r="T5" t="s">
        <v>94</v>
      </c>
      <c r="U5" t="s">
        <v>27</v>
      </c>
      <c r="V5">
        <v>1</v>
      </c>
      <c r="W5">
        <v>1</v>
      </c>
      <c r="X5">
        <v>1</v>
      </c>
      <c r="Y5">
        <v>0.50083333333333335</v>
      </c>
    </row>
    <row r="6" spans="1:25" x14ac:dyDescent="0.2">
      <c r="A6" t="s">
        <v>31</v>
      </c>
      <c r="B6" t="s">
        <v>95</v>
      </c>
      <c r="C6" t="s">
        <v>96</v>
      </c>
      <c r="D6" t="s">
        <v>97</v>
      </c>
      <c r="E6" t="s">
        <v>98</v>
      </c>
      <c r="F6" t="s">
        <v>99</v>
      </c>
      <c r="G6" t="b">
        <v>1</v>
      </c>
      <c r="H6" t="b">
        <v>1</v>
      </c>
      <c r="I6" t="b">
        <v>1</v>
      </c>
      <c r="J6">
        <v>59</v>
      </c>
      <c r="K6">
        <v>5</v>
      </c>
      <c r="L6">
        <v>40.450000000000003</v>
      </c>
      <c r="M6">
        <v>42.11</v>
      </c>
      <c r="N6">
        <v>40.99</v>
      </c>
      <c r="O6">
        <v>0.06</v>
      </c>
      <c r="P6">
        <v>0.69</v>
      </c>
      <c r="Q6">
        <v>0.74</v>
      </c>
      <c r="R6">
        <v>0.67</v>
      </c>
      <c r="S6" t="s">
        <v>26</v>
      </c>
      <c r="T6" t="s">
        <v>100</v>
      </c>
      <c r="U6" t="s">
        <v>27</v>
      </c>
      <c r="V6">
        <v>1</v>
      </c>
      <c r="W6">
        <v>1</v>
      </c>
      <c r="X6">
        <v>1</v>
      </c>
      <c r="Y6">
        <v>0.45800000000000002</v>
      </c>
    </row>
    <row r="7" spans="1:25" x14ac:dyDescent="0.2">
      <c r="A7" t="s">
        <v>32</v>
      </c>
      <c r="B7" t="s">
        <v>101</v>
      </c>
      <c r="C7" t="s">
        <v>102</v>
      </c>
      <c r="D7" t="s">
        <v>103</v>
      </c>
      <c r="E7" t="s">
        <v>104</v>
      </c>
      <c r="F7" t="s">
        <v>105</v>
      </c>
      <c r="G7" t="b">
        <v>1</v>
      </c>
      <c r="H7" t="b">
        <v>1</v>
      </c>
      <c r="I7" t="b">
        <v>1</v>
      </c>
      <c r="J7">
        <v>46</v>
      </c>
      <c r="K7">
        <v>5</v>
      </c>
      <c r="L7">
        <v>21.44</v>
      </c>
      <c r="M7">
        <v>23.27</v>
      </c>
      <c r="N7">
        <v>20.14</v>
      </c>
      <c r="O7">
        <v>0.03</v>
      </c>
      <c r="P7">
        <v>0.7</v>
      </c>
      <c r="Q7">
        <v>0.77</v>
      </c>
      <c r="R7">
        <v>0.92</v>
      </c>
      <c r="S7" t="s">
        <v>26</v>
      </c>
      <c r="T7" t="s">
        <v>106</v>
      </c>
      <c r="U7" t="s">
        <v>27</v>
      </c>
      <c r="V7">
        <v>1</v>
      </c>
      <c r="W7">
        <v>1</v>
      </c>
      <c r="X7">
        <v>1</v>
      </c>
      <c r="Y7">
        <v>0.51533333333333353</v>
      </c>
    </row>
    <row r="8" spans="1:25" x14ac:dyDescent="0.2">
      <c r="A8" t="s">
        <v>33</v>
      </c>
      <c r="B8" t="s">
        <v>107</v>
      </c>
      <c r="C8" t="s">
        <v>108</v>
      </c>
      <c r="D8" t="s">
        <v>109</v>
      </c>
      <c r="E8" t="s">
        <v>110</v>
      </c>
      <c r="F8" t="s">
        <v>111</v>
      </c>
      <c r="G8" t="b">
        <v>1</v>
      </c>
      <c r="H8" t="b">
        <v>1</v>
      </c>
      <c r="I8" t="b">
        <v>1</v>
      </c>
      <c r="J8">
        <v>50</v>
      </c>
      <c r="K8">
        <v>4</v>
      </c>
      <c r="L8">
        <v>19.91</v>
      </c>
      <c r="M8">
        <v>19.940000000000001</v>
      </c>
      <c r="N8">
        <v>19.8</v>
      </c>
      <c r="O8">
        <v>0.04</v>
      </c>
      <c r="P8">
        <v>0.75</v>
      </c>
      <c r="Q8">
        <v>0.74</v>
      </c>
      <c r="R8">
        <v>0.79</v>
      </c>
      <c r="S8" t="s">
        <v>26</v>
      </c>
      <c r="T8" t="s">
        <v>112</v>
      </c>
      <c r="U8" t="s">
        <v>27</v>
      </c>
      <c r="V8">
        <v>1</v>
      </c>
      <c r="W8">
        <v>1</v>
      </c>
      <c r="X8">
        <v>1</v>
      </c>
      <c r="Y8">
        <v>0.57499999999999996</v>
      </c>
    </row>
    <row r="9" spans="1:25" x14ac:dyDescent="0.2">
      <c r="A9" t="s">
        <v>34</v>
      </c>
      <c r="B9" t="s">
        <v>113</v>
      </c>
      <c r="C9" t="s">
        <v>114</v>
      </c>
      <c r="D9" t="s">
        <v>115</v>
      </c>
      <c r="E9" t="s">
        <v>116</v>
      </c>
      <c r="F9" t="s">
        <v>117</v>
      </c>
      <c r="G9" t="b">
        <v>1</v>
      </c>
      <c r="H9" t="b">
        <v>1</v>
      </c>
      <c r="I9" t="b">
        <v>1</v>
      </c>
      <c r="J9">
        <v>163</v>
      </c>
      <c r="K9">
        <v>3</v>
      </c>
      <c r="L9">
        <v>477.45</v>
      </c>
      <c r="M9">
        <v>614.65</v>
      </c>
      <c r="N9">
        <v>522.13</v>
      </c>
      <c r="O9">
        <v>7.0000000000000007E-2</v>
      </c>
      <c r="P9">
        <v>0.72</v>
      </c>
      <c r="Q9">
        <v>0.76</v>
      </c>
      <c r="R9">
        <v>0.52</v>
      </c>
      <c r="S9" t="s">
        <v>26</v>
      </c>
      <c r="T9" t="s">
        <v>118</v>
      </c>
      <c r="U9" t="s">
        <v>27</v>
      </c>
      <c r="V9">
        <v>1</v>
      </c>
      <c r="W9">
        <v>1</v>
      </c>
      <c r="X9">
        <v>1</v>
      </c>
      <c r="Y9">
        <v>0.81888888888888889</v>
      </c>
    </row>
    <row r="10" spans="1:25" x14ac:dyDescent="0.2">
      <c r="A10" t="s">
        <v>35</v>
      </c>
      <c r="B10" t="s">
        <v>119</v>
      </c>
      <c r="C10" t="s">
        <v>120</v>
      </c>
      <c r="D10" t="s">
        <v>121</v>
      </c>
      <c r="E10" t="s">
        <v>122</v>
      </c>
      <c r="F10" t="s">
        <v>123</v>
      </c>
      <c r="G10" t="b">
        <v>1</v>
      </c>
      <c r="H10" t="b">
        <v>1</v>
      </c>
      <c r="I10" t="b">
        <v>1</v>
      </c>
      <c r="J10">
        <v>1285</v>
      </c>
      <c r="K10">
        <v>4</v>
      </c>
      <c r="L10">
        <v>156.77000000000001</v>
      </c>
      <c r="M10">
        <v>163.52000000000001</v>
      </c>
      <c r="N10">
        <v>152.82</v>
      </c>
      <c r="O10">
        <v>0</v>
      </c>
      <c r="P10">
        <v>0.77</v>
      </c>
      <c r="Q10">
        <v>0.78</v>
      </c>
      <c r="R10">
        <v>0.67</v>
      </c>
      <c r="S10" t="s">
        <v>26</v>
      </c>
      <c r="T10" t="s">
        <v>124</v>
      </c>
      <c r="U10" t="s">
        <v>27</v>
      </c>
      <c r="V10">
        <v>1</v>
      </c>
      <c r="W10">
        <v>1</v>
      </c>
      <c r="X10">
        <v>1</v>
      </c>
      <c r="Y10">
        <v>0.62</v>
      </c>
    </row>
    <row r="11" spans="1:25" x14ac:dyDescent="0.2">
      <c r="A11" t="s">
        <v>36</v>
      </c>
      <c r="B11" t="s">
        <v>125</v>
      </c>
      <c r="C11" t="s">
        <v>126</v>
      </c>
      <c r="D11" t="s">
        <v>127</v>
      </c>
      <c r="E11" t="s">
        <v>128</v>
      </c>
      <c r="F11" t="s">
        <v>129</v>
      </c>
      <c r="G11" t="b">
        <v>1</v>
      </c>
      <c r="H11" t="b">
        <v>1</v>
      </c>
      <c r="I11" t="b">
        <v>1</v>
      </c>
      <c r="J11">
        <v>1087</v>
      </c>
      <c r="K11">
        <v>2</v>
      </c>
      <c r="L11">
        <v>78.97</v>
      </c>
      <c r="M11">
        <v>81.709999999999994</v>
      </c>
      <c r="N11">
        <v>78.42</v>
      </c>
      <c r="O11">
        <v>0</v>
      </c>
      <c r="P11">
        <v>0.69</v>
      </c>
      <c r="Q11">
        <v>0.75</v>
      </c>
      <c r="R11">
        <v>0.6</v>
      </c>
      <c r="S11" t="s">
        <v>26</v>
      </c>
      <c r="T11" t="s">
        <v>130</v>
      </c>
      <c r="U11" t="s">
        <v>27</v>
      </c>
      <c r="V11">
        <v>1</v>
      </c>
      <c r="W11">
        <v>1</v>
      </c>
      <c r="X11">
        <v>1</v>
      </c>
      <c r="Y11">
        <v>0.77333333333333332</v>
      </c>
    </row>
    <row r="12" spans="1:25" x14ac:dyDescent="0.2">
      <c r="A12" t="s">
        <v>37</v>
      </c>
      <c r="B12" t="s">
        <v>131</v>
      </c>
      <c r="C12" t="s">
        <v>132</v>
      </c>
      <c r="D12" t="s">
        <v>133</v>
      </c>
      <c r="E12" t="s">
        <v>134</v>
      </c>
      <c r="F12" t="s">
        <v>135</v>
      </c>
      <c r="G12" t="b">
        <v>1</v>
      </c>
      <c r="H12" t="b">
        <v>1</v>
      </c>
      <c r="I12" t="b">
        <v>1</v>
      </c>
      <c r="J12">
        <v>18955</v>
      </c>
      <c r="K12">
        <v>4</v>
      </c>
      <c r="L12">
        <v>1143.52</v>
      </c>
      <c r="M12">
        <v>1261.83</v>
      </c>
      <c r="N12">
        <v>1152.2</v>
      </c>
      <c r="O12">
        <v>0</v>
      </c>
      <c r="P12">
        <v>0.75</v>
      </c>
      <c r="Q12">
        <v>0.73</v>
      </c>
      <c r="R12">
        <v>0.9</v>
      </c>
      <c r="S12" t="s">
        <v>26</v>
      </c>
      <c r="T12" t="s">
        <v>136</v>
      </c>
      <c r="U12" t="s">
        <v>27</v>
      </c>
      <c r="V12">
        <v>1</v>
      </c>
      <c r="W12">
        <v>1</v>
      </c>
      <c r="X12">
        <v>1</v>
      </c>
      <c r="Y12">
        <v>0.43416666666666681</v>
      </c>
    </row>
    <row r="13" spans="1:25" x14ac:dyDescent="0.2">
      <c r="A13" t="s">
        <v>38</v>
      </c>
      <c r="B13" t="s">
        <v>137</v>
      </c>
      <c r="C13" t="s">
        <v>138</v>
      </c>
      <c r="D13" t="s">
        <v>139</v>
      </c>
      <c r="E13" t="s">
        <v>140</v>
      </c>
      <c r="F13" t="s">
        <v>141</v>
      </c>
      <c r="G13" t="b">
        <v>1</v>
      </c>
      <c r="H13" t="b">
        <v>1</v>
      </c>
      <c r="I13" t="b">
        <v>1</v>
      </c>
      <c r="J13">
        <v>2143</v>
      </c>
      <c r="K13">
        <v>5</v>
      </c>
      <c r="L13">
        <v>168.33</v>
      </c>
      <c r="M13">
        <v>187.82</v>
      </c>
      <c r="N13">
        <v>168.54</v>
      </c>
      <c r="O13">
        <v>0.03</v>
      </c>
      <c r="P13">
        <v>0.77</v>
      </c>
      <c r="Q13">
        <v>0.77</v>
      </c>
      <c r="R13">
        <v>0.62</v>
      </c>
      <c r="S13" t="s">
        <v>142</v>
      </c>
      <c r="T13" t="s">
        <v>143</v>
      </c>
      <c r="U13" t="s">
        <v>27</v>
      </c>
      <c r="V13">
        <v>1</v>
      </c>
      <c r="W13">
        <v>0.6</v>
      </c>
      <c r="X13">
        <v>0.8</v>
      </c>
      <c r="Y13">
        <v>0.58799999999999997</v>
      </c>
    </row>
    <row r="14" spans="1:25" x14ac:dyDescent="0.2">
      <c r="A14" t="s">
        <v>39</v>
      </c>
      <c r="B14" t="s">
        <v>144</v>
      </c>
      <c r="C14" t="s">
        <v>145</v>
      </c>
      <c r="D14" t="s">
        <v>146</v>
      </c>
      <c r="E14" t="s">
        <v>147</v>
      </c>
      <c r="F14" t="s">
        <v>148</v>
      </c>
      <c r="G14" t="b">
        <v>1</v>
      </c>
      <c r="H14" t="b">
        <v>1</v>
      </c>
      <c r="I14" t="b">
        <v>1</v>
      </c>
      <c r="J14">
        <v>961</v>
      </c>
      <c r="K14">
        <v>4</v>
      </c>
      <c r="L14">
        <v>89.17</v>
      </c>
      <c r="M14">
        <v>92.22</v>
      </c>
      <c r="N14">
        <v>89.75</v>
      </c>
      <c r="O14">
        <v>7.0000000000000007E-2</v>
      </c>
      <c r="P14">
        <v>0.65</v>
      </c>
      <c r="Q14">
        <v>0.77</v>
      </c>
      <c r="R14">
        <v>0.79</v>
      </c>
      <c r="S14" t="s">
        <v>26</v>
      </c>
      <c r="T14" t="s">
        <v>149</v>
      </c>
      <c r="U14" t="s">
        <v>41</v>
      </c>
      <c r="V14">
        <v>1</v>
      </c>
      <c r="W14">
        <v>1</v>
      </c>
      <c r="X14">
        <v>1</v>
      </c>
      <c r="Y14">
        <v>0.53916666666666668</v>
      </c>
    </row>
    <row r="15" spans="1:25" x14ac:dyDescent="0.2">
      <c r="A15" t="s">
        <v>40</v>
      </c>
      <c r="B15" t="s">
        <v>150</v>
      </c>
      <c r="C15" t="s">
        <v>151</v>
      </c>
      <c r="D15" t="s">
        <v>152</v>
      </c>
      <c r="E15" t="s">
        <v>153</v>
      </c>
      <c r="F15" t="s">
        <v>154</v>
      </c>
      <c r="G15" t="b">
        <v>1</v>
      </c>
      <c r="H15" t="b">
        <v>1</v>
      </c>
      <c r="I15" t="b">
        <v>1</v>
      </c>
      <c r="J15">
        <v>6256</v>
      </c>
      <c r="K15">
        <v>4</v>
      </c>
      <c r="L15">
        <v>342.44</v>
      </c>
      <c r="M15">
        <v>541.59</v>
      </c>
      <c r="N15">
        <v>399.22</v>
      </c>
      <c r="O15">
        <v>0.08</v>
      </c>
      <c r="P15">
        <v>0.73</v>
      </c>
      <c r="Q15">
        <v>0.76</v>
      </c>
      <c r="R15">
        <v>0.62</v>
      </c>
      <c r="S15" t="s">
        <v>26</v>
      </c>
      <c r="T15" t="s">
        <v>155</v>
      </c>
      <c r="U15" t="s">
        <v>41</v>
      </c>
      <c r="V15">
        <v>1</v>
      </c>
      <c r="W15">
        <v>1</v>
      </c>
      <c r="X15">
        <v>1</v>
      </c>
      <c r="Y15">
        <v>0.68500000000000005</v>
      </c>
    </row>
    <row r="16" spans="1:25" x14ac:dyDescent="0.2">
      <c r="A16" t="s">
        <v>42</v>
      </c>
      <c r="B16" t="s">
        <v>156</v>
      </c>
      <c r="C16" t="s">
        <v>157</v>
      </c>
      <c r="D16" t="s">
        <v>158</v>
      </c>
      <c r="E16" t="s">
        <v>159</v>
      </c>
      <c r="F16" t="s">
        <v>160</v>
      </c>
      <c r="G16" t="b">
        <v>1</v>
      </c>
      <c r="H16" t="b">
        <v>1</v>
      </c>
      <c r="I16" t="b">
        <v>1</v>
      </c>
      <c r="J16">
        <v>1091</v>
      </c>
      <c r="K16">
        <v>3</v>
      </c>
      <c r="L16">
        <v>89.09</v>
      </c>
      <c r="M16">
        <v>89.98</v>
      </c>
      <c r="N16">
        <v>88.76</v>
      </c>
      <c r="O16">
        <v>0.12</v>
      </c>
      <c r="P16">
        <v>0.71</v>
      </c>
      <c r="Q16">
        <v>0.82</v>
      </c>
      <c r="R16">
        <v>0.85</v>
      </c>
      <c r="S16" t="s">
        <v>26</v>
      </c>
      <c r="T16" t="s">
        <v>161</v>
      </c>
      <c r="U16" t="s">
        <v>41</v>
      </c>
      <c r="V16">
        <v>1</v>
      </c>
      <c r="W16">
        <v>1</v>
      </c>
      <c r="X16">
        <v>1</v>
      </c>
      <c r="Y16">
        <v>0.47666666666666668</v>
      </c>
    </row>
    <row r="17" spans="1:25" x14ac:dyDescent="0.2">
      <c r="A17" t="s">
        <v>43</v>
      </c>
      <c r="B17" t="s">
        <v>162</v>
      </c>
      <c r="C17" t="s">
        <v>163</v>
      </c>
      <c r="D17" t="s">
        <v>164</v>
      </c>
      <c r="E17" t="s">
        <v>165</v>
      </c>
      <c r="F17" t="s">
        <v>166</v>
      </c>
      <c r="G17" t="b">
        <v>0</v>
      </c>
      <c r="H17" t="b">
        <v>0</v>
      </c>
      <c r="I17" t="b">
        <v>0</v>
      </c>
      <c r="J17">
        <v>0</v>
      </c>
      <c r="K17">
        <v>0</v>
      </c>
      <c r="O17">
        <v>0</v>
      </c>
      <c r="P17">
        <v>0</v>
      </c>
      <c r="Q17">
        <v>0</v>
      </c>
      <c r="R17">
        <v>0</v>
      </c>
      <c r="S17" t="s">
        <v>26</v>
      </c>
      <c r="T17" t="s">
        <v>26</v>
      </c>
      <c r="U17" t="s">
        <v>41</v>
      </c>
      <c r="V17">
        <v>0</v>
      </c>
      <c r="W17">
        <v>0</v>
      </c>
      <c r="X17">
        <v>0</v>
      </c>
      <c r="Y17">
        <v>0</v>
      </c>
    </row>
    <row r="18" spans="1:25" x14ac:dyDescent="0.2">
      <c r="A18" t="s">
        <v>44</v>
      </c>
      <c r="B18" t="s">
        <v>167</v>
      </c>
      <c r="C18" t="s">
        <v>168</v>
      </c>
      <c r="D18" t="s">
        <v>169</v>
      </c>
      <c r="E18" t="s">
        <v>170</v>
      </c>
      <c r="F18" t="s">
        <v>171</v>
      </c>
      <c r="G18" t="b">
        <v>1</v>
      </c>
      <c r="H18" t="b">
        <v>1</v>
      </c>
      <c r="I18" t="b">
        <v>1</v>
      </c>
      <c r="J18">
        <v>2264</v>
      </c>
      <c r="K18">
        <v>3</v>
      </c>
      <c r="L18">
        <v>4582.1000000000004</v>
      </c>
      <c r="M18">
        <v>5231.49</v>
      </c>
      <c r="N18">
        <v>4775.2</v>
      </c>
      <c r="O18">
        <v>0</v>
      </c>
      <c r="P18">
        <v>0.69</v>
      </c>
      <c r="Q18">
        <v>0.72</v>
      </c>
      <c r="R18">
        <v>0.92</v>
      </c>
      <c r="S18" t="s">
        <v>26</v>
      </c>
      <c r="T18" t="s">
        <v>172</v>
      </c>
      <c r="U18" t="s">
        <v>41</v>
      </c>
      <c r="V18">
        <v>1</v>
      </c>
      <c r="W18">
        <v>1</v>
      </c>
      <c r="X18">
        <v>1</v>
      </c>
      <c r="Y18">
        <v>0.36888888888888888</v>
      </c>
    </row>
    <row r="19" spans="1:25" x14ac:dyDescent="0.2">
      <c r="A19" t="s">
        <v>46</v>
      </c>
      <c r="B19" t="s">
        <v>173</v>
      </c>
      <c r="C19" t="s">
        <v>174</v>
      </c>
      <c r="D19" t="s">
        <v>175</v>
      </c>
      <c r="E19" t="s">
        <v>176</v>
      </c>
      <c r="F19" t="s">
        <v>177</v>
      </c>
      <c r="G19" t="b">
        <v>1</v>
      </c>
      <c r="H19" t="b">
        <v>1</v>
      </c>
      <c r="I19" t="b">
        <v>1</v>
      </c>
      <c r="J19">
        <v>192</v>
      </c>
      <c r="K19">
        <v>4</v>
      </c>
      <c r="L19">
        <v>48.38</v>
      </c>
      <c r="M19">
        <v>52.69</v>
      </c>
      <c r="N19">
        <v>49.07</v>
      </c>
      <c r="O19">
        <v>0.04</v>
      </c>
      <c r="P19">
        <v>0.77</v>
      </c>
      <c r="Q19">
        <v>0.76</v>
      </c>
      <c r="R19">
        <v>0.49</v>
      </c>
      <c r="S19" t="s">
        <v>178</v>
      </c>
      <c r="T19" t="s">
        <v>179</v>
      </c>
      <c r="U19" t="s">
        <v>41</v>
      </c>
      <c r="V19">
        <v>1</v>
      </c>
      <c r="W19">
        <v>0.75</v>
      </c>
      <c r="X19">
        <v>0.875</v>
      </c>
      <c r="Y19">
        <v>0.69000000000000006</v>
      </c>
    </row>
    <row r="20" spans="1:25" x14ac:dyDescent="0.2">
      <c r="A20" t="s">
        <v>47</v>
      </c>
      <c r="B20" t="s">
        <v>180</v>
      </c>
      <c r="C20" t="s">
        <v>181</v>
      </c>
      <c r="D20" t="s">
        <v>182</v>
      </c>
      <c r="E20" t="s">
        <v>183</v>
      </c>
      <c r="F20" t="s">
        <v>184</v>
      </c>
      <c r="G20" t="b">
        <v>1</v>
      </c>
      <c r="H20" t="b">
        <v>1</v>
      </c>
      <c r="I20" t="b">
        <v>1</v>
      </c>
      <c r="J20">
        <v>24</v>
      </c>
      <c r="K20">
        <v>5</v>
      </c>
      <c r="L20">
        <v>121.06</v>
      </c>
      <c r="M20">
        <v>124.5</v>
      </c>
      <c r="N20">
        <v>117.47</v>
      </c>
      <c r="O20">
        <v>0.02</v>
      </c>
      <c r="P20">
        <v>0.77</v>
      </c>
      <c r="Q20">
        <v>0.75</v>
      </c>
      <c r="R20">
        <v>0.76</v>
      </c>
      <c r="S20" t="s">
        <v>185</v>
      </c>
      <c r="T20" t="s">
        <v>186</v>
      </c>
      <c r="U20" t="s">
        <v>41</v>
      </c>
      <c r="V20">
        <v>1</v>
      </c>
      <c r="W20">
        <v>0.6</v>
      </c>
      <c r="X20">
        <v>0.8</v>
      </c>
      <c r="Y20">
        <v>0.54133333333333333</v>
      </c>
    </row>
    <row r="21" spans="1:25" x14ac:dyDescent="0.2">
      <c r="A21" t="s">
        <v>48</v>
      </c>
      <c r="B21" t="s">
        <v>187</v>
      </c>
      <c r="C21" t="s">
        <v>188</v>
      </c>
      <c r="D21" t="s">
        <v>189</v>
      </c>
      <c r="E21" t="s">
        <v>190</v>
      </c>
      <c r="F21" t="s">
        <v>191</v>
      </c>
      <c r="G21" t="b">
        <v>1</v>
      </c>
      <c r="H21" t="b">
        <v>1</v>
      </c>
      <c r="I21" t="b">
        <v>1</v>
      </c>
      <c r="J21">
        <v>925</v>
      </c>
      <c r="K21">
        <v>2</v>
      </c>
      <c r="L21">
        <v>28390.78</v>
      </c>
      <c r="M21">
        <v>32147.5</v>
      </c>
      <c r="N21">
        <v>29557.23</v>
      </c>
      <c r="O21">
        <v>0.02</v>
      </c>
      <c r="P21">
        <v>0.62</v>
      </c>
      <c r="Q21">
        <v>0.74</v>
      </c>
      <c r="R21">
        <v>0.6</v>
      </c>
      <c r="S21" t="s">
        <v>26</v>
      </c>
      <c r="T21" t="s">
        <v>192</v>
      </c>
      <c r="U21" t="s">
        <v>41</v>
      </c>
      <c r="V21">
        <v>1</v>
      </c>
      <c r="W21">
        <v>1</v>
      </c>
      <c r="X21">
        <v>1</v>
      </c>
      <c r="Y21">
        <v>0.77</v>
      </c>
    </row>
    <row r="22" spans="1:25" x14ac:dyDescent="0.2">
      <c r="A22" t="s">
        <v>49</v>
      </c>
      <c r="B22" t="s">
        <v>193</v>
      </c>
      <c r="C22" t="s">
        <v>194</v>
      </c>
      <c r="D22" t="s">
        <v>195</v>
      </c>
      <c r="E22" t="s">
        <v>196</v>
      </c>
      <c r="F22" t="s">
        <v>197</v>
      </c>
      <c r="G22" t="b">
        <v>1</v>
      </c>
      <c r="H22" t="b">
        <v>1</v>
      </c>
      <c r="I22" t="b">
        <v>1</v>
      </c>
      <c r="J22">
        <v>1511</v>
      </c>
      <c r="K22">
        <v>2</v>
      </c>
      <c r="L22">
        <v>136.87</v>
      </c>
      <c r="M22">
        <v>140.80000000000001</v>
      </c>
      <c r="N22">
        <v>133.94</v>
      </c>
      <c r="O22">
        <v>7.0000000000000007E-2</v>
      </c>
      <c r="P22">
        <v>0.74</v>
      </c>
      <c r="Q22">
        <v>0.77</v>
      </c>
      <c r="R22">
        <v>0.89</v>
      </c>
      <c r="S22" t="s">
        <v>26</v>
      </c>
      <c r="T22" t="s">
        <v>198</v>
      </c>
      <c r="U22" t="s">
        <v>41</v>
      </c>
      <c r="V22">
        <v>1</v>
      </c>
      <c r="W22">
        <v>1</v>
      </c>
      <c r="X22">
        <v>1</v>
      </c>
      <c r="Y22">
        <v>0.5033333333333333</v>
      </c>
    </row>
    <row r="23" spans="1:25" x14ac:dyDescent="0.2">
      <c r="A23" t="s">
        <v>50</v>
      </c>
      <c r="B23" t="s">
        <v>199</v>
      </c>
      <c r="C23" t="s">
        <v>163</v>
      </c>
      <c r="D23" t="s">
        <v>200</v>
      </c>
      <c r="E23" t="s">
        <v>165</v>
      </c>
      <c r="F23" t="s">
        <v>201</v>
      </c>
      <c r="G23" t="b">
        <v>0</v>
      </c>
      <c r="H23" t="b">
        <v>0</v>
      </c>
      <c r="I23" t="b">
        <v>0</v>
      </c>
      <c r="J23">
        <v>0</v>
      </c>
      <c r="K23">
        <v>0</v>
      </c>
      <c r="O23">
        <v>0</v>
      </c>
      <c r="P23">
        <v>0</v>
      </c>
      <c r="Q23">
        <v>0</v>
      </c>
      <c r="R23">
        <v>0</v>
      </c>
      <c r="S23" t="s">
        <v>26</v>
      </c>
      <c r="T23" t="s">
        <v>26</v>
      </c>
      <c r="U23" t="s">
        <v>41</v>
      </c>
      <c r="V23">
        <v>0</v>
      </c>
      <c r="W23">
        <v>0</v>
      </c>
      <c r="X23">
        <v>0</v>
      </c>
      <c r="Y23">
        <v>0</v>
      </c>
    </row>
    <row r="24" spans="1:25" x14ac:dyDescent="0.2">
      <c r="A24" t="s">
        <v>51</v>
      </c>
      <c r="B24" t="s">
        <v>202</v>
      </c>
      <c r="C24" t="s">
        <v>203</v>
      </c>
      <c r="D24" t="s">
        <v>204</v>
      </c>
      <c r="E24" t="s">
        <v>205</v>
      </c>
      <c r="F24" t="s">
        <v>206</v>
      </c>
      <c r="G24" t="b">
        <v>1</v>
      </c>
      <c r="H24" t="b">
        <v>1</v>
      </c>
      <c r="I24" t="b">
        <v>1</v>
      </c>
      <c r="J24">
        <v>21185</v>
      </c>
      <c r="K24">
        <v>6</v>
      </c>
      <c r="L24">
        <v>6050.1</v>
      </c>
      <c r="M24">
        <v>6178.62</v>
      </c>
      <c r="N24">
        <v>6090.63</v>
      </c>
      <c r="O24">
        <v>0.06</v>
      </c>
      <c r="P24">
        <v>0.68</v>
      </c>
      <c r="Q24">
        <v>0.72</v>
      </c>
      <c r="R24">
        <v>0.92</v>
      </c>
      <c r="S24" t="s">
        <v>26</v>
      </c>
      <c r="T24" t="s">
        <v>207</v>
      </c>
      <c r="U24" t="s">
        <v>41</v>
      </c>
      <c r="V24">
        <v>1</v>
      </c>
      <c r="W24">
        <v>1</v>
      </c>
      <c r="X24">
        <v>1</v>
      </c>
      <c r="Y24">
        <v>0.44111111111111112</v>
      </c>
    </row>
    <row r="25" spans="1:25" x14ac:dyDescent="0.2">
      <c r="A25" t="s">
        <v>52</v>
      </c>
      <c r="B25" t="s">
        <v>208</v>
      </c>
      <c r="C25" t="s">
        <v>209</v>
      </c>
      <c r="D25" t="s">
        <v>210</v>
      </c>
      <c r="E25" t="s">
        <v>211</v>
      </c>
      <c r="F25" t="s">
        <v>212</v>
      </c>
      <c r="G25" t="b">
        <v>1</v>
      </c>
      <c r="H25" t="b">
        <v>1</v>
      </c>
      <c r="I25" t="b">
        <v>1</v>
      </c>
      <c r="J25">
        <v>2262</v>
      </c>
      <c r="K25">
        <v>5</v>
      </c>
      <c r="L25">
        <v>135.03</v>
      </c>
      <c r="M25">
        <v>154.41</v>
      </c>
      <c r="N25">
        <v>139.30000000000001</v>
      </c>
      <c r="O25">
        <v>0.04</v>
      </c>
      <c r="P25">
        <v>0.69</v>
      </c>
      <c r="Q25">
        <v>0.8</v>
      </c>
      <c r="R25">
        <v>0.8</v>
      </c>
      <c r="S25" t="s">
        <v>213</v>
      </c>
      <c r="T25" t="s">
        <v>214</v>
      </c>
      <c r="U25" t="s">
        <v>55</v>
      </c>
      <c r="V25">
        <v>1</v>
      </c>
      <c r="W25">
        <v>0.6</v>
      </c>
      <c r="X25">
        <v>0.8</v>
      </c>
      <c r="Y25">
        <v>0.45800000000000002</v>
      </c>
    </row>
    <row r="26" spans="1:25" x14ac:dyDescent="0.2">
      <c r="A26" t="s">
        <v>53</v>
      </c>
      <c r="B26" t="s">
        <v>215</v>
      </c>
      <c r="C26" t="s">
        <v>216</v>
      </c>
      <c r="D26" t="s">
        <v>217</v>
      </c>
      <c r="E26" t="s">
        <v>218</v>
      </c>
      <c r="F26" t="s">
        <v>219</v>
      </c>
      <c r="G26" t="b">
        <v>0</v>
      </c>
      <c r="H26" t="b">
        <v>0</v>
      </c>
      <c r="I26" t="b">
        <v>0</v>
      </c>
      <c r="J26">
        <v>0</v>
      </c>
      <c r="K26">
        <v>0</v>
      </c>
      <c r="O26">
        <v>0</v>
      </c>
      <c r="P26">
        <v>0</v>
      </c>
      <c r="Q26">
        <v>0</v>
      </c>
      <c r="R26">
        <v>0</v>
      </c>
      <c r="S26" t="s">
        <v>26</v>
      </c>
      <c r="T26" t="s">
        <v>26</v>
      </c>
      <c r="U26" t="s">
        <v>55</v>
      </c>
      <c r="V26">
        <v>0</v>
      </c>
      <c r="W26">
        <v>0</v>
      </c>
      <c r="X26">
        <v>0</v>
      </c>
      <c r="Y26">
        <v>0</v>
      </c>
    </row>
    <row r="27" spans="1:25" x14ac:dyDescent="0.2">
      <c r="A27" t="s">
        <v>54</v>
      </c>
      <c r="B27" t="s">
        <v>220</v>
      </c>
      <c r="C27" t="s">
        <v>221</v>
      </c>
      <c r="D27" t="s">
        <v>222</v>
      </c>
      <c r="E27" t="s">
        <v>223</v>
      </c>
      <c r="F27" t="s">
        <v>224</v>
      </c>
      <c r="G27" t="b">
        <v>1</v>
      </c>
      <c r="H27" t="b">
        <v>1</v>
      </c>
      <c r="I27" t="b">
        <v>1</v>
      </c>
      <c r="J27">
        <v>142</v>
      </c>
      <c r="K27">
        <v>5</v>
      </c>
      <c r="L27">
        <v>70.53</v>
      </c>
      <c r="M27">
        <v>82.28</v>
      </c>
      <c r="N27">
        <v>73.569999999999993</v>
      </c>
      <c r="O27">
        <v>0.03</v>
      </c>
      <c r="P27">
        <v>0.76</v>
      </c>
      <c r="Q27">
        <v>0.77</v>
      </c>
      <c r="R27">
        <v>0.72</v>
      </c>
      <c r="S27" t="s">
        <v>225</v>
      </c>
      <c r="T27" t="s">
        <v>226</v>
      </c>
      <c r="U27" t="s">
        <v>55</v>
      </c>
      <c r="V27">
        <v>1</v>
      </c>
      <c r="W27">
        <v>0.6</v>
      </c>
      <c r="X27">
        <v>0.8</v>
      </c>
      <c r="Y27">
        <v>0.56866666666666665</v>
      </c>
    </row>
    <row r="28" spans="1:25" x14ac:dyDescent="0.2">
      <c r="A28" t="s">
        <v>56</v>
      </c>
      <c r="B28" t="s">
        <v>227</v>
      </c>
      <c r="C28" t="s">
        <v>163</v>
      </c>
      <c r="D28" t="s">
        <v>228</v>
      </c>
      <c r="E28" t="s">
        <v>165</v>
      </c>
      <c r="F28" t="s">
        <v>229</v>
      </c>
      <c r="G28" t="b">
        <v>0</v>
      </c>
      <c r="H28" t="b">
        <v>0</v>
      </c>
      <c r="I28" t="b">
        <v>0</v>
      </c>
      <c r="J28">
        <v>0</v>
      </c>
      <c r="K28">
        <v>0</v>
      </c>
      <c r="O28">
        <v>0</v>
      </c>
      <c r="P28">
        <v>0</v>
      </c>
      <c r="Q28">
        <v>0</v>
      </c>
      <c r="R28">
        <v>0</v>
      </c>
      <c r="S28" t="s">
        <v>26</v>
      </c>
      <c r="T28" t="s">
        <v>26</v>
      </c>
      <c r="U28" t="s">
        <v>55</v>
      </c>
      <c r="V28">
        <v>0</v>
      </c>
      <c r="W28">
        <v>0</v>
      </c>
      <c r="X28">
        <v>0</v>
      </c>
      <c r="Y28">
        <v>0</v>
      </c>
    </row>
    <row r="29" spans="1:25" x14ac:dyDescent="0.2">
      <c r="A29" t="s">
        <v>57</v>
      </c>
      <c r="B29" t="s">
        <v>230</v>
      </c>
      <c r="C29" t="s">
        <v>231</v>
      </c>
      <c r="D29" t="s">
        <v>232</v>
      </c>
      <c r="E29" t="s">
        <v>233</v>
      </c>
      <c r="F29" t="s">
        <v>234</v>
      </c>
      <c r="G29" t="b">
        <v>1</v>
      </c>
      <c r="H29" t="b">
        <v>1</v>
      </c>
      <c r="I29" t="b">
        <v>1</v>
      </c>
      <c r="J29">
        <v>217</v>
      </c>
      <c r="K29">
        <v>6</v>
      </c>
      <c r="L29">
        <v>62.89</v>
      </c>
      <c r="M29">
        <v>64.03</v>
      </c>
      <c r="N29">
        <v>62.84</v>
      </c>
      <c r="O29">
        <v>0</v>
      </c>
      <c r="P29">
        <v>0.73</v>
      </c>
      <c r="Q29">
        <v>0.75</v>
      </c>
      <c r="R29">
        <v>0.75</v>
      </c>
      <c r="S29" t="s">
        <v>26</v>
      </c>
      <c r="T29" t="s">
        <v>235</v>
      </c>
      <c r="U29" t="s">
        <v>55</v>
      </c>
      <c r="V29">
        <v>1</v>
      </c>
      <c r="W29">
        <v>1</v>
      </c>
      <c r="X29">
        <v>1</v>
      </c>
      <c r="Y29">
        <v>0.59611111111111115</v>
      </c>
    </row>
    <row r="30" spans="1:25" x14ac:dyDescent="0.2">
      <c r="A30" t="s">
        <v>58</v>
      </c>
      <c r="B30" t="s">
        <v>236</v>
      </c>
      <c r="C30" t="s">
        <v>237</v>
      </c>
      <c r="D30" t="s">
        <v>238</v>
      </c>
      <c r="E30" t="s">
        <v>239</v>
      </c>
      <c r="F30" t="s">
        <v>240</v>
      </c>
      <c r="G30" t="b">
        <v>1</v>
      </c>
      <c r="H30" t="b">
        <v>1</v>
      </c>
      <c r="I30" t="b">
        <v>1</v>
      </c>
      <c r="J30">
        <v>448</v>
      </c>
      <c r="K30">
        <v>4</v>
      </c>
      <c r="L30">
        <v>67.680000000000007</v>
      </c>
      <c r="M30">
        <v>82.07</v>
      </c>
      <c r="N30">
        <v>71.69</v>
      </c>
      <c r="O30">
        <v>0</v>
      </c>
      <c r="P30">
        <v>0.68</v>
      </c>
      <c r="Q30">
        <v>0.73</v>
      </c>
      <c r="R30">
        <v>0.5</v>
      </c>
      <c r="S30" t="s">
        <v>241</v>
      </c>
      <c r="T30" t="s">
        <v>242</v>
      </c>
      <c r="U30" t="s">
        <v>55</v>
      </c>
      <c r="V30">
        <v>1</v>
      </c>
      <c r="W30">
        <v>0.75</v>
      </c>
      <c r="X30">
        <v>0.875</v>
      </c>
      <c r="Y30">
        <v>0.68500000000000005</v>
      </c>
    </row>
    <row r="31" spans="1:25" x14ac:dyDescent="0.2">
      <c r="A31" t="s">
        <v>59</v>
      </c>
      <c r="B31" t="s">
        <v>243</v>
      </c>
      <c r="C31" t="s">
        <v>244</v>
      </c>
      <c r="D31" t="s">
        <v>245</v>
      </c>
      <c r="E31" t="s">
        <v>246</v>
      </c>
      <c r="F31" t="s">
        <v>247</v>
      </c>
      <c r="G31" t="b">
        <v>1</v>
      </c>
      <c r="H31" t="b">
        <v>1</v>
      </c>
      <c r="I31" t="b">
        <v>1</v>
      </c>
      <c r="J31">
        <v>1274</v>
      </c>
      <c r="K31">
        <v>5</v>
      </c>
      <c r="L31">
        <v>179.41</v>
      </c>
      <c r="M31">
        <v>213.83</v>
      </c>
      <c r="N31">
        <v>190.58</v>
      </c>
      <c r="O31">
        <v>0</v>
      </c>
      <c r="P31">
        <v>0.69</v>
      </c>
      <c r="Q31">
        <v>0.75</v>
      </c>
      <c r="R31">
        <v>0.83</v>
      </c>
      <c r="S31" t="s">
        <v>26</v>
      </c>
      <c r="T31" t="s">
        <v>248</v>
      </c>
      <c r="U31" t="s">
        <v>55</v>
      </c>
      <c r="V31">
        <v>1</v>
      </c>
      <c r="W31">
        <v>1</v>
      </c>
      <c r="X31">
        <v>1</v>
      </c>
      <c r="Y31">
        <v>0.4506666666666666</v>
      </c>
    </row>
    <row r="32" spans="1:25" x14ac:dyDescent="0.2">
      <c r="A32" t="s">
        <v>60</v>
      </c>
      <c r="B32" t="s">
        <v>249</v>
      </c>
      <c r="C32" t="s">
        <v>250</v>
      </c>
      <c r="D32" t="s">
        <v>251</v>
      </c>
      <c r="E32" t="s">
        <v>252</v>
      </c>
      <c r="F32" t="s">
        <v>253</v>
      </c>
      <c r="G32" t="b">
        <v>1</v>
      </c>
      <c r="H32" t="b">
        <v>1</v>
      </c>
      <c r="I32" t="b">
        <v>1</v>
      </c>
      <c r="J32">
        <v>82</v>
      </c>
      <c r="K32">
        <v>7</v>
      </c>
      <c r="L32">
        <v>213.12</v>
      </c>
      <c r="M32">
        <v>215.38</v>
      </c>
      <c r="N32">
        <v>208.17</v>
      </c>
      <c r="O32">
        <v>0</v>
      </c>
      <c r="P32">
        <v>0.68</v>
      </c>
      <c r="Q32">
        <v>0.78</v>
      </c>
      <c r="R32">
        <v>0.85</v>
      </c>
      <c r="S32" t="s">
        <v>254</v>
      </c>
      <c r="T32" t="s">
        <v>255</v>
      </c>
      <c r="U32" t="s">
        <v>55</v>
      </c>
      <c r="V32">
        <v>1</v>
      </c>
      <c r="W32">
        <v>0.5714285714285714</v>
      </c>
      <c r="X32">
        <v>0.7857142857142857</v>
      </c>
      <c r="Y32">
        <v>0.3704761904761904</v>
      </c>
    </row>
    <row r="33" spans="1:25" x14ac:dyDescent="0.2">
      <c r="A33" t="s">
        <v>61</v>
      </c>
      <c r="B33" t="s">
        <v>256</v>
      </c>
      <c r="C33" t="s">
        <v>257</v>
      </c>
      <c r="D33" t="s">
        <v>258</v>
      </c>
      <c r="E33" t="s">
        <v>259</v>
      </c>
      <c r="F33" t="s">
        <v>260</v>
      </c>
      <c r="G33" t="b">
        <v>1</v>
      </c>
      <c r="H33" t="b">
        <v>1</v>
      </c>
      <c r="I33" t="b">
        <v>1</v>
      </c>
      <c r="J33">
        <v>35078</v>
      </c>
      <c r="K33">
        <v>4</v>
      </c>
      <c r="L33">
        <v>6609.54</v>
      </c>
      <c r="M33">
        <v>6874.76</v>
      </c>
      <c r="N33">
        <v>6686.49</v>
      </c>
      <c r="O33">
        <v>0.1</v>
      </c>
      <c r="P33">
        <v>0.69</v>
      </c>
      <c r="Q33">
        <v>0.76</v>
      </c>
      <c r="R33">
        <v>0.99</v>
      </c>
      <c r="S33" t="s">
        <v>45</v>
      </c>
      <c r="T33" t="s">
        <v>261</v>
      </c>
      <c r="U33" t="s">
        <v>55</v>
      </c>
      <c r="V33">
        <v>1</v>
      </c>
      <c r="W33">
        <v>0.75</v>
      </c>
      <c r="X33">
        <v>0.875</v>
      </c>
      <c r="Y33">
        <v>0.33416666666666672</v>
      </c>
    </row>
    <row r="34" spans="1:25" x14ac:dyDescent="0.2">
      <c r="A34" t="s">
        <v>62</v>
      </c>
      <c r="B34" t="s">
        <v>262</v>
      </c>
      <c r="C34" t="s">
        <v>263</v>
      </c>
      <c r="D34" t="s">
        <v>264</v>
      </c>
      <c r="E34" t="s">
        <v>265</v>
      </c>
      <c r="F34" t="s">
        <v>266</v>
      </c>
      <c r="G34" t="b">
        <v>1</v>
      </c>
      <c r="H34" t="b">
        <v>1</v>
      </c>
      <c r="I34" t="b">
        <v>1</v>
      </c>
      <c r="J34">
        <v>236</v>
      </c>
      <c r="K34">
        <v>9</v>
      </c>
      <c r="L34">
        <v>64.849999999999994</v>
      </c>
      <c r="M34">
        <v>65.33</v>
      </c>
      <c r="N34">
        <v>64.38</v>
      </c>
      <c r="O34">
        <v>0.08</v>
      </c>
      <c r="P34">
        <v>0.64</v>
      </c>
      <c r="Q34">
        <v>0.76</v>
      </c>
      <c r="R34">
        <v>0.84</v>
      </c>
      <c r="S34" t="s">
        <v>26</v>
      </c>
      <c r="T34" t="s">
        <v>267</v>
      </c>
      <c r="U34" t="s">
        <v>55</v>
      </c>
      <c r="V34">
        <v>1</v>
      </c>
      <c r="W34">
        <v>1</v>
      </c>
      <c r="X34">
        <v>1</v>
      </c>
      <c r="Y34">
        <v>0.39851851851851849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2B88-ECF1-FC4A-B0D4-0CD9DE9D5C8A}">
  <dimension ref="A1:D4"/>
  <sheetViews>
    <sheetView workbookViewId="0">
      <selection activeCell="B2" sqref="B2"/>
    </sheetView>
  </sheetViews>
  <sheetFormatPr baseColWidth="10" defaultRowHeight="15" x14ac:dyDescent="0.2"/>
  <sheetData>
    <row r="1" spans="1:4" x14ac:dyDescent="0.2">
      <c r="A1" s="2" t="s">
        <v>67</v>
      </c>
      <c r="B1" s="2" t="s">
        <v>68</v>
      </c>
      <c r="C1" s="2" t="s">
        <v>69</v>
      </c>
      <c r="D1" s="2" t="s">
        <v>70</v>
      </c>
    </row>
    <row r="2" spans="1:4" x14ac:dyDescent="0.2">
      <c r="A2" t="str" cm="1">
        <f t="array" ref="A2:A4">_xlfn.UNIQUE(All!U2:U34)</f>
        <v>simple</v>
      </c>
      <c r="B2">
        <f>COUNTIF(All!U2:U34,Filter!A2)</f>
        <v>12</v>
      </c>
      <c r="C2">
        <f>COUNTIFS(All!$G:$G, TRUE, All!$U:$U, A2)</f>
        <v>12</v>
      </c>
      <c r="D2">
        <f>COUNTIFS(All!$G:$G, TRUE,
          All!$H:$H, TRUE,
          All!$I:$I, TRUE,
          All!$U:$U, A2)</f>
        <v>12</v>
      </c>
    </row>
    <row r="3" spans="1:4" x14ac:dyDescent="0.2">
      <c r="A3" t="str">
        <v>moderate</v>
      </c>
      <c r="B3">
        <f>COUNTIF(All!U3:U35,Filter!A3)</f>
        <v>11</v>
      </c>
      <c r="C3">
        <f>COUNTIFS(All!$G:$G, TRUE, All!$U:$U, A3)</f>
        <v>9</v>
      </c>
      <c r="D3">
        <f>COUNTIFS(All!$G:$G, TRUE,
          All!$H:$H, TRUE,
          All!$I:$I, TRUE,
          All!$U:$U, A3)</f>
        <v>9</v>
      </c>
    </row>
    <row r="4" spans="1:4" x14ac:dyDescent="0.2">
      <c r="A4" t="str">
        <v>complex</v>
      </c>
      <c r="B4">
        <f>COUNTIF(All!U4:U36,Filter!A4)</f>
        <v>10</v>
      </c>
      <c r="C4">
        <f>COUNTIFS(All!$G:$G, TRUE, All!$U:$U, A4)</f>
        <v>8</v>
      </c>
      <c r="D4">
        <f>COUNTIFS(All!$G:$G, TRUE,
          All!$H:$H, TRUE,
          All!$I:$I, TRUE,
          All!$U:$U, A4)</f>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
  <sheetViews>
    <sheetView topLeftCell="E1" workbookViewId="0">
      <selection activeCell="I5" sqref="I5"/>
    </sheetView>
  </sheetViews>
  <sheetFormatPr baseColWidth="10" defaultColWidth="8.83203125" defaultRowHeight="15" x14ac:dyDescent="0.2"/>
  <cols>
    <col min="1" max="1" width="8.5"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1" t="s">
        <v>20</v>
      </c>
      <c r="B1" s="1" t="s">
        <v>9</v>
      </c>
      <c r="C1" s="1" t="s">
        <v>10</v>
      </c>
      <c r="D1" s="1" t="s">
        <v>11</v>
      </c>
      <c r="E1" s="1" t="s">
        <v>12</v>
      </c>
      <c r="F1" s="1" t="s">
        <v>13</v>
      </c>
      <c r="G1" s="1" t="s">
        <v>14</v>
      </c>
      <c r="H1" s="1" t="s">
        <v>15</v>
      </c>
      <c r="I1" s="1" t="s">
        <v>16</v>
      </c>
      <c r="J1" s="1" t="s">
        <v>17</v>
      </c>
      <c r="K1" s="1" t="s">
        <v>21</v>
      </c>
      <c r="L1" s="1" t="s">
        <v>22</v>
      </c>
      <c r="M1" s="1" t="s">
        <v>23</v>
      </c>
      <c r="N1" s="1" t="s">
        <v>24</v>
      </c>
      <c r="O1" s="1" t="s">
        <v>63</v>
      </c>
      <c r="P1" s="1" t="s">
        <v>64</v>
      </c>
      <c r="Q1" s="1" t="s">
        <v>65</v>
      </c>
    </row>
    <row r="2" spans="1:17" x14ac:dyDescent="0.2">
      <c r="A2" t="s">
        <v>27</v>
      </c>
      <c r="B2" s="3">
        <f>AVERAGEIFS(All!$J:$J,
            All!$G:$G, TRUE,
            All!$H:$H, TRUE,
            All!$I:$I, TRUE,
            All!$U:$U, A2)</f>
        <v>2692.25</v>
      </c>
      <c r="C2" s="3">
        <f>AVERAGEIFS(All!K:K,
            All!$G:$G, TRUE,
            All!$H:$H, TRUE,
            All!$I:$I, TRUE,
            All!$U:$U, $A2)</f>
        <v>3.75</v>
      </c>
      <c r="D2" s="3">
        <f>AVERAGEIFS(All!L:L,
            All!$G:$G, TRUE,
            All!$H:$H, TRUE,
            All!$I:$I, TRUE,
            All!$U:$U, $A2)</f>
        <v>240.47666666666669</v>
      </c>
      <c r="E2" s="3">
        <f>AVERAGEIFS(All!M:M,
            All!$G:$G, TRUE,
            All!$H:$H, TRUE,
            All!$I:$I, TRUE,
            All!$U:$U, $A2)</f>
        <v>269.2525</v>
      </c>
      <c r="F2" s="3">
        <f>AVERAGEIFS(All!N:N,
            All!$G:$G, TRUE,
            All!$H:$H, TRUE,
            All!$I:$I, TRUE,
            All!$U:$U, $A2)</f>
        <v>245.29499999999999</v>
      </c>
      <c r="G2" s="3">
        <f>AVERAGEIFS(All!O:O,
            All!$G:$G, TRUE,
            All!$H:$H, TRUE,
            All!$I:$I, TRUE,
            All!$U:$U, $A2)</f>
        <v>3.2500000000000001E-2</v>
      </c>
      <c r="H2" s="3">
        <f>AVERAGEIFS(All!P:P,
            All!$G:$G, TRUE,
            All!$H:$H, TRUE,
            All!$I:$I, TRUE,
            All!$U:$U, $A2)</f>
        <v>0.71583333333333321</v>
      </c>
      <c r="I2" s="3">
        <f>AVERAGEIFS(All!Q:Q,
            All!$G:$G, TRUE,
            All!$H:$H, TRUE,
            All!$I:$I, TRUE,
            All!$U:$U, $A2)</f>
        <v>0.75166666666666659</v>
      </c>
      <c r="J2" s="3">
        <f>AVERAGEIFS(All!R:R,
            All!$G:$G, TRUE,
            All!$H:$H, TRUE,
            All!$I:$I, TRUE,
            All!$U:$U, $A2)</f>
        <v>0.70499999999999996</v>
      </c>
      <c r="K2" s="3">
        <f>AVERAGEIFS(All!V:V,
            All!$G:$G, TRUE,
            All!$H:$H, TRUE,
            All!$I:$I, TRUE,
            All!$U:$U, $A2)</f>
        <v>1</v>
      </c>
      <c r="L2" s="3">
        <f>AVERAGEIFS(All!W:W,
            All!$G:$G, TRUE,
            All!$H:$H, TRUE,
            All!$I:$I, TRUE,
            All!$U:$U, $A2)</f>
        <v>0.96666666666666667</v>
      </c>
      <c r="M2" s="3">
        <f>AVERAGEIFS(All!X:X,
            All!$G:$G, TRUE,
            All!$H:$H, TRUE,
            All!$I:$I, TRUE,
            All!$U:$U, $A2)</f>
        <v>0.98333333333333339</v>
      </c>
      <c r="N2" s="3">
        <f>AVERAGEIFS(All!Y:Y,
            All!$G:$G, TRUE,
            All!$H:$H, TRUE,
            All!$I:$I, TRUE,
            All!$U:$U, $A2)</f>
        <v>0.60862962962962974</v>
      </c>
      <c r="O2" s="3">
        <f>COUNTIFS(All!G:G,TRUE,All!$U:$U,$A2)/COUNTIF(All!$U2:$U34,Filter!$A2)</f>
        <v>1</v>
      </c>
      <c r="P2" s="3">
        <f>COUNTIFS(All!H:H,TRUE,All!$U:$U,$A2)/COUNTIF(All!$U2:$U34,Filter!$A2)</f>
        <v>1</v>
      </c>
      <c r="Q2" s="3">
        <f>COUNTIFS(All!I:I,TRUE,All!$U:$U,$A2)/COUNTIF(All!$U2:$U34,Filter!$A2)</f>
        <v>1</v>
      </c>
    </row>
    <row r="3" spans="1:17" x14ac:dyDescent="0.2">
      <c r="A3" t="s">
        <v>41</v>
      </c>
      <c r="B3" s="3">
        <f>AVERAGEIFS(All!$J:$J,
            All!$G:$G, TRUE,
            All!$H:$H, TRUE,
            All!$I:$I, TRUE,
            All!$U:$U, A3)</f>
        <v>3823.2222222222222</v>
      </c>
      <c r="C3" s="3">
        <f>AVERAGEIFS(All!K:K,
            All!$G:$G, TRUE,
            All!$H:$H, TRUE,
            All!$I:$I, TRUE,
            All!$U:$U, $A3)</f>
        <v>3.6666666666666665</v>
      </c>
      <c r="D3" s="3">
        <f>AVERAGEIFS(All!L:L,
            All!$G:$G, TRUE,
            All!$H:$H, TRUE,
            All!$I:$I, TRUE,
            All!$U:$U, $A3)</f>
        <v>4427.7766666666666</v>
      </c>
      <c r="E3" s="3">
        <f>AVERAGEIFS(All!M:M,
            All!$G:$G, TRUE,
            All!$H:$H, TRUE,
            All!$I:$I, TRUE,
            All!$U:$U, $A3)</f>
        <v>4955.4877777777783</v>
      </c>
      <c r="F3" s="3">
        <f>AVERAGEIFS(All!N:N,
            All!$G:$G, TRUE,
            All!$H:$H, TRUE,
            All!$I:$I, TRUE,
            All!$U:$U, $A3)</f>
        <v>4589.03</v>
      </c>
      <c r="G3" s="3">
        <f>AVERAGEIFS(All!O:O,
            All!$G:$G, TRUE,
            All!$H:$H, TRUE,
            All!$I:$I, TRUE,
            All!$U:$U, $A3)</f>
        <v>5.3333333333333337E-2</v>
      </c>
      <c r="H3" s="3">
        <f>AVERAGEIFS(All!P:P,
            All!$G:$G, TRUE,
            All!$H:$H, TRUE,
            All!$I:$I, TRUE,
            All!$U:$U, $A3)</f>
        <v>0.70666666666666667</v>
      </c>
      <c r="I3" s="3">
        <f>AVERAGEIFS(All!Q:Q,
            All!$G:$G, TRUE,
            All!$H:$H, TRUE,
            All!$I:$I, TRUE,
            All!$U:$U, $A3)</f>
        <v>0.7566666666666666</v>
      </c>
      <c r="J3" s="3">
        <f>AVERAGEIFS(All!R:R,
            All!$G:$G, TRUE,
            All!$H:$H, TRUE,
            All!$I:$I, TRUE,
            All!$U:$U, $A3)</f>
        <v>0.7599999999999999</v>
      </c>
      <c r="K3" s="3">
        <f>AVERAGEIFS(All!V:V,
            All!$G:$G, TRUE,
            All!$H:$H, TRUE,
            All!$I:$I, TRUE,
            All!$U:$U, $A3)</f>
        <v>1</v>
      </c>
      <c r="L3" s="3">
        <f>AVERAGEIFS(All!W:W,
            All!$G:$G, TRUE,
            All!$H:$H, TRUE,
            All!$I:$I, TRUE,
            All!$U:$U, $A3)</f>
        <v>0.9277777777777777</v>
      </c>
      <c r="M3" s="3">
        <f>AVERAGEIFS(All!X:X,
            All!$G:$G, TRUE,
            All!$H:$H, TRUE,
            All!$I:$I, TRUE,
            All!$U:$U, $A3)</f>
        <v>0.96388888888888902</v>
      </c>
      <c r="N3" s="3">
        <f>AVERAGEIFS(All!Y:Y,
            All!$G:$G, TRUE,
            All!$H:$H, TRUE,
            All!$I:$I, TRUE,
            All!$U:$U, $A3)</f>
        <v>0.55727777777777765</v>
      </c>
      <c r="O3" s="3">
        <f>COUNTIFS(All!G:G,TRUE,All!$U:$U,$A3)/COUNTIF(All!$U3:$U35,Filter!$A3)</f>
        <v>0.81818181818181823</v>
      </c>
      <c r="P3" s="3">
        <f>COUNTIFS(All!H:H,TRUE,All!$U:$U,$A3)/COUNTIF(All!$U3:$U35,Filter!$A3)</f>
        <v>0.81818181818181823</v>
      </c>
      <c r="Q3" s="3">
        <f>COUNTIFS(All!I:I,TRUE,All!$U:$U,$A3)/COUNTIF(All!$U3:$U35,Filter!$A3)</f>
        <v>0.81818181818181823</v>
      </c>
    </row>
    <row r="4" spans="1:17" x14ac:dyDescent="0.2">
      <c r="A4" t="s">
        <v>55</v>
      </c>
      <c r="B4" s="3">
        <f>AVERAGEIFS(All!$J:$J,
            All!$G:$G, TRUE,
            All!$H:$H, TRUE,
            All!$I:$I, TRUE,
            All!$U:$U, A4)</f>
        <v>4967.375</v>
      </c>
      <c r="C4" s="3">
        <f>AVERAGEIFS(All!K:K,
            All!$G:$G, TRUE,
            All!$H:$H, TRUE,
            All!$I:$I, TRUE,
            All!$U:$U, $A4)</f>
        <v>5.625</v>
      </c>
      <c r="D4" s="3">
        <f>AVERAGEIFS(All!L:L,
            All!$G:$G, TRUE,
            All!$H:$H, TRUE,
            All!$I:$I, TRUE,
            All!$U:$U, $A4)</f>
        <v>925.38125000000002</v>
      </c>
      <c r="E4" s="3">
        <f>AVERAGEIFS(All!M:M,
            All!$G:$G, TRUE,
            All!$H:$H, TRUE,
            All!$I:$I, TRUE,
            All!$U:$U, $A4)</f>
        <v>969.01125000000002</v>
      </c>
      <c r="F4" s="3">
        <f>AVERAGEIFS(All!N:N,
            All!$G:$G, TRUE,
            All!$H:$H, TRUE,
            All!$I:$I, TRUE,
            All!$U:$U, $A4)</f>
        <v>937.12749999999994</v>
      </c>
      <c r="G4" s="3">
        <f>AVERAGEIFS(All!O:O,
            All!$G:$G, TRUE,
            All!$H:$H, TRUE,
            All!$I:$I, TRUE,
            All!$U:$U, $A4)</f>
        <v>3.125E-2</v>
      </c>
      <c r="H4" s="3">
        <f>AVERAGEIFS(All!P:P,
            All!$G:$G, TRUE,
            All!$H:$H, TRUE,
            All!$I:$I, TRUE,
            All!$U:$U, $A4)</f>
        <v>0.69499999999999995</v>
      </c>
      <c r="I4" s="3">
        <f>AVERAGEIFS(All!Q:Q,
            All!$G:$G, TRUE,
            All!$H:$H, TRUE,
            All!$I:$I, TRUE,
            All!$U:$U, $A4)</f>
        <v>0.76249999999999996</v>
      </c>
      <c r="J4" s="3">
        <f>AVERAGEIFS(All!R:R,
            All!$G:$G, TRUE,
            All!$H:$H, TRUE,
            All!$I:$I, TRUE,
            All!$U:$U, $A4)</f>
        <v>0.78500000000000003</v>
      </c>
      <c r="K4" s="3">
        <f>AVERAGEIFS(All!V:V,
            All!$G:$G, TRUE,
            All!$H:$H, TRUE,
            All!$I:$I, TRUE,
            All!$U:$U, $A4)</f>
        <v>1</v>
      </c>
      <c r="L4" s="3">
        <f>AVERAGEIFS(All!W:W,
            All!$G:$G, TRUE,
            All!$H:$H, TRUE,
            All!$I:$I, TRUE,
            All!$U:$U, $A4)</f>
        <v>0.78392857142857142</v>
      </c>
      <c r="M4" s="3">
        <f>AVERAGEIFS(All!X:X,
            All!$G:$G, TRUE,
            All!$H:$H, TRUE,
            All!$I:$I, TRUE,
            All!$U:$U, $A4)</f>
        <v>0.89196428571428565</v>
      </c>
      <c r="N4" s="3">
        <f>AVERAGEIFS(All!Y:Y,
            All!$G:$G, TRUE,
            All!$H:$H, TRUE,
            All!$I:$I, TRUE,
            All!$U:$U, $A4)</f>
        <v>0.48270072751322751</v>
      </c>
      <c r="O4" s="3">
        <f>COUNTIFS(All!G:G,TRUE,All!$U:$U,$A4)/COUNTIF(All!$U4:$U36,Filter!$A4)</f>
        <v>0.8</v>
      </c>
      <c r="P4" s="3">
        <f>COUNTIFS(All!H:H,TRUE,All!$U:$U,$A4)/COUNTIF(All!$U4:$U36,Filter!$A4)</f>
        <v>0.8</v>
      </c>
      <c r="Q4" s="3">
        <f>COUNTIFS(All!I:I,TRUE,All!$U:$U,$A4)/COUNTIF(All!$U4:$U36,Filter!$A4)</f>
        <v>0.8</v>
      </c>
    </row>
  </sheetData>
  <sortState xmlns:xlrd2="http://schemas.microsoft.com/office/spreadsheetml/2017/richdata2" ref="A2:Q7">
    <sortCondition descending="1" ref="A1:A7"/>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workbookViewId="0">
      <selection activeCell="P9" sqref="P9"/>
    </sheetView>
  </sheetViews>
  <sheetFormatPr baseColWidth="10" defaultColWidth="8.83203125" defaultRowHeight="15" x14ac:dyDescent="0.2"/>
  <cols>
    <col min="1" max="1" width="8"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4" t="s">
        <v>20</v>
      </c>
      <c r="B1" s="4" t="s">
        <v>9</v>
      </c>
      <c r="C1" s="4" t="s">
        <v>10</v>
      </c>
      <c r="D1" s="4" t="s">
        <v>11</v>
      </c>
      <c r="E1" s="4" t="s">
        <v>12</v>
      </c>
      <c r="F1" s="4" t="s">
        <v>13</v>
      </c>
      <c r="G1" s="4" t="s">
        <v>14</v>
      </c>
      <c r="H1" s="4" t="s">
        <v>15</v>
      </c>
      <c r="I1" s="4" t="s">
        <v>16</v>
      </c>
      <c r="J1" s="4" t="s">
        <v>17</v>
      </c>
      <c r="K1" s="4" t="s">
        <v>21</v>
      </c>
      <c r="L1" s="4" t="s">
        <v>22</v>
      </c>
      <c r="M1" s="4" t="s">
        <v>23</v>
      </c>
      <c r="N1" s="4" t="s">
        <v>24</v>
      </c>
      <c r="O1" s="4" t="s">
        <v>63</v>
      </c>
      <c r="P1" s="4" t="s">
        <v>64</v>
      </c>
      <c r="Q1" s="4" t="s">
        <v>65</v>
      </c>
    </row>
    <row r="2" spans="1:17" x14ac:dyDescent="0.2">
      <c r="A2" s="3" t="s">
        <v>66</v>
      </c>
      <c r="B2" s="3">
        <f>AVERAGEIFS(All!J:J,All!$G:$G, TRUE,All!$H:$H, TRUE,All!$I:$I, TRUE)</f>
        <v>3670.8620689655172</v>
      </c>
      <c r="C2" s="3">
        <f>AVERAGEIFS(All!K:K,All!$G:$G, TRUE,All!$H:$H, TRUE,All!$I:$I, TRUE)</f>
        <v>4.2413793103448274</v>
      </c>
      <c r="D2" s="3">
        <f>AVERAGEIFS(All!L:L,All!$G:$G, TRUE,All!$H:$H, TRUE,All!$I:$I, TRUE)</f>
        <v>1728.9227586206898</v>
      </c>
      <c r="E2" s="3">
        <f>AVERAGEIFS(All!M:M,All!$G:$G, TRUE,All!$H:$H, TRUE,All!$I:$I, TRUE)</f>
        <v>1916.6382758620693</v>
      </c>
      <c r="F2" s="3">
        <f>AVERAGEIFS(All!N:N,All!$G:$G, TRUE,All!$H:$H, TRUE,All!$I:$I, TRUE)</f>
        <v>1784.2010344827584</v>
      </c>
      <c r="G2" s="3">
        <f>AVERAGEIFS(All!O:O,All!$G:$G, TRUE,All!$H:$H, TRUE,All!$I:$I, TRUE)</f>
        <v>3.8620689655172423E-2</v>
      </c>
      <c r="H2" s="3">
        <f>AVERAGEIFS(All!P:P,All!$G:$G, TRUE,All!$H:$H, TRUE,All!$I:$I, TRUE)</f>
        <v>0.70724137931034492</v>
      </c>
      <c r="I2" s="3">
        <f>AVERAGEIFS(All!Q:Q,All!$G:$G, TRUE,All!$H:$H, TRUE,All!$I:$I, TRUE)</f>
        <v>0.75620689655172424</v>
      </c>
      <c r="J2" s="3">
        <f>AVERAGEIFS(All!R:R,All!$G:$G, TRUE,All!$H:$H, TRUE,All!$I:$I, TRUE)</f>
        <v>0.74413793103448256</v>
      </c>
      <c r="K2" s="3">
        <f>AVERAGEIFS(All!V:V,All!$G:$G, TRUE,All!$H:$H, TRUE,All!$I:$I, TRUE)</f>
        <v>1</v>
      </c>
      <c r="L2" s="3">
        <f>AVERAGEIFS(All!W:W,All!$G:$G, TRUE,All!$H:$H, TRUE,All!$I:$I, TRUE)</f>
        <v>0.90418719211822685</v>
      </c>
      <c r="M2" s="3">
        <f>AVERAGEIFS(All!X:X,All!$G:$G, TRUE,All!$H:$H, TRUE,All!$I:$I, TRUE)</f>
        <v>0.95209359605911337</v>
      </c>
      <c r="N2" s="3">
        <f>AVERAGEIFS(All!Y:Y,All!$G:$G, TRUE,All!$H:$H, TRUE,All!$I:$I, TRUE)</f>
        <v>0.5579538405400476</v>
      </c>
      <c r="O2" s="3">
        <f>COUNTIFS(All!G:G,TRUE)/COUNTA(All!$U2:$U34)</f>
        <v>0.87878787878787878</v>
      </c>
      <c r="P2" s="3">
        <f>COUNTIFS(All!H:H,TRUE)/COUNTA(All!$U2:$U34)</f>
        <v>0.87878787878787878</v>
      </c>
      <c r="Q2" s="3">
        <f>COUNTIFS(All!I:I,TRUE)/COUNTA(All!$U2:$U34)</f>
        <v>0.87878787878787878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vt:lpstr>
      <vt:lpstr>Filter</vt:lpstr>
      <vt:lpstr>By-CQ-Level</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Jaldi, Chris Davis</cp:lastModifiedBy>
  <dcterms:created xsi:type="dcterms:W3CDTF">2025-11-25T21:05:31Z</dcterms:created>
  <dcterms:modified xsi:type="dcterms:W3CDTF">2025-11-27T18:54:01Z</dcterms:modified>
</cp:coreProperties>
</file>