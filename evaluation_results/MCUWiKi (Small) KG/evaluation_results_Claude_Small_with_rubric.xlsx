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13_ncr:1_{B8A43C56-D203-744A-B74F-23B89D564B72}" xr6:coauthVersionLast="47" xr6:coauthVersionMax="47" xr10:uidLastSave="{00000000-0000-0000-0000-000000000000}"/>
  <bookViews>
    <workbookView xWindow="0" yWindow="680" windowWidth="29400" windowHeight="17160" activeTab="2"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<sst xmlns="http://schemas.openxmlformats.org/spreadsheetml/2006/main" count="364" uniqueCount="272">
  <si>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</si>
  <si>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</si>
  <si>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</si>
  <si>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</si>
  <si>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</si>
  <si>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</si>
  <si>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</si>
  <si>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</si>
  <si>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</si>
  <si>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</si>
  <si>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</si>
  <si>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</si>
  <si>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</si>
  <si>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</si>
  <si>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</si>
  <si>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</si>
  <si>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</si>
  <si>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</si>
  <si>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</si>
  <si>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</si>
  <si>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</si>
  <si>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</si>
  <si>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</si>
  <si>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</si>
  <si>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</si>
  <si>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</si>
  <si>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t>
  </si>
  <si>
    <t>simple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</si>
  <si>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</si>
  <si>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</si>
  <si>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</si>
  <si>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</si>
  <si>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</si>
  <si>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</si>
  <si>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</si>
  <si>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</si>
  <si>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</si>
  <si>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</si>
  <si>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</si>
  <si>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</si>
  <si>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</si>
  <si>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moderate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</si>
  <si>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</si>
  <si>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</si>
  <si>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</si>
  <si>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["movie"]</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</si>
  <si>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</si>
  <si>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</si>
  <si>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</si>
  <si>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</si>
  <si>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</si>
  <si>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</si>
  <si>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</si>
  <si>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</si>
  <si>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</si>
  <si>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complex</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</si>
  <si>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</si>
  <si>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</si>
  <si>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</si>
  <si>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</si>
  <si>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</si>
  <si>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["team", "power", "location"]</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</si>
  <si>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</si>
  <si>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</si>
  <si>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syntax_ok_rate</t>
  </si>
  <si>
    <t>satisfiable_rate</t>
  </si>
  <si>
    <t>deterministic_rate</t>
  </si>
  <si>
    <t>ALL</t>
  </si>
  <si>
    <t>Complexity</t>
  </si>
  <si>
    <t>Total</t>
  </si>
  <si>
    <t>Valid Syntax</t>
  </si>
  <si>
    <t>Valid all</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</si>
  <si>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</si>
  <si>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```sparql
PREFIX rdf: &lt;http://www.w3.org/1999/02/22-rdf-syntax-ns#&gt;
PREFIX ns: &lt;http://dbkwik.webdatacommons.org/marvelcinematicuniverse.wikia.com/class/&gt;
SELECT DISTINCT ?character
WHERE {
  ?character rdf:type ns:character .
}
```</t>
  </si>
  <si>
    <t>"MessageBatchIndividualResponse(custom_id='cq-0', result=MessageBatchSucceededResult(message=Message(id='msg_01F861gCh21GGbVBBfSuXfBd', content=[TextBlock(citations=None, text='```sparql\\nPREFIX rdf: &lt;http://www.w3.org/1999/02/22-rdf-syntax-ns#&gt;\\nPREFIX ns: &lt;http://dbkwik.webdatacommons.org/marvelcinematicuniverse.wikia.com/class/&gt;\\n\\nSELECT DISTINCT ?character\\nWHERE {\\n  ?character rdf:type ns:character .\\n}\\n```', type='text')], model='claude-sonnet-4-5-20250929', role='assistant', stop_reason='end_turn', stop_sequence=None, type='message', usage=Usage(cache_creation_input_tokens=0, cache_read_input_tokens=0, input_tokens=136874, output_tokens=97, server_tool_use=None, service_tier='batch', cache_creation={'ephemeral_5m_input_tokens': 0, 'ephemeral_1h_input_tokens': 0})), type='succeeded'))"</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</si>
  <si>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rdf: &lt;http://www.w3.org/1999/02/22-rdf-syntax-ns#&gt;
PREFIX ns: &lt;http://dbkwik.webdatacommons.org/marvelcinematicuniverse.wikia.com/class/&gt;
SELECT DISTINCT ?character
WHERE {
  ?character rdf:type ns:character .
}</t>
  </si>
  <si>
    <t>{
  "cq_text": "Who are all the characters available?",
  "syntax_ok": true,
  "satisfiable": true,
  "deterministic": true,
  "latency": {
    "p50_ms": 57.14,
    "p95_ms": 58.85,
    "mean_ms": 57.63
  },
  "rows": 2262,
  "vars": 1,
  "always_unbound_vars": [],
  "lexical_query_overlap": 0.0,
  "semantic_similarity_to_CQ": 0.69,
  "semantic_soft_coverage_to_CQ": 0.72,
  "tuple_cohesion": 0.64,
  "variables": [
    {
      "var": "character",
      "rows": 2262,
      "distinct": 1859,
      "null_rate": 0.0,
      "label_resolution_rate": 1.0,
      "diversity_entropy_norm": 0.98,
      "semantic_cohesion": 0.64,
      "dup_ratio": 0.18,
      "bound_rate": 1.0
    }
  ]
}</t>
  </si>
  <si>
    <t>[{"var": "character", "rows": 2262, "distinct": 1859, "null_rate": 0.0, "label_resolution_rate": 1.0, "diversity_entropy_norm": 0.98, "semantic_cohesion": 0.64, "dup_ratio": 0.18, "bound_rate": 1.0}]</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</si>
  <si>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</si>
  <si>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```sparql
PREFIX ns1: &lt;http://dbkwik.webdatacommons.org/marvelcinematicuniverse.wikia.com/property/&gt;
PREFIX rdf: &lt;http://www.w3.org/1999/02/22-rdf-syntax-ns#&gt;
SELECT DISTINCT ?item ?label
WHERE {
  ?item rdf:type &lt;http://dbkwik.webdatacommons.org/marvelcinematicuniverse.wikia.com/class/movie&gt; .
  OPTIONAL { ?item rdfs:label ?label }
}
```</t>
  </si>
  <si>
    <t>"MessageBatchIndividualResponse(custom_id='cq-1', result=MessageBatchSucceededResult(message=Message(id='msg_018WmkB4ZRSSS5iRTa97ZUtk', content=[TextBlock(citations=None, text='```sparql\\nPREFIX ns1: &lt;http://dbkwik.webdatacommons.org/marvelcinematicuniverse.wikia.com/property/&gt;\\nPREFIX rdf: &lt;http://www.w3.org/1999/02/22-rdf-syntax-ns#&gt;\\n\\nSELECT DISTINCT ?item ?label\\nWHERE {\\n  ?item rdf:type &lt;http://dbkwik.webdatacommons.org/marvelcinematicuniverse.wikia.com/class/movie&gt; .\\n  OPTIONAL { ?item rdfs:label ?label }\\n}\\n```', type='text')], model='claude-sonnet-4-5-20250929', role='assistant', stop_reason='end_turn', stop_sequence=None, type='message', usage=Usage(cache_creation_input_tokens=0, cache_read_input_tokens=0, input_tokens=136881, output_tokens=145,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</si>
  <si>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?item ?label
WHERE {
  ?item rdf:type &lt;http://dbkwik.webdatacommons.org/marvelcinematicuniverse.wikia.com/class/movie&gt; .
  OPTIONAL { ?item rdfs:label ?label }
}</t>
  </si>
  <si>
    <t>{
  "cq_text": "What are all the movies (and/or TV shows) available?",
  "syntax_ok": true,
  "satisfiable": true,
  "deterministic": true,
  "latency": {
    "p50_ms": 8.35,
    "p95_ms": 8.54,
    "mean_ms": 8.27
  },
  "rows": 26,
  "vars": 2,
  "always_unbound_vars": [],
  "lexical_query_overlap": 0.04,
  "semantic_similarity_to_CQ": 0.62,
  "semantic_soft_coverage_to_CQ": 0.72,
  "tuple_cohesion": 0.65,
  "variables": [
    {
      "var": "item",
      "rows": 26,
      "distinct": 18,
      "null_rate": 0.0,
      "label_resolution_rate": 1.0,
      "diversity_entropy_norm": 0.91,
      "semantic_cohesion": 0.62,
      "dup_ratio": 0.31,
      "bound_rate": 1.0
    },
    {
      "var": "label",
      "rows": 26,
      "distinct": 26,
      "null_rate": 0.0,
      "label_resolution_rate": 1.0,
      "diversity_entropy_norm": 1.0,
      "semantic_cohesion": 0.72,
      "dup_ratio": 0.0,
      "bound_rate": 1.0
    }
  ]
}</t>
  </si>
  <si>
    <t>[{"var": "item", "rows": 26, "distinct": 18, "null_rate": 0.0, "label_resolution_rate": 1.0, "diversity_entropy_norm": 0.91, "semantic_cohesion": 0.62, "dup_ratio": 0.31, "bound_rate": 1.0}, {"var": "label", "rows": 26, "distinct": 26, "null_rate": 0.0, "label_resolution_rate": 1.0, "diversity_entropy_norm": 1.0, "semantic_cohesion": 0.72, "dup_ratio": 0.0, "bound_rate": 1.0}]</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</si>
  <si>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</si>
  <si>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```sparql
PREFIX ns1: &lt;http://dbkwik.webdatacommons.org/marvelcinematicuniverse.wikia.com/property/&gt;
PREFIX rdf: &lt;http://www.w3.org/1999/02/22-rdf-syntax-ns#&gt;
SELECT ?character ?realName ?alias
WHERE {
  ?character rdf:type &lt;http://dbkwik.webdatacommons.org/marvelcinematicuniverse.wikia.com/class/character&gt; .
  OPTIONAL { ?character ns1:realName ?realName . }
  OPTIONAL { ?character ns1:alias ?alias . }
  FILTER (BOUND(?realName) || BOUND(?alias))
}
```</t>
  </si>
  <si>
    <t>"MessageBatchIndividualResponse(custom_id='cq-2', result=MessageBatchSucceededResult(message=Message(id='msg_018XdHDFkrKZ91HdRxxg8h5P', content=[TextBlock(citations=None, text='```sparql\\nPREFIX ns1: &lt;http://dbkwik.webdatacommons.org/marvelcinematicuniverse.wikia.com/property/&gt;\\nPREFIX rdf: &lt;http://www.w3.org/1999/02/22-rdf-syntax-ns#&gt;\\n\\nSELECT ?character ?realName ?alias\\nWHERE {\\n  ?character rdf:type &lt;http://dbkwik.webdatacommons.org/marvelcinematicuniverse.wikia.com/class/character&gt; .\\n  OPTIONAL { ?character ns1:realName ?realName . }\\n  OPTIONAL { ?character ns1:alias ?alias . }\\n  FILTER (BOUND(?realName) || BOUND(?alias))\\n}\\n```', type='text')], model='claude-sonnet-4-5-20250929', role='assistant', stop_reason='end_turn', stop_sequence=None, type='message', usage=Usage(cache_creation_input_tokens=0, cache_read_input_tokens=0, input_tokens=136883, output_tokens=181,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</si>
  <si>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?character ?realName ?alias
WHERE {
  ?character rdf:type &lt;http://dbkwik.webdatacommons.org/marvelcinematicuniverse.wikia.com/class/character&gt; .
  OPTIONAL { ?character ns1:realName ?realName . }
  OPTIONAL { ?character ns1:alias ?alias . }
  FILTER (BOUND(?realName) || BOUND(?alias))
}</t>
  </si>
  <si>
    <t>{
  "cq_text": "What are the real names and/or primary aliases for each of the characters?",
  "syntax_ok": true,
  "satisfiable": true,
  "deterministic": true,
  "latency": {
    "p50_ms": 135.24,
    "p95_ms": 139.32,
    "mean_ms": 136.08
  },
  "rows": 3861,
  "vars": 3,
  "always_unbound_vars": [],
  "lexical_query_overlap": 0.03,
  "semantic_similarity_to_CQ": 0.74,
  "semantic_soft_coverage_to_CQ": 0.77,
  "tuple_cohesion": 0.75,
  "variables": [
    {
      "var": "character",
      "rows": 3861,
      "distinct": 1770,
      "null_rate": 0.0,
      "label_resolution_rate": 1.0,
      "diversity_entropy_norm": 0.87,
      "semantic_cohesion": 0.64,
      "dup_ratio": 0.54,
      "bound_rate": 1.0
    },
    {
      "var": "realName",
      "rows": 3861,
      "distinct": 1901,
      "null_rate": 0.053354053354053355,
      "label_resolution_rate": 1.0,
      "diversity_entropy_norm": 0.92,
      "semantic_cohesion": 0.65,
      "dup_ratio": 0.48,
      "bound_rate": 0.9466459466459467
    },
    {
      "var": "alias",
      "rows": 3861,
      "distinct": 2090,
      "null_rate": 0.3581973581973582,
      "label_resolution_rate": 1.0,
      "diversity_entropy_norm": 0.99,
      "semantic_cohesion": 0.65,
      "dup_ratio": 0.16,
      "bound_rate": 0.6418026418026418
    }
  ]
}</t>
  </si>
  <si>
    <t>[{"var": "character", "rows": 3861, "distinct": 1770, "null_rate": 0.0, "label_resolution_rate": 1.0, "diversity_entropy_norm": 0.87, "semantic_cohesion": 0.64, "dup_ratio": 0.54, "bound_rate": 1.0}, {"var": "realName", "rows": 3861, "distinct": 1901, "null_rate": 0.053354053354053355, "label_resolution_rate": 1.0, "diversity_entropy_norm": 0.92, "semantic_cohesion": 0.65, "dup_ratio": 0.48, "bound_rate": 0.9466459466459467}, {"var": "alias", "rows": 3861, "distinct": 2090, "null_rate": 0.3581973581973582, "label_resolution_rate": 1.0, "diversity_entropy_norm": 0.99, "semantic_cohesion": 0.65, "dup_ratio": 0.16, "bound_rate": 0.6418026418026418}]</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</si>
  <si>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</si>
  <si>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```sparql
PREFIX ns1: &lt;http://dbkwik.webdatacommons.org/marvelcinematicuniverse.wikia.com/property/&gt;
PREFIX rdfs: &lt;http://www.w3.org/2000/01/rdf-schema#&gt;
SELECT ?character ?characterLabel ?species ?speciesLabel
WHERE {
  ?character ns1:species ?species .
  OPTIONAL { ?character rdfs:label ?characterLabel . }
  OPTIONAL { ?species rdfs:label ?speciesLabel . }
}
```</t>
  </si>
  <si>
    <t>"MessageBatchIndividualResponse(custom_id='cq-3', result=MessageBatchSucceededResult(message=Message(id='msg_01DWV7jVAfJjf5gqtueyxaPX', content=[TextBlock(citations=None, text='```sparql\\nPREFIX ns1: &lt;http://dbkwik.webdatacommons.org/marvelcinematicuniverse.wikia.com/property/&gt;\\nPREFIX rdfs: &lt;http://www.w3.org/2000/01/rdf-schema#&gt;\\n\\nSELECT ?character ?characterLabel ?species ?speciesLabel\\nWHERE {\\n  ?character ns1:species ?species .\\n  OPTIONAL { ?character rdfs:label ?characterLabel . }\\n  OPTIONAL { ?species rdfs:label ?speciesLabel . }\\n}\\n```', type='text')], model='claude-sonnet-4-5-20250929', role='assistant', stop_reason='end_turn', stop_sequence=None, type='message', usage=Usage(cache_creation_input_tokens=0, cache_read_input_tokens=0, input_tokens=136896, output_tokens=133,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</si>
  <si>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?character ?characterLabel ?species ?speciesLabel
WHERE {
  ?character ns1:species ?species .
  OPTIONAL { ?character rdfs:label ?characterLabel . }
  OPTIONAL { ?species rdfs:label ?speciesLabel . }
}</t>
  </si>
  <si>
    <t>{
  "cq_text": "What are all the associated species or types (e.g., human, Asgardian, AI) for each of the characters?",
  "syntax_ok": true,
  "satisfiable": true,
  "deterministic": true,
  "latency": {
    "p50_ms": 122.97,
    "p95_ms": 128.9,
    "mean_ms": 121.0
  },
  "rows": 2189,
  "vars": 4,
  "always_unbound_vars": [],
  "lexical_query_overlap": 0.11,
  "semantic_similarity_to_CQ": 0.69,
  "semantic_soft_coverage_to_CQ": 0.73,
  "tuple_cohesion": 0.69,
  "variables": [
    {
      "var": "character",
      "rows": 2189,
      "distinct": 1861,
      "null_rate": 0.0,
      "label_resolution_rate": 1.0,
      "diversity_entropy_norm": 0.98,
      "semantic_cohesion": 0.64,
      "dup_ratio": 0.15,
      "bound_rate": 1.0
    },
    {
      "var": "characterLabel",
      "rows": 2189,
      "distinct": 2178,
      "null_rate": 0.0,
      "label_resolution_rate": 1.0,
      "diversity_entropy_norm": 1.0,
      "semantic_cohesion": 0.65,
      "dup_ratio": 0.01,
      "bound_rate": 1.0
    },
    {
      "var": "species",
      "rows": 2189,
      "distinct": 58,
      "null_rate": 0.0,
      "label_resolution_rate": 1.0,
      "diversity_entropy_norm": 0.18,
      "semantic_cohesion": 0.49,
      "dup_ratio": 0.97,
      "bound_rate": 1.0
    },
    {
      "var": "speciesLabel",
      "rows": 2189,
      "distinct": 43,
      "null_rate": 0.0077661032434901784,
      "label_resolution_rate": 1.0,
      "diversity_entropy_norm": 0.18,
      "semantic_cohesion": 0.44,
      "dup_ratio": 0.98,
      "bound_rate": 0.9922338967565099
    }
  ]
}</t>
  </si>
  <si>
    <t>[{"var": "character", "rows": 2189, "distinct": 1861, "null_rate": 0.0, "label_resolution_rate": 1.0, "diversity_entropy_norm": 0.98, "semantic_cohesion": 0.64, "dup_ratio": 0.15, "bound_rate": 1.0}, {"var": "characterLabel", "rows": 2189, "distinct": 2178, "null_rate": 0.0, "label_resolution_rate": 1.0, "diversity_entropy_norm": 1.0, "semantic_cohesion": 0.65, "dup_ratio": 0.01, "bound_rate": 1.0}, {"var": "species", "rows": 2189, "distinct": 58, "null_rate": 0.0, "label_resolution_rate": 1.0, "diversity_entropy_norm": 0.18, "semantic_cohesion": 0.49, "dup_ratio": 0.97, "bound_rate": 1.0}, {"var": "speciesLabel", "rows": 2189, "distinct": 43, "null_rate": 0.0077661032434901784, "label_resolution_rate": 1.0, "diversity_entropy_norm": 0.18, "semantic_cohesion": 0.44, "dup_ratio": 0.98, "bound_rate": 0.9922338967565099}]</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</si>
  <si>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</si>
  <si>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```sparql
PREFIX ns1: &lt;http://dbkwik.webdatacommons.org/marvelcinematicuniverse.wikia.com/property/&gt;
PREFIX rdfs: &lt;http://www.w3.org/2000/01/rdf-schema#&gt;
SELECT DISTINCT ?character ?characterLabel ?originLocation ?originLocationLabel
WHERE {
  ?character a &lt;http://dbkwik.webdatacommons.org/marvelcinematicuniverse.wikia.com/class/character&gt; .
  OPTIONAL { ?character rdfs:label ?characterLabel . }
  {
    ?character ns1:homeplanet ?originLocation .
  }
  UNION
  {
    ?character ns1:citizenship ?originLocation .
  }
  UNION
  {
    ?character ns1:location ?originLocation .
  }
  OPTIONAL { ?originLocation rdfs:label ?originLocationLabel . }
}
ORDER BY ?characterLabel
```</t>
  </si>
  <si>
    <t>"MessageBatchIndividualResponse(custom_id='cq-4', result=MessageBatchSucceededResult(message=Message(id='msg_01LutSMQteypkutDyDUt53fF', content=[TextBlock(citations=None, text='```sparql\\nPREFIX ns1: &lt;http://dbkwik.webdatacommons.org/marvelcinematicuniverse.wikia.com/property/&gt;\\nPREFIX rdfs: &lt;http://www.w3.org/2000/01/rdf-schema#&gt;\\n\\nSELECT DISTINCT ?character ?characterLabel ?originLocation ?originLocationLabel\\nWHERE {\\n  ?character a &lt;http://dbkwik.webdatacommons.org/marvelcinematicuniverse.wikia.com/class/character&gt; .\\n  \\n  OPTIONAL { ?character rdfs:label ?characterLabel . }\\n  \\n  {\\n    ?character ns1:homeplanet ?originLocation .\\n  }\\n  UNION\\n  {\\n    ?character ns1:citizenship ?originLocation .\\n  }\\n  UNION\\n  {\\n    ?character ns1:location ?originLocation .\\n  }\\n  \\n  OPTIONAL { ?originLocation rdfs:label ?originLocationLabel . }\\n}\\nORDER BY ?characterLabel\\n```', type='text')], model='claude-sonnet-4-5-20250929', role='assistant', stop_reason='end_turn', stop_sequence=None, type='message', usage=Usage(cache_creation_input_tokens=0, cache_read_input_tokens=0, input_tokens=136892, output_tokens=242,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</si>
  <si>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?character ?characterLabel ?originLocation ?originLocationLabel
WHERE {
  ?character a &lt;http://dbkwik.webdatacommons.org/marvelcinematicuniverse.wikia.com/class/character&gt; .
  OPTIONAL { ?character rdfs:label ?characterLabel . }
  {
    ?character ns1:homeplanet ?originLocation .
  }
  UNION
  {
    ?character ns1:citizenship ?originLocation .
  }
  UNION
  {
    ?character ns1:location ?originLocation .
  }
  OPTIONAL { ?originLocation rdfs:label ?originLocationLabel . }
}
ORDER BY ?characterLabel</t>
  </si>
  <si>
    <t>{
  "cq_text": "What are all the origin locations (e.g., homeworld, birthplace, base) for each of the characters?",
  "syntax_ok": true,
  "satisfiable": true,
  "deterministic": true,
  "latency": {
    "p50_ms": 96.03,
    "p95_ms": 99.51,
    "mean_ms": 93.84
  },
  "rows": 59,
  "vars": 4,
  "always_unbound_vars": [],
  "lexical_query_overlap": 0.03,
  "semantic_similarity_to_CQ": 0.73,
  "semantic_soft_coverage_to_CQ": 0.77,
  "tuple_cohesion": 0.63,
  "variables": [
    {
      "var": "character",
      "rows": 59,
      "distinct": 54,
      "null_rate": 0.0,
      "label_resolution_rate": 1.0,
      "diversity_entropy_norm": 0.98,
      "semantic_cohesion": 0.47,
      "dup_ratio": 0.08,
      "bound_rate": 1.0
    },
    {
      "var": "characterLabel",
      "rows": 59,
      "distinct": 59,
      "null_rate": 0.0,
      "label_resolution_rate": 1.0,
      "diversity_entropy_norm": 1.0,
      "semantic_cohesion": 0.5,
      "dup_ratio": 0.0,
      "bound_rate": 1.0
    },
    {
      "var": "originLocation",
      "rows": 59,
      "distinct": 12,
      "null_rate": 0.0,
      "label_resolution_rate": 1.0,
      "diversity_entropy_norm": 0.7,
      "semantic_cohesion": 0.43,
      "dup_ratio": 0.8,
      "bound_rate": 1.0
    },
    {
      "var": "originLocationLabel",
      "rows": 59,
      "distinct": 13,
      "null_rate": 0.0,
      "label_resolution_rate": 1.0,
      "diversity_entropy_norm": 0.7,
      "semantic_cohesion": 0.47,
      "dup_ratio": 0.78,
      "bound_rate": 1.0
    }
  ]
}</t>
  </si>
  <si>
    <t>[{"var": "character", "rows": 59, "distinct": 54, "null_rate": 0.0, "label_resolution_rate": 1.0, "diversity_entropy_norm": 0.98, "semantic_cohesion": 0.47, "dup_ratio": 0.08, "bound_rate": 1.0}, {"var": "characterLabel", "rows": 59, "distinct": 59, "null_rate": 0.0, "label_resolution_rate": 1.0, "diversity_entropy_norm": 1.0, "semantic_cohesion": 0.5, "dup_ratio": 0.0, "bound_rate": 1.0}, {"var": "originLocation", "rows": 59, "distinct": 12, "null_rate": 0.0, "label_resolution_rate": 1.0, "diversity_entropy_norm": 0.7, "semantic_cohesion": 0.43, "dup_ratio": 0.8, "bound_rate": 1.0}, {"var": "originLocationLabel", "rows": 59, "distinct": 13, "null_rate": 0.0, "label_resolution_rate": 1.0, "diversity_entropy_norm": 0.7, "semantic_cohesion": 0.47, "dup_ratio": 0.78, "bound_rate": 1.0}]</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</si>
  <si>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</si>
  <si>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```sparql
PREFIX ns1: &lt;http://dbkwik.webdatacommons.org/marvelcinematicuniverse.wikia.com/property/&gt;
PREFIX xsd: &lt;http://www.w3.org/2001/XMLSchema#&gt;
SELECT ?movie ?releaseDate
WHERE {
  ?movie a &lt;http://dbkwik.webdatacommons.org/marvelcinematicuniverse.wikia.com/class/movie&gt; .
  OPTIONAL { ?movie ns1:release ?releaseDate }
}
ORDER BY ?releaseDate
```</t>
  </si>
  <si>
    <t>"MessageBatchIndividualResponse(custom_id='cq-5', result=MessageBatchSucceededResult(message=Message(id='msg_01WDnwue5XwPKjwPvpEeFjF3', content=[TextBlock(citations=None, text='```sparql\\nPREFIX ns1: &lt;http://dbkwik.webdatacommons.org/marvelcinematicuniverse.wikia.com/property/&gt;\\nPREFIX xsd: &lt;http://www.w3.org/2001/XMLSchema#&gt;\\n\\nSELECT ?movie ?releaseDate\\nWHERE {\\n  ?movie a &lt;http://dbkwik.webdatacommons.org/marvelcinematicuniverse.wikia.com/class/movie&gt; .\\n  OPTIONAL { ?movie ns1:release ?releaseDate }\\n}\\nORDER BY ?releaseDate\\n```', type='text')], model='claude-sonnet-4-5-20250929', role='assistant', stop_reason='end_turn', stop_sequence=None, type='message', usage=Usage(cache_creation_input_tokens=0, cache_read_input_tokens=0, input_tokens=136886, output_tokens=143,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</si>
  <si>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ns1: &lt;http://dbkwik.webdatacommons.org/marvelcinematicuniverse.wikia.com/property/&gt;
PREFIX xsd: &lt;http://www.w3.org/2001/XMLSchema#&gt;
SELECT ?movie ?releaseDate
WHERE {
  ?movie a &lt;http://dbkwik.webdatacommons.org/marvelcinematicuniverse.wikia.com/class/movie&gt; .
  OPTIONAL { ?movie ns1:release ?releaseDate }
}
ORDER BY ?releaseDate</t>
  </si>
  <si>
    <t>{
  "cq_text": "What are all the release dates (or years), if available, for each of the movies?",
  "syntax_ok": true,
  "satisfiable": true,
  "deterministic": true,
  "latency": {
    "p50_ms": 15.51,
    "p95_ms": 15.53,
    "mean_ms": 14.72
  },
  "rows": 46,
  "vars": 2,
  "always_unbound_vars": [],
  "lexical_query_overlap": 0.03,
  "semantic_similarity_to_CQ": 0.7,
  "semantic_soft_coverage_to_CQ": 0.76,
  "tuple_cohesion": 0.92,
  "variables": [
    {
      "var": "movie",
      "rows": 46,
      "distinct": 18,
      "null_rate": 0.0,
      "label_resolution_rate": 1.0,
      "diversity_entropy_norm": 0.85,
      "semantic_cohesion": 0.62,
      "dup_ratio": 0.61,
      "bound_rate": 1.0
    },
    {
      "var": "releaseDate",
      "rows": 46,
      "distinct": 40,
      "null_rate": 0.06521739130434782,
      "label_resolution_rate": 1.0,
      "diversity_entropy_norm": 0.99,
      "semantic_cohesion": 0.98,
      "dup_ratio": 0.07,
      "bound_rate": 0.9347826086956522
    }
  ]
}</t>
  </si>
  <si>
    <t>[{"var": "movie", "rows": 46, "distinct": 18, "null_rate": 0.0, "label_resolution_rate": 1.0, "diversity_entropy_norm": 0.85, "semantic_cohesion": 0.62, "dup_ratio": 0.61, "bound_rate": 1.0}, {"var": "releaseDate", "rows": 46, "distinct": 40, "null_rate": 0.06521739130434782, "label_resolution_rate": 1.0, "diversity_entropy_norm": 0.99, "semantic_cohesion": 0.98, "dup_ratio": 0.07, "bound_rate": 0.9347826086956522}]</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</si>
  <si>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</si>
  <si>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```sparql
PREFIX ns1: &lt;http://dbkwik.webdatacommons.org/marvelcinematicuniverse.wikia.com/property/&gt;
PREFIX rdf: &lt;http://www.w3.org/1999/02/22-rdf-syntax-ns#&gt;
SELECT ?movie ?director
WHERE {
  ?movie rdf:type &lt;http://dbkwik.webdatacommons.org/marvelcinematicuniverse.wikia.com/class/movie&gt; .
  ?movie ns1:director ?director .
}
```</t>
  </si>
  <si>
    <t>"MessageBatchIndividualResponse(custom_id='cq-6', result=MessageBatchSucceededResult(message=Message(id='msg_015C1PDnfQv8Geg1jZaBA2K4', content=[TextBlock(citations=None, text='```sparql\\nPREFIX ns1: &lt;http://dbkwik.webdatacommons.org/marvelcinematicuniverse.wikia.com/property/&gt;\\nPREFIX rdf: &lt;http://www.w3.org/1999/02/22-rdf-syntax-ns#&gt;\\n\\nSELECT ?movie ?director\\nWHERE {\\n  ?movie rdf:type &lt;http://dbkwik.webdatacommons.org/marvelcinematicuniverse.wikia.com/class/movie&gt; .\\n  ?movie ns1:director ?director .\\n}\\n```', type='text')], model='claude-sonnet-4-5-20250929', role='assistant', stop_reason='end_turn', stop_sequence=None, type='message', usage=Usage(cache_creation_input_tokens=0, cache_read_input_tokens=0, input_tokens=136881, output_tokens=140,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</si>
  <si>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?movie ?director
WHERE {
  ?movie rdf:type &lt;http://dbkwik.webdatacommons.org/marvelcinematicuniverse.wikia.com/class/movie&gt; .
  ?movie ns1:director ?director .
}</t>
  </si>
  <si>
    <t>{
  "cq_text": "Who are all the director(s) for each of the movies?",
  "syntax_ok": true,
  "satisfiable": true,
  "deterministic": true,
  "latency": {
    "p50_ms": 11.37,
    "p95_ms": 11.4,
    "mean_ms": 11.38
  },
  "rows": 30,
  "vars": 2,
  "always_unbound_vars": [],
  "lexical_query_overlap": 0.06,
  "semantic_similarity_to_CQ": 0.7,
  "semantic_soft_coverage_to_CQ": 0.74,
  "tuple_cohesion": 0.68,
  "variables": [
    {
      "var": "movie",
      "rows": 30,
      "distinct": 16,
      "null_rate": 0.0,
      "label_resolution_rate": 1.0,
      "diversity_entropy_norm": 0.88,
      "semantic_cohesion": 0.59,
      "dup_ratio": 0.47,
      "bound_rate": 1.0
    },
    {
      "var": "director",
      "rows": 30,
      "distinct": 19,
      "null_rate": 0.0,
      "label_resolution_rate": 1.0,
      "diversity_entropy_norm": 0.95,
      "semantic_cohesion": 0.48,
      "dup_ratio": 0.37,
      "bound_rate": 1.0
    }
  ]
}</t>
  </si>
  <si>
    <t>[{"var": "movie", "rows": 30, "distinct": 16, "null_rate": 0.0, "label_resolution_rate": 1.0, "diversity_entropy_norm": 0.88, "semantic_cohesion": 0.59, "dup_ratio": 0.47, "bound_rate": 1.0}, {"var": "director", "rows": 30, "distinct": 19, "null_rate": 0.0, "label_resolution_rate": 1.0, "diversity_entropy_norm": 0.95, "semantic_cohesion": 0.48, "dup_ratio": 0.37, "bound_rate": 1.0}]</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</si>
  <si>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</si>
  <si>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```sparql
PREFIX rdf: &lt;http://www.w3.org/1999/02/22-rdf-syntax-ns#&gt;
PREFIX ns1: &lt;http://dbkwik.webdatacommons.org/marvelcinematicuniverse.wikia.com/property/&gt;
PREFIX owl: &lt;http://www.w3.org/2002/07/owl#&gt;
PREFIX rdfs: &lt;http://www.w3.org/2000/01/rdf-schema#&gt;
SELECT ?character ?characterLabel ?power
WHERE {
  ?character rdf:type ?type .
  # Filter for character-related classes
  FILTER(
    ?type = &lt;http://dbkwik.webdatacommons.org/marvelcinematicuniverse.wikia.com/class/character&gt; ||
    CONTAINS(STR(?type), "character")
  )
  # Get label for character
  OPTIONAL { ?character rdfs:label ?characterLabel }
  # Get powers or abilities (checking various possible properties)
  {
    ?character ns1:abilities ?power .
  } UNION {
    ?character ns1:powers ?power .
  } UNION {
    ?character ns1:ability ?power .
  } UNION {
    ?character ns1:power ?power .
  }
}
ORDER BY ?characterLabel
```</t>
  </si>
  <si>
    <t>"MessageBatchIndividualResponse(custom_id='cq-7', result=MessageBatchSucceededResult(message=Message(id='msg_01DL6hX6up1xR1RZTCuzNnHw', content=[TextBlock(citations=None, text='```sparql\\nPREFIX rdf: &lt;http://www.w3.org/1999/02/22-rdf-syntax-ns#&gt;\\nPREFIX ns1: &lt;http://dbkwik.webdatacommons.org/marvelcinematicuniverse.wikia.com/property/&gt;\\nPREFIX owl: &lt;http://www.w3.org/2002/07/owl#&gt;\\nPREFIX rdfs: &lt;http://www.w3.org/2000/01/rdf-schema#&gt;\\n\\nSELECT ?character ?characterLabel ?power\\nWHERE {\\n  ?character rdf:type ?type .\\n  \\n  # Filter for character-related classes\\n  FILTER(\\n    ?type = &lt;http://dbkwik.webdatacommons.org/marvelcinematicuniverse.wikia.com/class/character&gt; ||\\n    CONTAINS(STR(?type), \"character\")\\n  )\\n  \\n  # Get label for character\\n  OPTIONAL { ?character rdfs:label ?characterLabel }\\n  \\n  # Get powers or abilities (checking various possible properties)\\n  {\\n    ?character ns1:abilities ?power .\\n  } UNION {\\n    ?character ns1:powers ?power .\\n  } UNION {\\n    ?character ns1:ability ?power .\\n  } UNION {\\n    ?character ns1:power ?power .\\n  }\\n}\\nORDER BY ?characterLabel\\n```', type='text')], model='claude-sonnet-4-5-20250929', role='assistant', stop_reason='end_turn', stop_sequence=None, type='message', usage=Usage(cache_creation_input_tokens=0, cache_read_input_tokens=0, input_tokens=136881, output_tokens=333,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</si>
  <si>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skos: &lt;http://www.w3.org/2004/02/skos/core#&gt;
PREFIX xsd: &lt;http://www.w3.org/2001/XMLSchema#&gt;
PREFIX rdf: &lt;http://www.w3.org/1999/02/22-rdf-syntax-ns#&gt;
PREFIX ns1: &lt;http://dbkwik.webdatacommons.org/marvelcinematicuniverse.wikia.com/property/&gt;
PREFIX owl: &lt;http://www.w3.org/2002/07/owl#&gt;
PREFIX rdfs: &lt;http://www.w3.org/2000/01/rdf-schema#&gt;
SELECT ?character ?characterLabel ?power
WHERE {
  ?character rdf:type ?type .
  # Filter for character-related classes
  FILTER(
    ?type = &lt;http://dbkwik.webdatacommons.org/marvelcinematicuniverse.wikia.com/class/character&gt; ||
    CONTAINS(STR(?type), "character")
  )
  # Get label for character
  OPTIONAL { ?character rdfs:label ?characterLabel }
  # Get powers or abilities (checking various possible properties)
  {
    ?character ns1:abilities ?power .
  } UNION {
    ?character ns1:powers ?power .
  } UNION {
    ?character ns1:ability ?power .
  } UNION {
    ?character ns1:power ?power .
  }
}
ORDER BY ?characterLabel</t>
  </si>
  <si>
    <t>{
  "cq_text": "What are all the listed powers or abilities for each of the characters?",
  "syntax_ok": true,
  "satisfiable": false,
  "deterministic": true,
  "latency": {
    "p50_ms": 151.22,
    "p95_ms": 153.17,
    "mean_ms": 149.14
  },
  "rows": 0,
  "vars": 3,
  "always_unbound_vars": [
    "character",
    "characterLabel",
    "power"
  ],
  "lexical_query_overlap": 0.08,
  "semantic_similarity_to_CQ": 0.74,
  "semantic_soft_coverage_to_CQ": 0.82,
  "tuple_cohesion": null,
  "variables": [
    {
      "var": "character",
      "rows": 0,
      "distinct": 0,
      "null_rate": 1.0,
      "label_resolution_rate": 0.0,
      "diversity_entropy_norm": 0.0,
      "semantic_cohesion": 1.0,
      "dup_ratio": 0.0,
      "bound_rate": 0.0
    },
    {
      "var": "characterLabel",
      "rows": 0,
      "distinct": 0,
      "null_rate": 1.0,
      "label_resolution_rate": 0.0,
      "diversity_entropy_norm": 0.0,
      "semantic_cohesion": 1.0,
      "dup_ratio": 0.0,
      "bound_rate": 0.0
    },
    {
      "var": "power",
      "rows": 0,
      "distinct": 0,
      "null_rate": 1.0,
      "label_resolution_rate": 0.0,
      "diversity_entropy_norm": 0.0,
      "semantic_cohesion": 1.0,
      "dup_ratio": 0.0,
      "bound_rate": 0.0
    }
  ]
}</t>
  </si>
  <si>
    <t>["character", "characterLabel", "power"]</t>
  </si>
  <si>
    <t>[{"var": "character", "rows": 0, "distinct": 0, "null_rate": 1.0, "label_resolution_rate": 0.0, "diversity_entropy_norm": 0.0, "semantic_cohesion": 1.0, "dup_ratio": 0.0, "bound_rate": 0.0}, {"var": "characterLabel", "rows": 0, "distinct": 0, "null_rate": 1.0, "label_resolution_rate": 0.0, "diversity_entropy_norm": 0.0, "semantic_cohesion": 1.0, "dup_ratio": 0.0, "bound_rate": 0.0}, {"var": "power", "rows": 0, "distinct": 0, "null_rate": 1.0, "label_resolution_rate": 0.0, "diversity_entropy_norm": 0.0, "semantic_cohesion": 1.0, "dup_ratio": 0.0, "bound_rate": 0.0}]</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</si>
  <si>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</si>
  <si>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```sparql
PREFIX ns1: &lt;http://dbkwik.webdatacommons.org/marvelcinematicuniverse.wikia.com/property/&gt;
PREFIX ns2: &lt;http://dbkwik.webdatacommons.org/marvelcinematicuniverse.wikia.com/property/affiliation(s)&gt;
PREFIX rdf: &lt;http://www.w3.org/1999/02/22-rdf-syntax-ns#&gt;
SELECT ?character ?affiliation
WHERE {
  ?character rdf:type &lt;http://dbkwik.webdatacommons.org/marvelcinematicuniverse.wikia.com/class/character&gt; .
  {
    ?character ns1:affiliation ?affiliation .
  }
  UNION
  {
    ?character ns2: ?affiliation .
  }
  UNION
  {
    ?character ns1:team ?affiliation .
  }
}
```</t>
  </si>
  <si>
    <t>"MessageBatchIndividualResponse(custom_id='cq-8', result=MessageBatchSucceededResult(message=Message(id='msg_01HypQ4pFLxD6Nax41aTjHwY', content=[TextBlock(citations=None, text='```sparql\\nPREFIX ns1: &lt;http://dbkwik.webdatacommons.org/marvelcinematicuniverse.wikia.com/property/&gt;\\nPREFIX ns2: &lt;http://dbkwik.webdatacommons.org/marvelcinematicuniverse.wikia.com/property/affiliation(s)&gt;\\nPREFIX rdf: &lt;http://www.w3.org/1999/02/22-rdf-syntax-ns#&gt;\\n\\nSELECT ?character ?affiliation\\nWHERE {\\n  ?character rdf:type &lt;http://dbkwik.webdatacommons.org/marvelcinematicuniverse.wikia.com/class/character&gt; .\\n  {\\n    ?character ns1:affiliation ?affiliation .\\n  }\\n  UNION\\n  {\\n    ?character ns2: ?affiliation .\\n  }\\n  UNION\\n  {\\n    ?character ns1:team ?affiliation .\\n  }\\n}\\n```', type='text')], model='claude-sonnet-4-5-20250929', role='assistant', stop_reason='end_turn', stop_sequence=None, type='message', usage=Usage(cache_creation_input_tokens=0, cache_read_input_tokens=0, input_tokens=136882, output_tokens=235, server_tool_use=None, service_tier='batch', cache_creation={'ephemeral_5m_input_tokens': 0, 'ephemeral_1h_input_tokens': 0})), type='succeeded'))"</t>
  </si>
  <si>
    <t>PREFIX dc: &lt;http://purl.org/dc/elements/1.1/&gt;
PREFIX dcterms: &lt;http://purl.org/dc/terms/&gt;
PREFIX foaf: &lt;http://xmlns.com/foaf/0.1/&gt;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ns2: &lt;http://dbkwik.webdatacommons.org/marvelcinematicuniverse.wikia.com/property/affiliation(s)&gt;
PREFIX rdf: &lt;http://www.w3.org/1999/02/22-rdf-syntax-ns#&gt;
SELECT ?character ?affiliation
WHERE {
  ?character rdf:type &lt;http://dbkwik.webdatacommons.org/marvelcinematicuniverse.wikia.com/class/character&gt; .
  {
    ?character ns1:affiliation ?affiliation .
  }
  UNION
  {
    ?character ns2: ?affiliation .
  }
  UNION
  {
    ?character ns1:team ?affiliation .
  }
}</t>
  </si>
  <si>
    <t>{
  "cq_text": "What are all the team or organization affiliations for each of the characters?",
  "syntax_ok": true,
  "satisfiable": true,
  "deterministic": true,
  "latency": {
    "p50_ms": 70.82,
    "p95_ms": 71.59,
    "mean_ms": 70.85
  },
  "rows": 766,
  "vars": 2,
  "always_unbound_vars": [],
  "lexical_query_overlap": 0.0,
  "semantic_similarity_to_CQ": 0.76,
  "semantic_soft_coverage_to_CQ": 0.78,
  "tuple_cohesion": 0.65,
  "variables": [
    {
      "var": "character",
      "rows": 766,
      "distinct": 583,
      "null_rate": 0.0,
      "label_resolution_rate": 1.0,
      "diversity_entropy_norm": 0.98,
      "semantic_cohesion": 0.58,
      "dup_ratio": 0.24,
      "bound_rate": 1.0
    },
    {
      "var": "affiliation",
      "rows": 766,
      "distinct": 265,
      "null_rate": 0.0,
      "label_resolution_rate": 1.0,
      "diversity_entropy_norm": 0.92,
      "semantic_cohesion": 0.52,
      "dup_ratio": 0.65,
      "bound_rate": 1.0
    }
  ]
}</t>
  </si>
  <si>
    <t>[{"var": "character", "rows": 766, "distinct": 583, "null_rate": 0.0, "label_resolution_rate": 1.0, "diversity_entropy_norm": 0.98, "semantic_cohesion": 0.58, "dup_ratio": 0.24, "bound_rate": 1.0}, {"var": "affiliation", "rows": 766, "distinct": 265, "null_rate": 0.0, "label_resolution_rate": 1.0, "diversity_entropy_norm": 0.92, "semantic_cohesion": 0.52, "dup_ratio": 0.65, "bound_rate": 1.0}]</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</si>
  <si>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</si>
  <si>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```sparql
PREFIX ns1: &lt;http://dbkwik.webdatacommons.org/marvelcinematicuniverse.wikia.com/property/&gt;
PREFIX rdf: &lt;http://www.w3.org/1999/02/22-rdf-syntax-ns#&gt;
SELECT DISTINCT ?location
WHERE {
  ?location rdf:type &lt;http://dbkwik.webdatacommons.org/marvelcinematicuniverse.wikia.com/class/location&gt; .
}
```</t>
  </si>
  <si>
    <t>"MessageBatchIndividualResponse(custom_id='cq-9', result=MessageBatchSucceededResult(message=Message(id='msg_01GG9iXRmeCwSdJYdjfpJaRP', content=[TextBlock(citations=None, text='```sparql\\nPREFIX ns1: &lt;http://dbkwik.webdatacommons.org/marvelcinematicuniverse.wikia.com/property/&gt;\\nPREFIX rdf: &lt;http://www.w3.org/1999/02/22-rdf-syntax-ns#&gt;\\n\\nSELECT DISTINCT ?location\\nWHERE {\\n  ?location rdf:type &lt;http://dbkwik.webdatacommons.org/marvelcinematicuniverse.wikia.com/class/location&gt; .\\n}\\n```', type='text')], model='claude-sonnet-4-5-20250929', role='assistant', stop_reason='end_turn', stop_sequence=None, type='message', usage=Usage(cache_creation_input_tokens=0, cache_read_input_tokens=0, input_tokens=136877, output_tokens=129,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</si>
  <si>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?location
WHERE {
  ?location rdf:type &lt;http://dbkwik.webdatacommons.org/marvelcinematicuniverse.wikia.com/class/location&gt; .
}</t>
  </si>
  <si>
    <t>{
  "cq_text": "What are all the locations (places) available?",
  "syntax_ok": true,
  "satisfiable": true,
  "deterministic": true,
  "latency": {
    "p50_ms": 36.79,
    "p95_ms": 37.74,
    "mean_ms": 34.99
  },
  "rows": 998,
  "vars": 1,
  "always_unbound_vars": [],
  "lexical_query_overlap": 0.0,
  "semantic_similarity_to_CQ": 0.64,
  "semantic_soft_coverage_to_CQ": 0.75,
  "tuple_cohesion": 0.65,
  "variables": [
    {
      "var": "location",
      "rows": 998,
      "distinct": 926,
      "null_rate": 0.0,
      "label_resolution_rate": 1.0,
      "diversity_entropy_norm": 0.99,
      "semantic_cohesion": 0.65,
      "dup_ratio": 0.07,
      "bound_rate": 1.0
    }
  ]
}</t>
  </si>
  <si>
    <t>[{"var": "location", "rows": 998, "distinct": 926, "null_rate": 0.0, "label_resolution_rate": 1.0, "diversity_entropy_norm": 0.99, "semantic_cohesion": 0.65, "dup_ratio": 0.07, "bound_rate": 1.0}]</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</si>
  <si>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</si>
  <si>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"MessageBatchIndividualResponse(custom_id='cq-10', result=MessageBatchSucceededResult(message=Message(id='msg_01FwZ7n63JNhx6pM3VCXWZVZ', content=[TextBlock(citations=None, text='```sparql\\nPREFIX ns1: &lt;http://dbkwik.webdatacommons.org/marvelcinematicuniverse.wikia.com/property/&gt;\\nPREFIX rdf: &lt;http://www.w3.org/1999/02/22-rdf-syntax-ns#&gt;\\n\\nSELECT ?movie ?director\\nWHERE {\\n  ?movie rdf:type &lt;http://dbkwik.webdatacommons.org/marvelcinematicuniverse.wikia.com/class/movie&gt; .\\n  ?movie ns1:director ?director .\\n}\\n```', type='text')], model='claude-sonnet-4-5-20250929', role='assistant', stop_reason='end_turn', stop_sequence=None, type='message', usage=Usage(cache_creation_input_tokens=0, cache_read_input_tokens=0, input_tokens=136877, output_tokens=140, server_tool_use=None, service_tier='batch', cache_creation={'ephemeral_5m_input_tokens': 0, 'ephemeral_1h_input_tokens': 0})), type='succeeded'))"</t>
  </si>
  <si>
    <t>{
  "cq_text": "What are all the available movies and their directors?",
  "syntax_ok": true,
  "satisfiable": true,
  "deterministic": true,
  "latency": {
    "p50_ms": 8.84,
    "p95_ms": 9.78,
    "mean_ms": 9.15
  },
  "rows": 30,
  "vars": 2,
  "always_unbound_vars": [],
  "lexical_query_overlap": 0.0,
  "semantic_similarity_to_CQ": 0.7,
  "semantic_soft_coverage_to_CQ": 0.73,
  "tuple_cohesion": 0.68,
  "variables": [
    {
      "var": "movie",
      "rows": 30,
      "distinct": 16,
      "null_rate": 0.0,
      "label_resolution_rate": 1.0,
      "diversity_entropy_norm": 0.88,
      "semantic_cohesion": 0.59,
      "dup_ratio": 0.47,
      "bound_rate": 1.0
    },
    {
      "var": "director",
      "rows": 30,
      "distinct": 19,
      "null_rate": 0.0,
      "label_resolution_rate": 1.0,
      "diversity_entropy_norm": 0.95,
      "semantic_cohesion": 0.48,
      "dup_ratio": 0.37,
      "bound_rate": 1.0
    }
  ]
}</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</si>
  <si>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</si>
  <si>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```sparql
PREFIX ns1: &lt;http://dbkwik.webdatacommons.org/marvelcinematicuniverse.wikia.com/property/&gt;
PREFIX rdfs: &lt;http://www.w3.org/2000/01/rdf-schema#&gt;
SELECT DISTINCT ?character ?realName ?alias
WHERE {
  ?character a &lt;http://dbkwik.webdatacommons.org/marvelcinematicuniverse.wikia.com/class/character&gt; .
  OPTIONAL { ?character ns1:realName ?realName . }
  OPTIONAL { ?character ns1:alias ?alias . }
}
```</t>
  </si>
  <si>
    <t>"MessageBatchIndividualResponse(custom_id='cq-11', result=MessageBatchSucceededResult(message=Message(id='msg_01MwUNDUervwsCp1kKuLhVpK', content=[TextBlock(citations=None, text='```sparql\\nPREFIX ns1: &lt;http://dbkwik.webdatacommons.org/marvelcinematicuniverse.wikia.com/property/&gt;\\nPREFIX rdfs: &lt;http://www.w3.org/2000/01/rdf-schema#&gt;\\n\\nSELECT DISTINCT ?character ?realName ?alias\\nWHERE {\\n  ?character a &lt;http://dbkwik.webdatacommons.org/marvelcinematicuniverse.wikia.com/class/character&gt; .\\n  OPTIONAL { ?character ns1:realName ?realName . }\\n  OPTIONAL { ?character ns1:alias ?alias . }\\n}\\n```', type='text')], model='claude-sonnet-4-5-20250929', role='assistant', stop_reason='end_turn', stop_sequence=None, type='message', usage=Usage(cache_creation_input_tokens=0, cache_read_input_tokens=0, input_tokens=136881, output_tokens=159,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</si>
  <si>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?character ?realName ?alias
WHERE {
  ?character a &lt;http://dbkwik.webdatacommons.org/marvelcinematicuniverse.wikia.com/class/character&gt; .
  OPTIONAL { ?character ns1:realName ?realName . }
  OPTIONAL { ?character ns1:alias ?alias . }
}</t>
  </si>
  <si>
    <t>{
  "cq_text": "What are all the available characters and their primary alias/real name?",
  "syntax_ok": true,
  "satisfiable": true,
  "deterministic": true,
  "latency": {
    "p50_ms": 142.77,
    "p95_ms": 145.47,
    "mean_ms": 142.81
  },
  "rows": 3980,
  "vars": 3,
  "always_unbound_vars": [],
  "lexical_query_overlap": 0.04,
  "semantic_similarity_to_CQ": 0.76,
  "semantic_soft_coverage_to_CQ": 0.76,
  "tuple_cohesion": 0.75,
  "variables": [
    {
      "var": "character",
      "rows": 3980,
      "distinct": 1936,
      "null_rate": 0.0,
      "label_resolution_rate": 1.0,
      "diversity_entropy_norm": 0.89,
      "semantic_cohesion": 0.64,
      "dup_ratio": 0.51,
      "bound_rate": 1.0
    },
    {
      "var": "realName",
      "rows": 3980,
      "distinct": 1901,
      "null_rate": 0.08165829145728644,
      "label_resolution_rate": 1.0,
      "diversity_entropy_norm": 0.92,
      "semantic_cohesion": 0.65,
      "dup_ratio": 0.48,
      "bound_rate": 0.9183417085427136
    },
    {
      "var": "alias",
      "rows": 3980,
      "distinct": 2093,
      "null_rate": 0.3773869346733668,
      "label_resolution_rate": 1.0,
      "diversity_entropy_norm": 0.99,
      "semantic_cohesion": 0.65,
      "dup_ratio": 0.16,
      "bound_rate": 0.6226130653266332
    }
  ]
}</t>
  </si>
  <si>
    <t>[{"var": "character", "rows": 3980, "distinct": 1936, "null_rate": 0.0, "label_resolution_rate": 1.0, "diversity_entropy_norm": 0.89, "semantic_cohesion": 0.64, "dup_ratio": 0.51, "bound_rate": 1.0}, {"var": "realName", "rows": 3980, "distinct": 1901, "null_rate": 0.08165829145728644, "label_resolution_rate": 1.0, "diversity_entropy_norm": 0.92, "semantic_cohesion": 0.65, "dup_ratio": 0.48, "bound_rate": 0.9183417085427136}, {"var": "alias", "rows": 3980, "distinct": 2093, "null_rate": 0.3773869346733668, "label_resolution_rate": 1.0, "diversity_entropy_norm": 0.99, "semantic_cohesion": 0.65, "dup_ratio": 0.16, "bound_rate": 0.6226130653266332}]</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</si>
  <si>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</si>
  <si>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```sparql
PREFIX ns1: &lt;http://dbkwik.webdatacommons.org/marvelcinematicuniverse.wikia.com/property/&gt;
PREFIX rdf: &lt;http://www.w3.org/1999/02/22-rdf-syntax-ns#&gt;
SELECT DISTINCT ?character ?movie
WHERE {
  ?character ns1:movie ?movie .
}
```</t>
  </si>
  <si>
    <t>"MessageBatchIndividualResponse(custom_id='cq-12', result=MessageBatchSucceededResult(message=Message(id='msg_01EWBgV5oTLYTdDQjFwRHVLt', content=[TextBlock(citations=None, text='```sparql\\nPREFIX ns1: &lt;http://dbkwik.webdatacommons.org/marvelcinematicuniverse.wikia.com/property/&gt;\\nPREFIX rdf: &lt;http://www.w3.org/1999/02/22-rdf-syntax-ns#&gt;\\n\\nSELECT DISTINCT ?character ?movie\\nWHERE {\\n  ?character ns1:movie ?movie .\\n}\\n```', type='text')], model='claude-sonnet-4-5-20250929', role='assistant', stop_reason='end_turn', stop_sequence=None, type='message', usage=Usage(cache_creation_input_tokens=0, cache_read_input_tokens=0, input_tokens=136886, output_tokens=99,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</si>
  <si>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?character ?movie
WHERE {
  ?character ns1:movie ?movie .
}</t>
  </si>
  <si>
    <t>{
  "cq_text": "What are all the character\u2013movie appearance pairs (which characters appear in which movies) available?",
  "syntax_ok": true,
  "satisfiable": true,
  "deterministic": true,
  "latency": {
    "p50_ms": 196.77,
    "p95_ms": 200.55,
    "mean_ms": 197.72
  },
  "rows": 7223,
  "vars": 2,
  "always_unbound_vars": [],
  "lexical_query_overlap": 0.13,
  "semantic_similarity_to_CQ": 0.66,
  "semantic_soft_coverage_to_CQ": 0.77,
  "tuple_cohesion": 0.76,
  "variables": [
    {
      "var": "character",
      "rows": 7223,
      "distinct": 4669,
      "null_rate": 0.0,
      "label_resolution_rate": 1.0,
      "diversity_entropy_norm": 0.97,
      "semantic_cohesion": 0.66,
      "dup_ratio": 0.35,
      "bound_rate": 1.0
    },
    {
      "var": "movie",
      "rows": 7223,
      "distinct": 78,
      "null_rate": 0.0,
      "label_resolution_rate": 1.0,
      "diversity_entropy_norm": 0.67,
      "semantic_cohesion": 0.48,
      "dup_ratio": 0.99,
      "bound_rate": 1.0
    }
  ]
}</t>
  </si>
  <si>
    <t>[{"var": "character", "rows": 7223, "distinct": 4669, "null_rate": 0.0, "label_resolution_rate": 1.0, "diversity_entropy_norm": 0.97, "semantic_cohesion": 0.66, "dup_ratio": 0.35, "bound_rate": 1.0}, {"var": "movie", "rows": 7223, "distinct": 78, "null_rate": 0.0, "label_resolution_rate": 1.0, "diversity_entropy_norm": 0.67, "semantic_cohesion": 0.48, "dup_ratio": 0.99, "bound_rate": 1.0}]</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</si>
  <si>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</si>
  <si>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```sparql
PREFIX ns1: &lt;http://dbkwik.webdatacommons.org/marvelcinematicuniverse.wikia.com/property/&gt;
SELECT ?actor ?character
WHERE {
  ?character ns1:actor ?actor .
}
```</t>
  </si>
  <si>
    <t>"MessageBatchIndividualResponse(custom_id='cq-13', result=MessageBatchSucceededResult(message=Message(id='msg_016B2eu6TgPuLWKadXTUnrqa', content=[TextBlock(citations=None, text='```sparql\\nPREFIX ns1: &lt;http://dbkwik.webdatacommons.org/marvelcinematicuniverse.wikia.com/property/&gt;\\n\\nSELECT ?actor ?character\\nWHERE {\\n  ?character ns1:actor ?actor .\\n}\\n```', type='text')], model='claude-sonnet-4-5-20250929', role='assistant', stop_reason='end_turn', stop_sequence=None, type='message', usage=Usage(cache_creation_input_tokens=0, cache_read_input_tokens=0, input_tokens=136885, output_tokens=67,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</si>
  <si>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?actor ?character
WHERE {
  ?character ns1:actor ?actor .
}</t>
  </si>
  <si>
    <t>{
  "cq_text": "What are all the actor\u2013character pairs (which actors portray which characters) available?",
  "syntax_ok": true,
  "satisfiable": true,
  "deterministic": true,
  "latency": {
    "p50_ms": 65.74,
    "p95_ms": 75.6,
    "mean_ms": 66.2
  },
  "rows": 1868,
  "vars": 2,
  "always_unbound_vars": [],
  "lexical_query_overlap": 0.15,
  "semantic_similarity_to_CQ": 0.72,
  "semantic_soft_coverage_to_CQ": 0.76,
  "tuple_cohesion": 0.58,
  "variables": [
    {
      "var": "actor",
      "rows": 1868,
      "distinct": 1773,
      "null_rate": 0.0,
      "label_resolution_rate": 1.0,
      "diversity_entropy_norm": 1.0,
      "semantic_cohesion": 0.63,
      "dup_ratio": 0.05,
      "bound_rate": 1.0
    },
    {
      "var": "character",
      "rows": 1868,
      "distinct": 1599,
      "null_rate": 0.0,
      "label_resolution_rate": 1.0,
      "diversity_entropy_norm": 0.99,
      "semantic_cohesion": 0.63,
      "dup_ratio": 0.14,
      "bound_rate": 1.0
    }
  ]
}</t>
  </si>
  <si>
    <t>[{"var": "actor", "rows": 1868, "distinct": 1773, "null_rate": 0.0, "label_resolution_rate": 1.0, "diversity_entropy_norm": 1.0, "semantic_cohesion": 0.63, "dup_ratio": 0.05, "bound_rate": 1.0}, {"var": "character", "rows": 1868, "distinct": 1599, "null_rate": 0.0, "label_resolution_rate": 1.0, "diversity_entropy_norm": 0.99, "semantic_cohesion": 0.63, "dup_ratio": 0.14, "bound_rate": 1.0}]</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</si>
  <si>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</si>
  <si>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```sparql
PREFIX ns1: &lt;http://dbkwik.webdatacommons.org/marvelcinematicuniverse.wikia.com/property/&gt;
PREFIX rdf: &lt;http://www.w3.org/1999/02/22-rdf-syntax-ns#&gt;
SELECT ?character ?team ?movie
WHERE {
  ?character ns1:team ?team .
  ?character ns1:movie ?movie .
}
```</t>
  </si>
  <si>
    <t>"MessageBatchIndividualResponse(custom_id='cq-14', result=MessageBatchSucceededResult(message=Message(id='msg_01WPwj6WQXWmX6dNCZzhC3Ve', content=[TextBlock(citations=None, text='```sparql\\nPREFIX ns1: &lt;http://dbkwik.webdatacommons.org/marvelcinematicuniverse.wikia.com/property/&gt;\\nPREFIX rdf: &lt;http://www.w3.org/1999/02/22-rdf-syntax-ns#&gt;\\n\\nSELECT ?character ?team ?movie\\nWHERE {\\n  ?character ns1:team ?team .\\n  ?character ns1:movie ?movie .\\n}\\n```', type='text')], model='claude-sonnet-4-5-20250929', role='assistant', stop_reason='end_turn', stop_sequence=None, type='message', usage=Usage(cache_creation_input_tokens=0, cache_read_input_tokens=0, input_tokens=136894, output_tokens=110,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</si>
  <si>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?character ?team ?movie
WHERE {
  ?character ns1:team ?team .
  ?character ns1:movie ?movie .
}</t>
  </si>
  <si>
    <t>{
  "cq_text": "What are all the character\u2013team\u2013movie triples available where a character is a member of a team and appears in a movie?",
  "syntax_ok": true,
  "satisfiable": true,
  "deterministic": true,
  "latency": {
    "p50_ms": 9.1,
    "p95_ms": 14.98,
    "mean_ms": 10.79
  },
  "rows": 4,
  "vars": 3,
  "always_unbound_vars": [],
  "lexical_query_overlap": 0.16,
  "semantic_similarity_to_CQ": 0.72,
  "semantic_soft_coverage_to_CQ": 0.81,
  "tuple_cohesion": 0.92,
  "variables": [
    {
      "var": "character",
      "rows": 4,
      "distinct": 1,
      "null_rate": 0.0,
      "label_resolution_rate": 1.0,
      "diversity_entropy_norm": -1.0,
      "semantic_cohesion": 1.0,
      "dup_ratio": 0.75,
      "bound_rate": 1.0
    },
    {
      "var": "team",
      "rows": 4,
      "distinct": 1,
      "null_rate": 0.0,
      "label_resolution_rate": 1.0,
      "diversity_entropy_norm": -1.0,
      "semantic_cohesion": 1.0,
      "dup_ratio": 0.75,
      "bound_rate": 1.0
    },
    {
      "var": "movie",
      "rows": 4,
      "distinct": 4,
      "null_rate": 0.0,
      "label_resolution_rate": 1.0,
      "diversity_entropy_norm": 1.0,
      "semantic_cohesion": 0.47,
      "dup_ratio": 0.0,
      "bound_rate": 1.0
    }
  ]
}</t>
  </si>
  <si>
    <t>[{"var": "character", "rows": 4, "distinct": 1, "null_rate": 0.0, "label_resolution_rate": 1.0, "diversity_entropy_norm": -1.0, "semantic_cohesion": 1.0, "dup_ratio": 0.75, "bound_rate": 1.0}, {"var": "team", "rows": 4, "distinct": 1, "null_rate": 0.0, "label_resolution_rate": 1.0, "diversity_entropy_norm": -1.0, "semantic_cohesion": 1.0, "dup_ratio": 0.75, "bound_rate": 1.0}, {"var": "movie", "rows": 4, "distinct": 4, "null_rate": 0.0, "label_resolution_rate": 1.0, "diversity_entropy_norm": 1.0, "semantic_cohesion": 0.47, "dup_ratio": 0.0, "bound_rate": 1.0}]</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</si>
  <si>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</si>
  <si>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```sparql
PREFIX ns1: &lt;http://dbkwik.webdatacommons.org/marvelcinematicuniverse.wikia.com/property/&gt;
PREFIX rdfs: &lt;http://www.w3.org/2000/01/rdf-schema#&gt;
SELECT DISTINCT ?character ?power ?movie
WHERE {
  ?character a &lt;http://dbkwik.webdatacommons.org/marvelcinematicuniverse.wikia.com/class/character&gt; .
  ?character ?powerProperty ?power .
  ?character ns1:movie ?movie .
  FILTER(?powerProperty IN (ns1:alias, ns1:realName) || 
         CONTAINS(STR(?powerProperty), "power") || 
         CONTAINS(STR(?powerProperty), "ability"))
}
```</t>
  </si>
  <si>
    <t>"MessageBatchIndividualResponse(custom_id='cq-15', result=MessageBatchSucceededResult(message=Message(id='msg_01XvJPxWkE7f8iqE3JNnznkN', content=[TextBlock(citations=None, text='```sparql\\nPREFIX ns1: &lt;http://dbkwik.webdatacommons.org/marvelcinematicuniverse.wikia.com/property/&gt;\\nPREFIX rdfs: &lt;http://www.w3.org/2000/01/rdf-schema#&gt;\\n\\nSELECT DISTINCT ?character ?power ?movie\\nWHERE {\\n  ?character a &lt;http://dbkwik.webdatacommons.org/marvelcinematicuniverse.wikia.com/class/character&gt; .\\n  ?character ?powerProperty ?power .\\n  ?character ns1:movie ?movie .\\n  \\n  FILTER(?powerProperty IN (ns1:alias, ns1:realName) || \\n         CONTAINS(STR(?powerProperty), \"power\") || \\n         CONTAINS(STR(?powerProperty), \"ability\"))\\n}\\n```', type='text')], model='claude-sonnet-4-5-20250929', role='assistant', stop_reason='end_turn', stop_sequence=None, type='message', usage=Usage(cache_creation_input_tokens=0, cache_read_input_tokens=0, input_tokens=136893, output_tokens=201,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</si>
  <si>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?character ?power ?movie
WHERE {
  ?character a &lt;http://dbkwik.webdatacommons.org/marvelcinematicuniverse.wikia.com/class/character&gt; .
  ?character ?powerProperty ?power .
  ?character ns1:movie ?movie .
  FILTER(?powerProperty IN (ns1:alias, ns1:realName) || 
         CONTAINS(STR(?powerProperty), "power") || 
         CONTAINS(STR(?powerProperty), "ability"))
}</t>
  </si>
  <si>
    <t>{
  "cq_text": "What are all the character\u2013power\u2013movie triples available with respect to characters with specific powers and the movies they appear in?",
  "syntax_ok": true,
  "satisfiable": true,
  "deterministic": true,
  "latency": {
    "p50_ms": 406.0,
    "p95_ms": 420.68,
    "mean_ms": 410.16
  },
  "rows": 5455,
  "vars": 3,
  "always_unbound_vars": [],
  "lexical_query_overlap": 0.07,
  "semantic_similarity_to_CQ": 0.65,
  "semantic_soft_coverage_to_CQ": 0.77,
  "tuple_cohesion": 0.89,
  "variables": [
    {
      "var": "character",
      "rows": 5455,
      "distinct": 442,
      "null_rate": 0.0,
      "label_resolution_rate": 1.0,
      "diversity_entropy_norm": 0.64,
      "semantic_cohesion": 0.55,
      "dup_ratio": 0.92,
      "bound_rate": 1.0
    },
    {
      "var": "power",
      "rows": 5455,
      "distinct": 1167,
      "null_rate": 0.0,
      "label_resolution_rate": 1.0,
      "diversity_entropy_norm": 0.94,
      "semantic_cohesion": 0.63,
      "dup_ratio": 0.79,
      "bound_rate": 1.0
    },
    {
      "var": "movie",
      "rows": 5455,
      "distinct": 26,
      "null_rate": 0.0,
      "label_resolution_rate": 1.0,
      "diversity_entropy_norm": 0.87,
      "semantic_cohesion": 0.56,
      "dup_ratio": 1.0,
      "bound_rate": 1.0
    }
  ]
}</t>
  </si>
  <si>
    <t>[{"var": "character", "rows": 5455, "distinct": 442, "null_rate": 0.0, "label_resolution_rate": 1.0, "diversity_entropy_norm": 0.64, "semantic_cohesion": 0.55, "dup_ratio": 0.92, "bound_rate": 1.0}, {"var": "power", "rows": 5455, "distinct": 1167, "null_rate": 0.0, "label_resolution_rate": 1.0, "diversity_entropy_norm": 0.94, "semantic_cohesion": 0.63, "dup_ratio": 0.79, "bound_rate": 1.0}, {"var": "movie", "rows": 5455, "distinct": 26, "null_rate": 0.0, "label_resolution_rate": 1.0, "diversity_entropy_norm": 0.87, "semantic_cohesion": 0.56, "dup_ratio": 1.0, "bound_rate": 1.0}]</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</si>
  <si>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</si>
  <si>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```sparql
PREFIX ns1: &lt;http://dbkwik.webdatacommons.org/marvelcinematicuniverse.wikia.com/property/&gt;
PREFIX rdf: &lt;http://www.w3.org/1999/02/22-rdf-syntax-ns#&gt;
SELECT DISTINCT ?character1 ?character2 (COUNT(DISTINCT ?movie) AS ?movieCount)
WHERE {
  ?character1 ns1:movie ?movie .
  ?character2 ns1:movie ?movie .
  FILTER(?character1 != ?character2)
  FILTER(STR(?character1) &lt; STR(?character2))
}
GROUP BY ?character1 ?character2
HAVING (COUNT(DISTINCT ?movie) &gt;= 2)
ORDER BY DESC(?movieCount)
```</t>
  </si>
  <si>
    <t>"MessageBatchIndividualResponse(custom_id='cq-16', result=MessageBatchSucceededResult(message=Message(id='msg_01WiXw2G9pEKH9HxedS8DcG6', content=[TextBlock(citations=None, text='```sparql\\nPREFIX ns1: &lt;http://dbkwik.webdatacommons.org/marvelcinematicuniverse.wikia.com/property/&gt;\\nPREFIX rdf: &lt;http://www.w3.org/1999/02/22-rdf-syntax-ns#&gt;\\n\\nSELECT DISTINCT ?character1 ?character2 (COUNT(DISTINCT ?movie) AS ?movieCount)\\nWHERE {\\n  ?character1 ns1:movie ?movie .\\n  ?character2 ns1:movie ?movie .\\n  FILTER(?character1 != ?character2)\\n  FILTER(STR(?character1) &lt; STR(?character2))\\n}\\nGROUP BY ?character1 ?character2\\nHAVING (COUNT(DISTINCT ?movie) &gt;= 2)\\nORDER BY DESC(?movieCount)\\n```', type='text')], model='claude-sonnet-4-5-20250929', role='assistant', stop_reason='end_turn', stop_sequence=None, type='message', usage=Usage(cache_creation_input_tokens=0, cache_read_input_tokens=0, input_tokens=136889, output_tokens=195,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</si>
  <si>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?character1 ?character2 (COUNT(DISTINCT ?movie) AS ?movieCount)
WHERE {
  ?character1 ns1:movie ?movie .
  ?character2 ns1:movie ?movie .
  FILTER(?character1 != ?character2)
  FILTER(STR(?character1) &lt; STR(?character2))
}
GROUP BY ?character1 ?character2
HAVING (COUNT(DISTINCT ?movie) &gt;= 2)
ORDER BY DESC(?movieCount)</t>
  </si>
  <si>
    <t>{
  "cq_text": "What are all the pairs of characters that are linked through movies and co-appear in at least two movies?",
  "syntax_ok": true,
  "satisfiable": true,
  "deterministic": true,
  "latency": {
    "p50_ms": 9974.98,
    "p95_ms": 9989.44,
    "mean_ms": 9945.43
  },
  "rows": 64310,
  "vars": 4,
  "always_unbound_vars": [
    "movie"
  ],
  "lexical_query_overlap": 0.0,
  "semantic_similarity_to_CQ": 0.75,
  "semantic_soft_coverage_to_CQ": 0.71,
  "tuple_cohesion": 0.92,
  "variables": [
    {
      "var": "character1",
      "rows": 64310,
      "distinct": 1000,
      "null_rate": 0.0,
      "label_resolution_rate": 1.0,
      "diversity_entropy_norm": 0.92,
      "semantic_cohesion": 0.59,
      "dup_ratio": 0.98,
      "bound_rate": 1.0
    },
    {
      "var": "character2",
      "rows": 64310,
      "distinct": 988,
      "null_rate": 0.0,
      "label_resolution_rate": 1.0,
      "diversity_entropy_norm": 0.91,
      "semantic_cohesion": 0.59,
      "dup_ratio": 0.98,
      "bound_rate": 1.0
    },
    {
      "var": "movie",
      "rows": 64310,
      "distinct": 0,
      "null_rate": 1.0,
      "label_resolution_rate": 0.0,
      "diversity_entropy_norm": 0.0,
      "semantic_cohesion": 1.0,
      "dup_ratio": 0.0,
      "bound_rate": 0.0
    },
    {
      "var": "movieCount",
      "rows": 64310,
      "distinct": 20,
      "null_rate": 0.0,
      "label_resolution_rate": 1.0,
      "diversity_entropy_norm": 0.3,
      "semantic_cohesion": 0.96,
      "dup_ratio": 1.0,
      "bound_rate": 1.0
    }
  ]
}</t>
  </si>
  <si>
    <t>[{"var": "character1", "rows": 64310, "distinct": 1000, "null_rate": 0.0, "label_resolution_rate": 1.0, "diversity_entropy_norm": 0.92, "semantic_cohesion": 0.59, "dup_ratio": 0.98, "bound_rate": 1.0}, {"var": "character2", "rows": 64310, "distinct": 988, "null_rate": 0.0, "label_resolution_rate": 1.0, "diversity_entropy_norm": 0.91, "semantic_cohesion": 0.59, "dup_ratio": 0.98, "bound_rate": 1.0}, {"var": "movie", "rows": 64310, "distinct": 0, "null_rate": 1.0, "label_resolution_rate": 0.0, "diversity_entropy_norm": 0.0, "semantic_cohesion": 1.0, "dup_ratio": 0.0, "bound_rate": 0.0}, {"var": "movieCount", "rows": 64310, "distinct": 20, "null_rate": 0.0, "label_resolution_rate": 1.0, "diversity_entropy_norm": 0.3, "semantic_cohesion": 0.96, "dup_ratio": 1.0, "bound_rate": 1.0}]</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</si>
  <si>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</si>
  <si>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```sparql
PREFIX ns1: &lt;http://dbkwik.webdatacommons.org/marvelcinematicuniverse.wikia.com/property/&gt;
PREFIX rdf: &lt;http://www.w3.org/1999/02/22-rdf-syntax-ns#&gt;
SELECT ?team ?member
WHERE {
  ?team a &lt;http://dbkwik.webdatacommons.org/marvelcinematicuniverse.wikia.com/class/organization&gt; .
  ?team ns1:members ?member .
}
```</t>
  </si>
  <si>
    <t>"MessageBatchIndividualResponse(custom_id='cq-17', result=MessageBatchSucceededResult(message=Message(id='msg_011YZtFGxS7Agb3qG3vdGaWX', content=[TextBlock(citations=None, text='```sparql\\nPREFIX ns1: &lt;http://dbkwik.webdatacommons.org/marvelcinematicuniverse.wikia.com/property/&gt;\\nPREFIX rdf: &lt;http://www.w3.org/1999/02/22-rdf-syntax-ns#&gt;\\n\\nSELECT ?team ?member\\nWHERE {\\n  ?team a &lt;http://dbkwik.webdatacommons.org/marvelcinematicuniverse.wikia.com/class/organization&gt; .\\n  ?team ns1:members ?member .\\n}\\n```', type='text')], model='claude-sonnet-4-5-20250929', role='assistant', stop_reason='end_turn', stop_sequence=None, type='message', usage=Usage(cache_creation_input_tokens=0, cache_read_input_tokens=0, input_tokens=136882, output_tokens=137,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</si>
  <si>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?team ?member
WHERE {
  ?team a &lt;http://dbkwik.webdatacommons.org/marvelcinematicuniverse.wikia.com/class/organization&gt; .
  ?team ns1:members ?member .
}</t>
  </si>
  <si>
    <t>{
  "cq_text": "What are all the teams and the set of members for each team available?",
  "syntax_ok": true,
  "satisfiable": true,
  "deterministic": true,
  "latency": {
    "p50_ms": 27.73,
    "p95_ms": 39.81,
    "mean_ms": 30.33
  },
  "rows": 381,
  "vars": 2,
  "always_unbound_vars": [],
  "lexical_query_overlap": 0.05,
  "semantic_similarity_to_CQ": 0.77,
  "semantic_soft_coverage_to_CQ": 0.76,
  "tuple_cohesion": 0.66,
  "variables": [
    {
      "var": "team",
      "rows": 381,
      "distinct": 122,
      "null_rate": 0.0,
      "label_resolution_rate": 1.0,
      "diversity_entropy_norm": 0.95,
      "semantic_cohesion": 0.54,
      "dup_ratio": 0.68,
      "bound_rate": 1.0
    },
    {
      "var": "member",
      "rows": 381,
      "distinct": 342,
      "null_rate": 0.0,
      "label_resolution_rate": 1.0,
      "diversity_entropy_norm": 0.99,
      "semantic_cohesion": 0.54,
      "dup_ratio": 0.1,
      "bound_rate": 1.0
    }
  ]
}</t>
  </si>
  <si>
    <t>[{"var": "team", "rows": 381, "distinct": 122, "null_rate": 0.0, "label_resolution_rate": 1.0, "diversity_entropy_norm": 0.95, "semantic_cohesion": 0.54, "dup_ratio": 0.68, "bound_rate": 1.0}, {"var": "member", "rows": 381, "distinct": 342, "null_rate": 0.0, "label_resolution_rate": 1.0, "diversity_entropy_norm": 0.99, "semantic_cohesion": 0.54, "dup_ratio": 0.1, "bound_rate": 1.0}]</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</si>
  <si>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</si>
  <si>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```sparql
PREFIX ns1: &lt;http://dbkwik.webdatacommons.org/marvelcinematicuniverse.wikia.com/property/&gt;
PREFIX rdf: &lt;http://www.w3.org/1999/02/22-rdf-syntax-ns#&gt;
SELECT DISTINCT ?movie ?team
WHERE {
  ?movie rdf:type &lt;http://dbkwik.webdatacommons.org/marvelcinematicuniverse.wikia.com/class/movie&gt; .
  ?member ns1:team ?team .
  ?member ns1:movie ?movie .
}
```</t>
  </si>
  <si>
    <t>"MessageBatchIndividualResponse(custom_id='cq-18', result=MessageBatchSucceededResult(message=Message(id='msg_01TACK8nrQy3tcRba1GV8ZsP', content=[TextBlock(citations=None, text='```sparql\\nPREFIX ns1: &lt;http://dbkwik.webdatacommons.org/marvelcinematicuniverse.wikia.com/property/&gt;\\nPREFIX rdf: &lt;http://www.w3.org/1999/02/22-rdf-syntax-ns#&gt;\\n\\nSELECT DISTINCT ?movie ?team\\nWHERE {\\n  ?movie rdf:type &lt;http://dbkwik.webdatacommons.org/marvelcinematicuniverse.wikia.com/class/movie&gt; .\\n  ?member ns1:team ?team .\\n  ?member ns1:movie ?movie .\\n}\\n```', type='text')], model='claude-sonnet-4-5-20250929', role='assistant', stop_reason='end_turn', stop_sequence=None, type='message', usage=Usage(cache_creation_input_tokens=0, cache_read_input_tokens=0, input_tokens=136887, output_tokens=153,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</si>
  <si>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?movie ?team
WHERE {
  ?movie rdf:type &lt;http://dbkwik.webdatacommons.org/marvelcinematicuniverse.wikia.com/class/movie&gt; .
  ?member ns1:team ?team .
  ?member ns1:movie ?movie .
}</t>
  </si>
  <si>
    <t>{
  "cq_text": "What are all the movies and the set of teams that have at least one member appearing in them?",
  "syntax_ok": true,
  "satisfiable": true,
  "deterministic": true,
  "latency": {
    "p50_ms": 47.53,
    "p95_ms": 47.79,
    "mean_ms": 46.44
  },
  "rows": 4,
  "vars": 2,
  "always_unbound_vars": [],
  "lexical_query_overlap": 0.04,
  "semantic_similarity_to_CQ": 0.74,
  "semantic_soft_coverage_to_CQ": 0.74,
  "tuple_cohesion": 0.74,
  "variables": [
    {
      "var": "movie",
      "rows": 4,
      "distinct": 4,
      "null_rate": 0.0,
      "label_resolution_rate": 1.0,
      "diversity_entropy_norm": 1.0,
      "semantic_cohesion": 0.31,
      "dup_ratio": 0.0,
      "bound_rate": 1.0
    },
    {
      "var": "team",
      "rows": 4,
      "distinct": 1,
      "null_rate": 0.0,
      "label_resolution_rate": 1.0,
      "diversity_entropy_norm": -1.0,
      "semantic_cohesion": 1.0,
      "dup_ratio": 0.75,
      "bound_rate": 1.0
    }
  ]
}</t>
  </si>
  <si>
    <t>[{"var": "movie", "rows": 4, "distinct": 4, "null_rate": 0.0, "label_resolution_rate": 1.0, "diversity_entropy_norm": 1.0, "semantic_cohesion": 0.31, "dup_ratio": 0.0, "bound_rate": 1.0}, {"var": "team", "rows": 4, "distinct": 1, "null_rate": 0.0, "label_resolution_rate": 1.0, "diversity_entropy_norm": -1.0, "semantic_cohesion": 1.0, "dup_ratio": 0.75, "bound_rate": 1.0}]</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</si>
  <si>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</si>
  <si>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```sparql
PREFIX ns1: &lt;http://dbkwik.webdatacommons.org/marvelcinematicuniverse.wikia.com/property/&gt;
PREFIX rdf: &lt;http://www.w3.org/1999/02/22-rdf-syntax-ns#&gt;
SELECT DISTINCT ?location
WHERE {
  {
    ?character ns1:location ?location .
    ?character rdf:type &lt;http://dbkwik.webdatacommons.org/marvelcinematicuniverse.wikia.com/class/character&gt; .
  }
  UNION
  {
    ?character ns1:locations ?location .
    ?character rdf:type &lt;http://dbkwik.webdatacommons.org/marvelcinematicuniverse.wikia.com/class/character&gt; .
  }
  UNION
  {
    ?character ns1:homeplanet ?location .
    ?character rdf:type &lt;http://dbkwik.webdatacommons.org/marvelcinematicuniverse.wikia.com/class/character&gt; .
  }
  UNION
  {
    ?character ns1:citizenship ?location .
    ?character rdf:type &lt;http://dbkwik.webdatacommons.org/marvelcinematicuniverse.wikia.com/class/character&gt; .
  }
}
```</t>
  </si>
  <si>
    <t>"MessageBatchIndividualResponse(custom_id='cq-19', result=MessageBatchSucceededResult(message=Message(id='msg_01S82hw48tKx9C3Tbr5bKXA5', content=[TextBlock(citations=None, text='```sparql\\nPREFIX ns1: &lt;http://dbkwik.webdatacommons.org/marvelcinematicuniverse.wikia.com/property/&gt;\\nPREFIX rdf: &lt;http://www.w3.org/1999/02/22-rdf-syntax-ns#&gt;\\n\\nSELECT DISTINCT ?location\\nWHERE {\\n  {\\n    ?character ns1:location ?location .\\n    ?character rdf:type &lt;http://dbkwik.webdatacommons.org/marvelcinematicuniverse.wikia.com/class/character&gt; .\\n  }\\n  UNION\\n  {\\n    ?character ns1:locations ?location .\\n    ?character rdf:type &lt;http://dbkwik.webdatacommons.org/marvelcinematicuniverse.wikia.com/class/character&gt; .\\n  }\\n  UNION\\n  {\\n    ?character ns1:homeplanet ?location .\\n    ?character rdf:type &lt;http://dbkwik.webdatacommons.org/marvelcinematicuniverse.wikia.com/class/character&gt; .\\n  }\\n  UNION\\n  {\\n    ?character ns1:citizenship ?location .\\n    ?character rdf:type &lt;http://dbkwik.webdatacommons.org/marvelcinematicuniverse.wikia.com/class/character&gt; .\\n  }\\n}\\n```', type='text')], model='claude-sonnet-4-5-20250929', role='assistant', stop_reason='end_turn', stop_sequence=None, type='message', usage=Usage(cache_creation_input_tokens=0, cache_read_input_tokens=0, input_tokens=136890, output_tokens=340,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</si>
  <si>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?location
WHERE {
  {
    ?character ns1:location ?location .
    ?character rdf:type &lt;http://dbkwik.webdatacommons.org/marvelcinematicuniverse.wikia.com/class/character&gt; .
  }
  UNION
  {
    ?character ns1:locations ?location .
    ?character rdf:type &lt;http://dbkwik.webdatacommons.org/marvelcinematicuniverse.wikia.com/class/character&gt; .
  }
  UNION
  {
    ?character ns1:homeplanet ?location .
    ?character rdf:type &lt;http://dbkwik.webdatacommons.org/marvelcinematicuniverse.wikia.com/class/character&gt; .
  }
  UNION
  {
    ?character ns1:citizenship ?location .
    ?character rdf:type &lt;http://dbkwik.webdatacommons.org/marvelcinematicuniverse.wikia.com/class/character&gt; .
  }
}</t>
  </si>
  <si>
    <t>{
  "cq_text": "What are all locations that are associated with at least one character appearance (e.g., origin or major setting)?",
  "syntax_ok": true,
  "satisfiable": true,
  "deterministic": true,
  "latency": {
    "p50_ms": 58.84,
    "p95_ms": 74.84,
    "mean_ms": 63.55
  },
  "rows": 13,
  "vars": 1,
  "always_unbound_vars": [],
  "lexical_query_overlap": 0.03,
  "semantic_similarity_to_CQ": 0.66,
  "semantic_soft_coverage_to_CQ": 0.73,
  "tuple_cohesion": 0.47,
  "variables": [
    {
      "var": "location",
      "rows": 13,
      "distinct": 11,
      "null_rate": 0.0,
      "label_resolution_rate": 1.0,
      "diversity_entropy_norm": 0.98,
      "semantic_cohesion": 0.47,
      "dup_ratio": 0.15,
      "bound_rate": 1.0
    }
  ]
}</t>
  </si>
  <si>
    <t>[{"var": "location", "rows": 13, "distinct": 11, "null_rate": 0.0, "label_resolution_rate": 1.0, "diversity_entropy_norm": 0.98, "semantic_cohesion": 0.47, "dup_ratio": 0.15, "bound_rate": 1.0}]</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</si>
  <si>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</si>
  <si>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```sparql
PREFIX ns1: &lt;http://dbkwik.webdatacommons.org/marvelcinematicuniverse.wikia.com/property/&gt;
SELECT DISTINCT ?director ?actor
WHERE {
  ?movie ns1:director ?director ;
         ns1:actor ?actor .
}
```</t>
  </si>
  <si>
    <t>"MessageBatchIndividualResponse(custom_id='cq-20', result=MessageBatchSucceededResult(message=Message(id='msg_01356HHfiPd54GUtWqESBtb3', content=[TextBlock(citations=None, text='```sparql\\nPREFIX ns1: &lt;http://dbkwik.webdatacommons.org/marvelcinematicuniverse.wikia.com/property/&gt;\\n\\nSELECT DISTINCT ?director ?actor\\nWHERE {\\n  ?movie ns1:director ?director ;\\n         ns1:actor ?actor .\\n}\\n```', type='text')], model='claude-sonnet-4-5-20250929', role='assistant', stop_reason='end_turn', stop_sequence=None, type='message', usage=Usage(cache_creation_input_tokens=0, cache_read_input_tokens=0, input_tokens=136880, output_tokens=78,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</si>
  <si>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DISTINCT ?director ?actor
WHERE {
  ?movie ns1:director ?director ;
         ns1:actor ?actor .
}</t>
  </si>
  <si>
    <t>{
  "cq_text": "What are all the director\u2013actor pairs linked through movies available?",
  "syntax_ok": true,
  "satisfiable": false,
  "deterministic": true,
  "latency": {
    "p50_ms": 17.46,
    "p95_ms": 21.4,
    "mean_ms": 18.46
  },
  "rows": 0,
  "vars": 2,
  "always_unbound_vars": [
    "director",
    "actor"
  ],
  "lexical_query_overlap": 0.14,
  "semantic_similarity_to_CQ": 0.75,
  "semantic_soft_coverage_to_CQ": 0.75,
  "tuple_cohesion": null,
  "variables": [
    {
      "var": "director",
      "rows": 0,
      "distinct": 0,
      "null_rate": 1.0,
      "label_resolution_rate": 0.0,
      "diversity_entropy_norm": 0.0,
      "semantic_cohesion": 1.0,
      "dup_ratio": 0.0,
      "bound_rate": 0.0
    },
    {
      "var": "actor",
      "rows": 0,
      "distinct": 0,
      "null_rate": 1.0,
      "label_resolution_rate": 0.0,
      "diversity_entropy_norm": 0.0,
      "semantic_cohesion": 1.0,
      "dup_ratio": 0.0,
      "bound_rate": 0.0
    }
  ]
}</t>
  </si>
  <si>
    <t>["director", "actor"]</t>
  </si>
  <si>
    <t>[{"var": "director", "rows": 0, "distinct": 0, "null_rate": 1.0, "label_resolution_rate": 0.0, "diversity_entropy_norm": 0.0, "semantic_cohesion": 1.0, "dup_ratio": 0.0, "bound_rate": 0.0}, {"var": "actor", "rows": 0, "distinct": 0, "null_rate": 1.0, "label_resolution_rate": 0.0, "diversity_entropy_norm": 0.0, "semantic_cohesion": 1.0, "dup_ratio": 0.0, "bound_rate": 0.0}]</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</si>
  <si>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</si>
  <si>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```sparql
PREFIX ns1: &lt;http://dbkwik.webdatacommons.org/marvelcinematicuniverse.wikia.com/property/&gt;
PREFIX rdfs: &lt;http://www.w3.org/2000/01/rdf-schema#&gt;
SELECT DISTINCT ?power (GROUP_CONCAT(DISTINCT ?characterLabel; SEPARATOR=", ") AS ?characters)
WHERE {
  ?character a &lt;http://dbkwik.webdatacommons.org/marvelcinematicuniverse.wikia.com/class/character&gt; .
  ?character ns1:power ?power .
  ?character rdfs:label ?characterLabel .
}
GROUP BY ?power
ORDER BY ?power
```</t>
  </si>
  <si>
    <t>"MessageBatchIndividualResponse(custom_id='cq-21', result=MessageBatchSucceededResult(message=Message(id='msg_01WUjWuoP4ePi6RAfTcmUJRc', content=[TextBlock(citations=None, text='```sparql\\nPREFIX ns1: &lt;http://dbkwik.webdatacommons.org/marvelcinematicuniverse.wikia.com/property/&gt;\\nPREFIX rdfs: &lt;http://www.w3.org/2000/01/rdf-schema#&gt;\\n\\nSELECT DISTINCT ?power (GROUP_CONCAT(DISTINCT ?characterLabel; SEPARATOR=\", \") AS ?characters)\\nWHERE {\\n  ?character a &lt;http://dbkwik.webdatacommons.org/marvelcinematicuniverse.wikia.com/class/character&gt; .\\n  ?character ns1:power ?power .\\n  ?character rdfs:label ?characterLabel .\\n}\\nGROUP BY ?power\\nORDER BY ?power\\n```', type='text')], model='claude-sonnet-4-5-20250929', role='assistant', stop_reason='end_turn', stop_sequence=None, type='message', usage=Usage(cache_creation_input_tokens=0, cache_read_input_tokens=0, input_tokens=136884, output_tokens=177,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</si>
  <si>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?power (GROUP_CONCAT(DISTINCT ?characterLabel; SEPARATOR=", ") AS ?characters)
WHERE {
  ?character a &lt;http://dbkwik.webdatacommons.org/marvelcinematicuniverse.wikia.com/class/character&gt; .
  ?character ns1:power ?power .
  ?character rdfs:label ?characterLabel .
}
GROUP BY ?power
ORDER BY ?power</t>
  </si>
  <si>
    <t>{
  "cq_text": "What are all the available distinct powers and the set of characters associated with each power?",
  "syntax_ok": true,
  "satisfiable": false,
  "deterministic": true,
  "latency": {
    "p50_ms": 23.6,
    "p95_ms": 25.17,
    "mean_ms": 21.78
  },
  "rows": 0,
  "vars": 3,
  "always_unbound_vars": [
    "power",
    "characterLabel",
    "characters"
  ],
  "lexical_query_overlap": 0.04,
  "semantic_similarity_to_CQ": 0.7,
  "semantic_soft_coverage_to_CQ": 0.74,
  "tuple_cohesion": null,
  "variables": [
    {
      "var": "power",
      "rows": 0,
      "distinct": 0,
      "null_rate": 1.0,
      "label_resolution_rate": 0.0,
      "diversity_entropy_norm": 0.0,
      "semantic_cohesion": 1.0,
      "dup_ratio": 0.0,
      "bound_rate": 0.0
    },
    {
      "var": "characterLabel",
      "rows": 0,
      "distinct": 0,
      "null_rate": 1.0,
      "label_resolution_rate": 0.0,
      "diversity_entropy_norm": 0.0,
      "semantic_cohesion": 1.0,
      "dup_ratio": 0.0,
      "bound_rate": 0.0
    },
    {
      "var": "characters",
      "rows": 0,
      "distinct": 0,
      "null_rate": 1.0,
      "label_resolution_rate": 0.0,
      "diversity_entropy_norm": 0.0,
      "semantic_cohesion": 1.0,
      "dup_ratio": 0.0,
      "bound_rate": 0.0
    }
  ]
}</t>
  </si>
  <si>
    <t>["power", "characterLabel", "characters"]</t>
  </si>
  <si>
    <t>[{"var": "power", "rows": 0, "distinct": 0, "null_rate": 1.0, "label_resolution_rate": 0.0, "diversity_entropy_norm": 0.0, "semantic_cohesion": 1.0, "dup_ratio": 0.0, "bound_rate": 0.0}, {"var": "characterLabel", "rows": 0, "distinct": 0, "null_rate": 1.0, "label_resolution_rate": 0.0, "diversity_entropy_norm": 0.0, "semantic_cohesion": 1.0, "dup_ratio": 0.0, "bound_rate": 0.0}, {"var": "characters", "rows": 0, "distinct": 0, "null_rate": 1.0, "label_resolution_rate": 0.0, "diversity_entropy_norm": 0.0, "semantic_cohesion": 1.0, "dup_ratio": 0.0, "bound_rate": 0.0}]</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</si>
  <si>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</si>
  <si>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```sparql
PREFIX ns1: &lt;http://dbkwik.webdatacommons.org/marvelcinematicuniverse.wikia.com/property/&gt;
PREFIX rdf: &lt;http://www.w3.org/1999/02/22-rdf-syntax-ns#&gt;
SELECT DISTINCT ?character1 ?character2
WHERE {
  ?character1 ns1:movie ?movie .
  ?character2 ns1:movie ?movie .
  FILTER(?character1 != ?character2)
  FILTER(STR(?character1) &lt; STR(?character2))
}
```</t>
  </si>
  <si>
    <t>"MessageBatchIndividualResponse(custom_id='cq-22', result=MessageBatchSucceededResult(message=Message(id='msg_01BBkYR94TSbevCvxNXKCCQC', content=[TextBlock(citations=None, text='```sparql\\nPREFIX ns1: &lt;http://dbkwik.webdatacommons.org/marvelcinematicuniverse.wikia.com/property/&gt;\\nPREFIX rdf: &lt;http://www.w3.org/1999/02/22-rdf-syntax-ns#&gt;\\n\\nSELECT DISTINCT ?character1 ?character2\\nWHERE {\\n  ?character1 ns1:movie ?movie .\\n  ?character2 ns1:movie ?movie .\\n  FILTER(?character1 != ?character2)\\n  FILTER(STR(?character1) &lt; STR(?character2))\\n}\\n```', type='text')], model='claude-sonnet-4-5-20250929', role='assistant', stop_reason='end_turn', stop_sequence=None, type='message', usage=Usage(cache_creation_input_tokens=0, cache_read_input_tokens=0, input_tokens=136884, output_tokens=148,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</si>
  <si>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?character1 ?character2
WHERE {
  ?character1 ns1:movie ?movie .
  ?character2 ns1:movie ?movie .
  FILTER(?character1 != ?character2)
  FILTER(STR(?character1) &lt; STR(?character2))
}</t>
  </si>
  <si>
    <t>ERROR: Unable to allocate 4.49 TiB for an array with shape (1111055, 1111055) and data type float32</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</si>
  <si>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</si>
  <si>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```sparql
PREFIX ns1: &lt;http://dbkwik.webdatacommons.org/marvelcinematicuniverse.wikia.com/property/&gt;
PREFIX rdf: &lt;http://www.w3.org/1999/02/22-rdf-syntax-ns#&gt;
SELECT ?character (COUNT(DISTINCT ?movie) AS ?movieCount)
WHERE {
  ?character a &lt;http://dbkwik.webdatacommons.org/marvelcinematicuniverse.wikia.com/class/character&gt; .
  ?character ns1:movie ?movie .
}
GROUP BY ?character
ORDER BY DESC(?movieCount)
```</t>
  </si>
  <si>
    <t>"MessageBatchIndividualResponse(custom_id='cq-23', result=MessageBatchSucceededResult(message=Message(id='msg_01SxHTUcwxP1yEmLhygYipZM', content=[TextBlock(citations=None, text='```sparql\\nPREFIX ns1: &lt;http://dbkwik.webdatacommons.org/marvelcinematicuniverse.wikia.com/property/&gt;\\nPREFIX rdf: &lt;http://www.w3.org/1999/02/22-rdf-syntax-ns#&gt;\\n\\nSELECT ?character (COUNT(DISTINCT ?movie) AS ?movieCount)\\nWHERE {\\n  ?character a &lt;http://dbkwik.webdatacommons.org/marvelcinematicuniverse.wikia.com/class/character&gt; .\\n  ?character ns1:movie ?movie .\\n}\\nGROUP BY ?character\\nORDER BY DESC(?movieCount)\\n```', type='text')], model='claude-sonnet-4-5-20250929', role='assistant', stop_reason='end_turn', stop_sequence=None, type='message', usage=Usage(cache_creation_input_tokens=0, cache_read_input_tokens=0, input_tokens=136880, output_tokens=161,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</si>
  <si>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?character (COUNT(DISTINCT ?movie) AS ?movieCount)
WHERE {
  ?character a &lt;http://dbkwik.webdatacommons.org/marvelcinematicuniverse.wikia.com/class/character&gt; .
  ?character ns1:movie ?movie .
}
GROUP BY ?character
ORDER BY DESC(?movieCount)</t>
  </si>
  <si>
    <t>{
  "cq_text": "How many movies does each character appear in (character appearance count)?",
  "syntax_ok": true,
  "satisfiable": true,
  "deterministic": true,
  "latency": {
    "p50_ms": 62.12,
    "p95_ms": 76.9,
    "mean_ms": 66.56
  },
  "rows": 531,
  "vars": 3,
  "always_unbound_vars": [
    "movie"
  ],
  "lexical_query_overlap": 0.06,
  "semantic_similarity_to_CQ": 0.69,
  "semantic_soft_coverage_to_CQ": 0.79,
  "tuple_cohesion": 0.86,
  "variables": [
    {
      "var": "character",
      "rows": 531,
      "distinct": 485,
      "null_rate": 0.0,
      "label_resolution_rate": 1.0,
      "diversity_entropy_norm": 0.99,
      "semantic_cohesion": 0.57,
      "dup_ratio": 0.09,
      "bound_rate": 1.0
    },
    {
      "var": "movie",
      "rows": 531,
      "distinct": 0,
      "null_rate": 1.0,
      "label_resolution_rate": 0.0,
      "diversity_entropy_norm": 0.0,
      "semantic_cohesion": 1.0,
      "dup_ratio": 0.0,
      "bound_rate": 0.0
    },
    {
      "var": "movieCount",
      "rows": 531,
      "distinct": 14,
      "null_rate": 0.0,
      "label_resolution_rate": 1.0,
      "diversity_entropy_norm": 0.43,
      "semantic_cohesion": 0.95,
      "dup_ratio": 0.97,
      "bound_rate": 1.0
    }
  ]
}</t>
  </si>
  <si>
    <t>[{"var": "character", "rows": 531, "distinct": 485, "null_rate": 0.0, "label_resolution_rate": 1.0, "diversity_entropy_norm": 0.99, "semantic_cohesion": 0.57, "dup_ratio": 0.09, "bound_rate": 1.0}, {"var": "movie", "rows": 531, "distinct": 0, "null_rate": 1.0, "label_resolution_rate": 0.0, "diversity_entropy_norm": 0.0, "semantic_cohesion": 1.0, "dup_ratio": 0.0, "bound_rate": 0.0}, {"var": "movieCount", "rows": 531, "distinct": 14, "null_rate": 0.0, "label_resolution_rate": 1.0, "diversity_entropy_norm": 0.43, "semantic_cohesion": 0.95, "dup_ratio": 0.97, "bound_rate": 1.0}]</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</si>
  <si>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</si>
  <si>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```sparql
PREFIX ns1: &lt;http://dbkwik.webdatacommons.org/marvelcinematicuniverse.wikia.com/property/&gt;
PREFIX rdfs: &lt;http://www.w3.org/2000/01/rdf-schema#&gt;
SELECT ?character1 ?character2 (GROUP_CONCAT(DISTINCT ?movie; separator=", ") AS ?movies) (COUNT(DISTINCT ?movie) AS ?movieCount)
WHERE {
  ?character1 ns1:movie ?movie .
  ?character2 ns1:movie ?movie .
  FILTER(?character1 != ?character2)
  FILTER(STR(?character1) &lt; STR(?character2))
}
GROUP BY ?character1 ?character2
HAVING (COUNT(DISTINCT ?movie) &gt; 1)
ORDER BY DESC(?movieCount)
```</t>
  </si>
  <si>
    <t>"MessageBatchIndividualResponse(custom_id='cq-24', result=MessageBatchSucceededResult(message=Message(id='msg_015uWiKGUk2Wf4w4RS5DKxhv', content=[TextBlock(citations=None, text='```sparql\\nPREFIX ns1: &lt;http://dbkwik.webdatacommons.org/marvelcinematicuniverse.wikia.com/property/&gt;\\nPREFIX rdfs: &lt;http://www.w3.org/2000/01/rdf-schema#&gt;\\n\\nSELECT ?character1 ?character2 (GROUP_CONCAT(DISTINCT ?movie; separator=\", \") AS ?movies) (COUNT(DISTINCT ?movie) AS ?movieCount)\\nWHERE {\\n  ?character1 ns1:movie ?movie .\\n  ?character2 ns1:movie ?movie .\\n  FILTER(?character1 != ?character2)\\n  FILTER(STR(?character1) &lt; STR(?character2))\\n}\\nGROUP BY ?character1 ?character2\\nHAVING (COUNT(DISTINCT ?movie) &gt; 1)\\nORDER BY DESC(?movieCount)\\n```', type='text')], model='claude-sonnet-4-5-20250929', role='assistant', stop_reason='end_turn', stop_sequence=None, type='message', usage=Usage(cache_creation_input_tokens=0, cache_read_input_tokens=0, input_tokens=136888, output_tokens=209,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</si>
  <si>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?character1 ?character2 (GROUP_CONCAT(DISTINCT ?movie; separator=", ") AS ?movies) (COUNT(DISTINCT ?movie) AS ?movieCount)
WHERE {
  ?character1 ns1:movie ?movie .
  ?character2 ns1:movie ?movie .
  FILTER(?character1 != ?character2)
  FILTER(STR(?character1) &lt; STR(?character2))
}
GROUP BY ?character1 ?character2
HAVING (COUNT(DISTINCT ?movie) &gt; 1)
ORDER BY DESC(?movieCount)</t>
  </si>
  <si>
    <t>ERROR: EndPointInternalError: The endpoint returned the HTTP status code 500. 
Response:
b'Java heap space\n'</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</si>
  <si>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</si>
  <si>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```sparql
PREFIX ns1: &lt;http://dbkwik.webdatacommons.org/marvelcinematicuniverse.wikia.com/property/&gt;
PREFIX rdf: &lt;http://www.w3.org/1999/02/22-rdf-syntax-ns#&gt;
SELECT DISTINCT ?team ?movie
WHERE {
  ?team ns1:members ?member .
  ?member ns1:movie ?movie .
}
```</t>
  </si>
  <si>
    <t>"MessageBatchIndividualResponse(custom_id='cq-25', result=MessageBatchSucceededResult(message=Message(id='msg_01S51eQE8drER7XJeg6Joz5H', content=[TextBlock(citations=None, text='```sparql\\nPREFIX ns1: &lt;http://dbkwik.webdatacommons.org/marvelcinematicuniverse.wikia.com/property/&gt;\\nPREFIX rdf: &lt;http://www.w3.org/1999/02/22-rdf-syntax-ns#&gt;\\n\\nSELECT DISTINCT ?team ?movie\\nWHERE {\\n  ?team ns1:members ?member .\\n  ?member ns1:movie ?movie .\\n}\\n```', type='text')], model='claude-sonnet-4-5-20250929', role='assistant', stop_reason='end_turn', stop_sequence=None, type='message', usage=Usage(cache_creation_input_tokens=0, cache_read_input_tokens=0, input_tokens=136893, output_tokens=110,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</si>
  <si>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?team ?movie
WHERE {
  ?team ns1:members ?member .
  ?member ns1:movie ?movie .
}</t>
  </si>
  <si>
    <t>{
  "cq_text": "What are all the unions of movies for each of the teams in which any of their members appear (team-level filmography)?",
  "syntax_ok": true,
  "satisfiable": true,
  "deterministic": true,
  "latency": {
    "p50_ms": 57.17,
    "p95_ms": 108.65,
    "mean_ms": 71.95
  },
  "rows": 188,
  "vars": 2,
  "always_unbound_vars": [],
  "lexical_query_overlap": 0.04,
  "semantic_similarity_to_CQ": 0.71,
  "semantic_soft_coverage_to_CQ": 0.76,
  "tuple_cohesion": 0.79,
  "variables": [
    {
      "var": "team",
      "rows": 188,
      "distinct": 56,
      "null_rate": 0.0,
      "label_resolution_rate": 1.0,
      "diversity_entropy_norm": 0.9,
      "semantic_cohesion": 0.5,
      "dup_ratio": 0.7,
      "bound_rate": 1.0
    },
    {
      "var": "movie",
      "rows": 188,
      "distinct": 24,
      "null_rate": 0.0,
      "label_resolution_rate": 1.0,
      "diversity_entropy_norm": 0.93,
      "semantic_cohesion": 0.65,
      "dup_ratio": 0.87,
      "bound_rate": 1.0
    }
  ]
}</t>
  </si>
  <si>
    <t>[{"var": "team", "rows": 188, "distinct": 56, "null_rate": 0.0, "label_resolution_rate": 1.0, "diversity_entropy_norm": 0.9, "semantic_cohesion": 0.5, "dup_ratio": 0.7, "bound_rate": 1.0}, {"var": "movie", "rows": 188, "distinct": 24, "null_rate": 0.0, "label_resolution_rate": 1.0, "diversity_entropy_norm": 0.93, "semantic_cohesion": 0.65, "dup_ratio": 0.87, "bound_rate": 1.0}]</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</si>
  <si>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</si>
  <si>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```sparql
PREFIX ns1: &lt;http://dbkwik.webdatacommons.org/marvelcinematicuniverse.wikia.com/property/&gt;
PREFIX rdf: &lt;http://www.w3.org/1999/02/22-rdf-syntax-ns#&gt;
SELECT DISTINCT ?character (COUNT(?character) AS ?count)
WHERE {
  ?character rdf:type &lt;http://dbkwik.webdatacommons.org/marvelcinematicuniverse.wikia.com/class/character&gt; .
  ?character ?property ?value .
  FILTER(CONTAINS(STR(?property), "power") || CONTAINS(STR(?value), "power"))
}
GROUP BY ?character
ORDER BY DESC(?count)
```</t>
  </si>
  <si>
    <t>"MessageBatchIndividualResponse(custom_id='cq-26', result=MessageBatchSucceededResult(message=Message(id='msg_01VKnR3Boo5VEpPDCSiwAyfk', content=[TextBlock(citations=None, text='```sparql\\nPREFIX ns1: &lt;http://dbkwik.webdatacommons.org/marvelcinematicuniverse.wikia.com/property/&gt;\\nPREFIX rdf: &lt;http://www.w3.org/1999/02/22-rdf-syntax-ns#&gt;\\n\\nSELECT DISTINCT ?character (COUNT(?character) AS ?count)\\nWHERE {\\n  ?character rdf:type &lt;http://dbkwik.webdatacommons.org/marvelcinematicuniverse.wikia.com/class/character&gt; .\\n  ?character ?property ?value .\\n  FILTER(CONTAINS(STR(?property), \"power\") || CONTAINS(STR(?value), \"power\"))\\n}\\nGROUP BY ?character\\nORDER BY DESC(?count)\\n```', type='text')], model='claude-sonnet-4-5-20250929', role='assistant', stop_reason='end_turn', stop_sequence=None, type='message', usage=Usage(cache_creation_input_tokens=0, cache_read_input_tokens=0, input_tokens=136887, output_tokens=187,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</si>
  <si>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?character (COUNT(?character) AS ?count)
WHERE {
  ?character rdf:type &lt;http://dbkwik.webdatacommons.org/marvelcinematicuniverse.wikia.com/class/character&gt; .
  ?character ?property ?value .
  FILTER(CONTAINS(STR(?property), "power") || CONTAINS(STR(?value), "power"))
}
GROUP BY ?character
ORDER BY DESC(?count)</t>
  </si>
  <si>
    <t>{
  "cq_text": "Who are the distinct characters that possess a power, their counts, and rank-ordered by popularity?",
  "syntax_ok": true,
  "satisfiable": true,
  "deterministic": true,
  "latency": {
    "p50_ms": 285.46,
    "p95_ms": 355.86,
    "mean_ms": 299.27
  },
  "rows": 169,
  "vars": 3,
  "always_unbound_vars": [],
  "lexical_query_overlap": 0.06,
  "semantic_similarity_to_CQ": 0.66,
  "semantic_soft_coverage_to_CQ": 0.75,
  "tuple_cohesion": 0.76,
  "variables": [
    {
      "var": "character",
      "rows": 169,
      "distinct": 151,
      "null_rate": -1.0,
      "label_resolution_rate": 1.0,
      "diversity_entropy_norm": 0.99,
      "semantic_cohesion": 0.53,
      "dup_ratio": 0.55,
      "bound_rate": 2.0
    },
    {
      "var": "character",
      "rows": 169,
      "distinct": 151,
      "null_rate": -1.0,
      "label_resolution_rate": 1.0,
      "diversity_entropy_norm": 0.99,
      "semantic_cohesion": 0.53,
      "dup_ratio": 0.55,
      "bound_rate": 2.0
    },
    {
      "var": "count",
      "rows": 169,
      "distinct": 7,
      "null_rate": 0.0,
      "label_resolution_rate": 1.0,
      "diversity_entropy_norm": 0.51,
      "semantic_cohesion": 0.95,
      "dup_ratio": 0.96,
      "bound_rate": 1.0
    }
  ]
}</t>
  </si>
  <si>
    <t>[{"var": "character", "rows": 169, "distinct": 151, "null_rate": -1.0, "label_resolution_rate": 1.0, "diversity_entropy_norm": 0.99, "semantic_cohesion": 0.53, "dup_ratio": 0.55, "bound_rate": 2.0}, {"var": "character", "rows": 169, "distinct": 151, "null_rate": -1.0, "label_resolution_rate": 1.0, "diversity_entropy_norm": 0.99, "semantic_cohesion": 0.53, "dup_ratio": 0.55, "bound_rate": 2.0}, {"var": "count", "rows": 169, "distinct": 7, "null_rate": 0.0, "label_resolution_rate": 1.0, "diversity_entropy_norm": 0.51, "semantic_cohesion": 0.95, "dup_ratio": 0.96, "bound_rate": 1.0}]</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</si>
  <si>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</si>
  <si>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```sparql
PREFIX ns1: &lt;http://dbkwik.webdatacommons.org/marvelcinematicuniverse.wikia.com/property/&gt;
PREFIX rdfs: &lt;http://www.w3.org/2000/01/rdf-schema#&gt;
SELECT DISTINCT ?character ?characterLabel (GROUP_CONCAT(DISTINCT ?teamLabel; SEPARATOR=", ") AS ?teams)
WHERE {
  ?character ns1:team ?team1 .
  ?character ns1:team ?team2 .
  FILTER(?team1 != ?team2)
  ?character rdfs:label ?characterLabel .
  ?team1 rdfs:label ?team1Label .
  ?team2 rdfs:label ?team2Label .
  BIND(CONCAT(?team1Label, " and ", ?team2Label) AS ?teamLabel)
}
GROUP BY ?character ?characterLabel
HAVING(COUNT(DISTINCT ?team1) &gt; 1)
```</t>
  </si>
  <si>
    <t>"MessageBatchIndividualResponse(custom_id='cq-27', result=MessageBatchSucceededResult(message=Message(id='msg_01AHKcfmymgbJmWmSbY3hgkS', content=[TextBlock(citations=None, text='```sparql\\nPREFIX ns1: &lt;http://dbkwik.webdatacommons.org/marvelcinematicuniverse.wikia.com/property/&gt;\\nPREFIX rdfs: &lt;http://www.w3.org/2000/01/rdf-schema#&gt;\\n\\nSELECT DISTINCT ?character ?characterLabel (GROUP_CONCAT(DISTINCT ?teamLabel; SEPARATOR=\", \") AS ?teams)\\nWHERE {\\n  ?character ns1:team ?team1 .\\n  ?character ns1:team ?team2 .\\n  FILTER(?team1 != ?team2)\\n  \\n  ?character rdfs:label ?characterLabel .\\n  ?team1 rdfs:label ?team1Label .\\n  ?team2 rdfs:label ?team2Label .\\n  \\n  BIND(CONCAT(?team1Label, \" and \", ?team2Label) AS ?teamLabel)\\n}\\nGROUP BY ?character ?characterLabel\\nHAVING(COUNT(DISTINCT ?team1) &gt; 1)\\n```', type='text')], model='claude-sonnet-4-5-20250929', role='assistant', stop_reason='end_turn', stop_sequence=None, type='message', usage=Usage(cache_creation_input_tokens=0, cache_read_input_tokens=0, input_tokens=136889, output_tokens=241,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</si>
  <si>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?character ?characterLabel (GROUP_CONCAT(DISTINCT ?teamLabel; SEPARATOR=", ") AS ?teams)
WHERE {
  ?character ns1:team ?team1 .
  ?character ns1:team ?team2 .
  FILTER(?team1 != ?team2)
  ?character rdfs:label ?characterLabel .
  ?team1 rdfs:label ?team1Label .
  ?team2 rdfs:label ?team2Label .
  BIND(CONCAT(?team1Label, " and ", ?team2Label) AS ?teamLabel)
}
GROUP BY ?character ?characterLabel
HAVING(COUNT(DISTINCT ?team1) &gt; 1)</t>
  </si>
  <si>
    <t>{
  "cq_text": "Who are all the bridge characters that are members of more than one team, and what are those team combinations?",
  "syntax_ok": true,
  "satisfiable": false,
  "deterministic": true,
  "latency": {
    "p50_ms": 17.29,
    "p95_ms": 21.84,
    "mean_ms": 18.73
  },
  "rows": 0,
  "vars": 4,
  "always_unbound_vars": [
    "character",
    "characterLabel",
    "teamLabel",
    "teams"
  ],
  "lexical_query_overlap": 0.06,
  "semantic_similarity_to_CQ": 0.75,
  "semantic_soft_coverage_to_CQ": 0.77,
  "tuple_cohesion": null,
  "variables": [
    {
      "var": "character",
      "rows": 0,
      "distinct": 0,
      "null_rate": 1.0,
      "label_resolution_rate": 0.0,
      "diversity_entropy_norm": 0.0,
      "semantic_cohesion": 1.0,
      "dup_ratio": 0.0,
      "bound_rate": 0.0
    },
    {
      "var": "characterLabel",
      "rows": 0,
      "distinct": 0,
      "null_rate": 1.0,
      "label_resolution_rate": 0.0,
      "diversity_entropy_norm": 0.0,
      "semantic_cohesion": 1.0,
      "dup_ratio": 0.0,
      "bound_rate": 0.0
    },
    {
      "var": "teamLabel",
      "rows": 0,
      "distinct": 0,
      "null_rate": 1.0,
      "label_resolution_rate": 0.0,
      "diversity_entropy_norm": 0.0,
      "semantic_cohesion": 1.0,
      "dup_ratio": 0.0,
      "bound_rate": 0.0
    },
    {
      "var": "teams",
      "rows": 0,
      "distinct": 0,
      "null_rate": 1.0,
      "label_resolution_rate": 0.0,
      "diversity_entropy_norm": 0.0,
      "semantic_cohesion": 1.0,
      "dup_ratio": 0.0,
      "bound_rate": 0.0
    }
  ]
}</t>
  </si>
  <si>
    <t>["character", "characterLabel", "teamLabel", "teams"]</t>
  </si>
  <si>
    <t>[{"var": "character", "rows": 0, "distinct": 0, "null_rate": 1.0, "label_resolution_rate": 0.0, "diversity_entropy_norm": 0.0, "semantic_cohesion": 1.0, "dup_ratio": 0.0, "bound_rate": 0.0}, {"var": "characterLabel", "rows": 0, "distinct": 0, "null_rate": 1.0, "label_resolution_rate": 0.0, "diversity_entropy_norm": 0.0, "semantic_cohesion": 1.0, "dup_ratio": 0.0, "bound_rate": 0.0}, {"var": "teamLabel", "rows": 0, "distinct": 0, "null_rate": 1.0, "label_resolution_rate": 0.0, "diversity_entropy_norm": 0.0, "semantic_cohesion": 1.0, "dup_ratio": 0.0, "bound_rate": 0.0}, {"var": "teams", "rows": 0, "distinct": 0, "null_rate": 1.0, "label_resolution_rate": 0.0, "diversity_entropy_norm": 0.0, "semantic_cohesion": 1.0, "dup_ratio": 0.0, "bound_rate": 0.0}]</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</si>
  <si>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</si>
  <si>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```sparql
PREFIX ns1: &lt;http://dbkwik.webdatacommons.org/marvelcinematicuniverse.wikia.com/property/&gt;
PREFIX rdf: &lt;http://www.w3.org/1999/02/22-rdf-syntax-ns#&gt;
SELECT ?actor (GROUP_CONCAT(DISTINCT ?character; separator=", ") AS ?characters)
WHERE {
  ?character ns1:actor ?actor .
  ?character a &lt;http://dbkwik.webdatacommons.org/marvelcinematicuniverse.wikia.com/class/character&gt; .
  ?character ns1:movie ?movie .
}
GROUP BY ?actor
```</t>
  </si>
  <si>
    <t>"MessageBatchIndividualResponse(custom_id='cq-28', result=MessageBatchSucceededResult(message=Message(id='msg_01U1Yo6CeeSiNrLwbhM9oW6k', content=[TextBlock(citations=None, text='```sparql\\nPREFIX ns1: &lt;http://dbkwik.webdatacommons.org/marvelcinematicuniverse.wikia.com/property/&gt;\\nPREFIX rdf: &lt;http://www.w3.org/1999/02/22-rdf-syntax-ns#&gt;\\n\\nSELECT ?actor (GROUP_CONCAT(DISTINCT ?character; separator=\", \") AS ?characters)\\nWHERE {\\n  ?character ns1:actor ?actor .\\n  ?character a &lt;http://dbkwik.webdatacommons.org/marvelcinematicuniverse.wikia.com/class/character&gt; .\\n  ?character ns1:movie ?movie .\\n}\\nGROUP BY ?actor\\n```', type='text')], model='claude-sonnet-4-5-20250929', role='assistant', stop_reason='end_turn', stop_sequence=None, type='message', usage=Usage(cache_creation_input_tokens=0, cache_read_input_tokens=0, input_tokens=136887, output_tokens=171,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</si>
  <si>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?actor (GROUP_CONCAT(DISTINCT ?character; separator=", ") AS ?characters)
WHERE {
  ?character ns1:actor ?actor .
  ?character a &lt;http://dbkwik.webdatacommons.org/marvelcinematicuniverse.wikia.com/class/character&gt; .
  ?character ns1:movie ?movie .
}
GROUP BY ?actor</t>
  </si>
  <si>
    <t>{
  "cq_text": "What are all the sets of characters that have been portrayed across all movies by each of the actors?",
  "syntax_ok": true,
  "satisfiable": true,
  "deterministic": true,
  "latency": {
    "p50_ms": 55.68,
    "p95_ms": 57.73,
    "mean_ms": 56.25
  },
  "rows": 447,
  "vars": 3,
  "always_unbound_vars": [
    "character"
  ],
  "lexical_query_overlap": 0.0,
  "semantic_similarity_to_CQ": 0.67,
  "semantic_soft_coverage_to_CQ": 0.73,
  "tuple_cohesion": 0.68,
  "variables": [
    {
      "var": "actor",
      "rows": 447,
      "distinct": 447,
      "null_rate": 0.0,
      "label_resolution_rate": 1.0,
      "diversity_entropy_norm": 1.0,
      "semantic_cohesion": 0.57,
      "dup_ratio": 0.0,
      "bound_rate": 1.0
    },
    {
      "var": "character",
      "rows": 447,
      "distinct": 0,
      "null_rate": 1.0,
      "label_resolution_rate": 0.0,
      "diversity_entropy_norm": 0.0,
      "semantic_cohesion": 1.0,
      "dup_ratio": 0.0,
      "bound_rate": 0.0
    },
    {
      "var": "characters",
      "rows": 447,
      "distinct": 412,
      "null_rate": 0.0,
      "label_resolution_rate": 1.0,
      "diversity_entropy_norm": 0.99,
      "semantic_cohesion": 0.79,
      "dup_ratio": 0.08,
      "bound_rate": 1.0
    }
  ]
}</t>
  </si>
  <si>
    <t>["character"]</t>
  </si>
  <si>
    <t>[{"var": "actor", "rows": 447, "distinct": 447, "null_rate": 0.0, "label_resolution_rate": 1.0, "diversity_entropy_norm": 1.0, "semantic_cohesion": 0.57, "dup_ratio": 0.0, "bound_rate": 1.0}, {"var": "character", "rows": 447, "distinct": 0, "null_rate": 1.0, "label_resolution_rate": 0.0, "diversity_entropy_norm": 0.0, "semantic_cohesion": 1.0, "dup_ratio": 0.0, "bound_rate": 0.0}, {"var": "characters", "rows": 447, "distinct": 412, "null_rate": 0.0, "label_resolution_rate": 1.0, "diversity_entropy_norm": 0.99, "semantic_cohesion": 0.79, "dup_ratio": 0.08, "bound_rate": 1.0}]</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</si>
  <si>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</si>
  <si>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```sparql
PREFIX ns1: &lt;http://dbkwik.webdatacommons.org/marvelcinematicuniverse.wikia.com/property/&gt;
PREFIX rdf: &lt;http://www.w3.org/1999/02/22-rdf-syntax-ns#&gt;
PREFIX rdfs: &lt;http://www.w3.org/2000/01/rdf-schema#&gt;
SELECT ?location (COUNT(?entity) AS ?count)
WHERE {
  {
    # Movies that have locations
    ?movie rdf:type &lt;http://dbkwik.webdatacommons.org/marvelcinematicuniverse.wikia.com/class/movie&gt; .
    ?movie ns1:location ?location .
    BIND(?movie AS ?entity)
  }
  UNION
  {
    # Characters associated with locations
    ?character rdf:type &lt;http://dbkwik.webdatacommons.org/marvelcinematicuniverse.wikia.com/class/character&gt; .
    ?character ns1:location ?location .
    BIND(?character AS ?entity)
  }
  UNION
  {
    # Characters with citizenship in locations
    ?character rdf:type &lt;http://dbkwik.webdatacommons.org/marvelcinematicuniverse.wikia.com/class/character&gt; .
    ?character ns1:citizenship ?location .
    BIND(?character AS ?entity)
  }
  UNION
  {
    # Organizations with headquarters in locations
    ?org rdf:type &lt;http://dbkwik.webdatacommons.org/marvelcinematicuniverse.wikia.com/class/organization&gt; .
    ?org ns1:headquarters ?location .
    BIND(?org AS ?entity)
  }
  UNION
  {
    # Conflicts that took place in locations
    ?conflict rdf:type &lt;http://dbkwik.webdatacommons.org/marvelcinematicuniverse.wikia.com/class/conflict&gt; .
    ?conflict ns1:place ?location .
    BIND(?conflict AS ?entity)
  }
}
GROUP BY ?location
HAVING (COUNT(?entity) &gt; 1)
ORDER BY DESC(?count)
```</t>
  </si>
  <si>
    <t>"MessageBatchIndividualResponse(custom_id='cq-29', result=MessageBatchSucceededResult(message=Message(id='msg_018w61CS9thKGcuYzN2UbKrQ', content=[TextBlock(citations=None, text='```sparql\\nPREFIX ns1: &lt;http://dbkwik.webdatacommons.org/marvelcinematicuniverse.wikia.com/property/&gt;\\nPREFIX rdf: &lt;http://www.w3.org/1999/02/22-rdf-syntax-ns#&gt;\\nPREFIX rdfs: &lt;http://www.w3.org/2000/01/rdf-schema#&gt;\\n\\nSELECT ?location (COUNT(?entity) AS ?count)\\nWHERE {\\n  {\\n    # Movies that have locations\\n    ?movie rdf:type &lt;http://dbkwik.webdatacommons.org/marvelcinematicuniverse.wikia.com/class/movie&gt; .\\n    ?movie ns1:location ?location .\\n    BIND(?movie AS ?entity)\\n  }\\n  UNION\\n  {\\n    # Characters associated with locations\\n    ?character rdf:type &lt;http://dbkwik.webdatacommons.org/marvelcinematicuniverse.wikia.com/class/character&gt; .\\n    ?character ns1:location ?location .\\n    BIND(?character AS ?entity)\\n  }\\n  UNION\\n  {\\n    # Characters with citizenship in locations\\n    ?character rdf:type &lt;http://dbkwik.webdatacommons.org/marvelcinematicuniverse.wikia.com/class/character&gt; .\\n    ?character ns1:citizenship ?location .\\n    BIND(?character AS ?entity)\\n  }\\n  UNION\\n  {\\n    # Organizations with headquarters in locations\\n    ?org rdf:type &lt;http://dbkwik.webdatacommons.org/marvelcinematicuniverse.wikia.com/class/organization&gt; .\\n    ?org ns1:headquarters ?location .\\n    BIND(?org AS ?entity)\\n  }\\n  UNION\\n  {\\n    # Conflicts that took place in locations\\n    ?conflict rdf:type &lt;http://dbkwik.webdatacommons.org/marvelcinematicuniverse.wikia.com/class/conflict&gt; .\\n    ?conflict ns1:place ?location .\\n    BIND(?conflict AS ?entity)\\n  }\\n}\\nGROUP BY ?location\\nHAVING (COUNT(?entity) &gt; 1)\\nORDER BY DESC(?count)\\n```', type='text')], model='claude-sonnet-4-5-20250929', role='assistant', stop_reason='end_turn', stop_sequence=None, type='message', usage=Usage(cache_creation_input_tokens=0, cache_read_input_tokens=0, input_tokens=136892, output_tokens=549,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</si>
  <si>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ns1: &lt;http://dbkwik.webdatacommons.org/marvelcinematicuniverse.wikia.com/property/&gt;
PREFIX rdf: &lt;http://www.w3.org/1999/02/22-rdf-syntax-ns#&gt;
PREFIX rdfs: &lt;http://www.w3.org/2000/01/rdf-schema#&gt;
SELECT ?location (COUNT(?entity) AS ?count)
WHERE {
  {
    # Movies that have locations
    ?movie rdf:type &lt;http://dbkwik.webdatacommons.org/marvelcinematicuniverse.wikia.com/class/movie&gt; .
    ?movie ns1:location ?location .
    BIND(?movie AS ?entity)
  }
  UNION
  {
    # Characters associated with locations
    ?character rdf:type &lt;http://dbkwik.webdatacommons.org/marvelcinematicuniverse.wikia.com/class/character&gt; .
    ?character ns1:location ?location .
    BIND(?character AS ?entity)
  }
  UNION
  {
    # Characters with citizenship in locations
    ?character rdf:type &lt;http://dbkwik.webdatacommons.org/marvelcinematicuniverse.wikia.com/class/character&gt; .
    ?character ns1:citizenship ?location .
    BIND(?character AS ?entity)
  }
  UNION
  {
    # Organizations with headquarters in locations
    ?org rdf:type &lt;http://dbkwik.webdatacommons.org/marvelcinematicuniverse.wikia.com/class/organization&gt; .
    ?org ns1:headquarters ?location .
    BIND(?org AS ?entity)
  }
  UNION
  {
    # Conflicts that took place in locations
    ?conflict rdf:type &lt;http://dbkwik.webdatacommons.org/marvelcinematicuniverse.wikia.com/class/conflict&gt; .
    ?conflict ns1:place ?location .
    BIND(?conflict AS ?entity)
  }
}
GROUP BY ?location
HAVING (COUNT(?entity) &gt; 1)
ORDER BY DESC(?count)</t>
  </si>
  <si>
    <t>{
  "cq_text": "What are all the locations used as settings or associated contexts for multiple movies and/or characters and the counts of those associations?",
  "syntax_ok": true,
  "satisfiable": true,
  "deterministic": true,
  "latency": {
    "p50_ms": 59.0,
    "p95_ms": 74.26,
    "mean_ms": 64.07
  },
  "rows": 139,
  "vars": 3,
  "always_unbound_vars": [
    "entity"
  ],
  "lexical_query_overlap": 0.07,
  "semantic_similarity_to_CQ": 0.66,
  "semantic_soft_coverage_to_CQ": 0.81,
  "tuple_cohesion": 0.84,
  "variables": [
    {
      "var": "location",
      "rows": 139,
      "distinct": 128,
      "null_rate": 0.0,
      "label_resolution_rate": 1.0,
      "diversity_entropy_norm": 0.99,
      "semantic_cohesion": 0.58,
      "dup_ratio": 0.08,
      "bound_rate": 1.0
    },
    {
      "var": "entity",
      "rows": 139,
      "distinct": 0,
      "null_rate": 1.0,
      "label_resolution_rate": 0.0,
      "diversity_entropy_norm": 0.0,
      "semantic_cohesion": 1.0,
      "dup_ratio": 0.0,
      "bound_rate": 0.0
    },
    {
      "var": "count",
      "rows": 139,
      "distinct": 16,
      "null_rate": 0.0,
      "label_resolution_rate": 1.0,
      "diversity_entropy_norm": 0.57,
      "semantic_cohesion": 0.94,
      "dup_ratio": 0.88,
      "bound_rate": 1.0
    }
  ]
}</t>
  </si>
  <si>
    <t>["entity"]</t>
  </si>
  <si>
    <t>[{"var": "location", "rows": 139, "distinct": 128, "null_rate": 0.0, "label_resolution_rate": 1.0, "diversity_entropy_norm": 0.99, "semantic_cohesion": 0.58, "dup_ratio": 0.08, "bound_rate": 1.0}, {"var": "entity", "rows": 139, "distinct": 0, "null_rate": 1.0, "label_resolution_rate": 0.0, "diversity_entropy_norm": 0.0, "semantic_cohesion": 1.0, "dup_ratio": 0.0, "bound_rate": 0.0}, {"var": "count", "rows": 139, "distinct": 16, "null_rate": 0.0, "label_resolution_rate": 1.0, "diversity_entropy_norm": 0.57, "semantic_cohesion": 0.94, "dup_ratio": 0.88, "bound_rate": 1.0}]</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</si>
  <si>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</si>
  <si>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```sparql
PREFIX ns1: &lt;http://dbkwik.webdatacommons.org/marvelcinematicuniverse.wikia.com/property/&gt;
PREFIX rdf: &lt;http://www.w3.org/1999/02/22-rdf-syntax-ns#&gt;
SELECT ?movie 
       (COUNT(DISTINCT ?team) AS ?uniqueTeams) 
       (COUNT(DISTINCT ?power) AS ?uniquePowers) 
       (COUNT(DISTINCT ?location) AS ?uniqueLocations)
WHERE {
  ?movie rdf:type &lt;http://dbkwik.webdatacommons.org/marvelcinematicuniverse.wikia.com/class/movie&gt; .
  ?character ns1:movie ?movie .
  OPTIONAL { ?character ns1:team ?team }
  OPTIONAL { ?character ns1:affiliation ?power }
  OPTIONAL { ?character ns1:location ?location }
}
GROUP BY ?movie
```</t>
  </si>
  <si>
    <t>"MessageBatchIndividualResponse(custom_id='cq-30', result=MessageBatchSucceededResult(message=Message(id='msg_01UDSJfzR8DJYwGAkgRcPm2C', content=[TextBlock(citations=None, text='```sparql\\nPREFIX ns1: &lt;http://dbkwik.webdatacommons.org/marvelcinematicuniverse.wikia.com/property/&gt;\\nPREFIX rdf: &lt;http://www.w3.org/1999/02/22-rdf-syntax-ns#&gt;\\n\\nSELECT ?movie \\n       (COUNT(DISTINCT ?team) AS ?uniqueTeams) \\n       (COUNT(DISTINCT ?power) AS ?uniquePowers) \\n       (COUNT(DISTINCT ?location) AS ?uniqueLocations)\\nWHERE {\\n  ?movie rdf:type &lt;http://dbkwik.webdatacommons.org/marvelcinematicuniverse.wikia.com/class/movie&gt; .\\n  \\n  ?character ns1:movie ?movie .\\n  \\n  OPTIONAL { ?character ns1:team ?team }\\n  OPTIONAL { ?character ns1:affiliation ?power }\\n  OPTIONAL { ?character ns1:location ?location }\\n}\\nGROUP BY ?movie\\n```', type='text')], model='claude-sonnet-4-5-20250929', role='assistant', stop_reason='end_turn', stop_sequence=None, type='message', usage=Usage(cache_creation_input_tokens=0, cache_read_input_tokens=0, input_tokens=136891, output_tokens=243,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</si>
  <si>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?movie 
       (COUNT(DISTINCT ?team) AS ?uniqueTeams) 
       (COUNT(DISTINCT ?power) AS ?uniquePowers) 
       (COUNT(DISTINCT ?location) AS ?uniqueLocations)
WHERE {
  ?movie rdf:type &lt;http://dbkwik.webdatacommons.org/marvelcinematicuniverse.wikia.com/class/movie&gt; .
  ?character ns1:movie ?movie .
  OPTIONAL { ?character ns1:team ?team }
  OPTIONAL { ?character ns1:affiliation ?power }
  OPTIONAL { ?character ns1:location ?location }
}
GROUP BY ?movie</t>
  </si>
  <si>
    <t>{
  "cq_text": "What is the number of unique teams, unique powers, and unique locations represented via their characters for each of the movies?",
  "syntax_ok": true,
  "satisfiable": true,
  "deterministic": true,
  "latency": {
    "p50_ms": 131.89,
    "p95_ms": 134.81,
    "mean_ms": 128.0
  },
  "rows": 25,
  "vars": 7,
  "always_unbound_vars": [
    "team",
    "power",
    "location"
  ],
  "lexical_query_overlap": 0.0,
  "semantic_similarity_to_CQ": 0.7,
  "semantic_soft_coverage_to_CQ": 0.79,
  "tuple_cohesion": 0.89,
  "variables": [
    {
      "var": "movie",
      "rows": 25,
      "distinct": 14,
      "null_rate": 0.0,
      "label_resolution_rate": 1.0,
      "diversity_entropy_norm": 0.77,
      "semantic_cohesion": 0.6,
      "dup_ratio": 0.44,
      "bound_rate": 1.0
    },
    {
      "var": "team",
      "rows": 25,
      "distinct": 0,
      "null_rate": 1.0,
      "label_resolution_rate": 0.0,
      "diversity_entropy_norm": 0.0,
      "semantic_cohesion": 1.0,
      "dup_ratio": 0.0,
      "bound_rate": 0.0
    },
    {
      "var": "uniqueTeams",
      "rows": 25,
      "distinct": 2,
      "null_rate": 0.0,
      "label_resolution_rate": 1.0,
      "diversity_entropy_norm": 0.63,
      "semantic_cohesion": 0.95,
      "dup_ratio": 0.92,
      "bound_rate": 1.0
    },
    {
      "var": "power",
      "rows": 25,
      "distinct": 0,
      "null_rate": 1.0,
      "label_resolution_rate": 0.0,
      "diversity_entropy_norm": 0.0,
      "semantic_cohesion": 1.0,
      "dup_ratio": 0.0,
      "bound_rate": 0.0
    },
    {
      "var": "uniquePowers",
      "rows": 25,
      "distinct": 19,
      "null_rate": 0.0,
      "label_resolution_rate": 1.0,
      "diversity_entropy_norm": 0.98,
      "semantic_cohesion": 0.96,
      "dup_ratio": 0.24,
      "bound_rate": 1.0
    },
    {
      "var": "location",
      "rows": 25,
      "distinct": 0,
      "null_rate": 1.0,
      "label_resolution_rate": 0.0,
      "diversity_entropy_norm": 0.0,
      "semantic_cohesion": 1.0,
      "dup_ratio": 0.0,
      "bound_rate": 0.0
    },
    {
      "var": "uniqueLocations",
      "rows": 25,
      "distinct": 19,
      "null_rate": 0.0,
      "label_resolution_rate": 1.0,
      "diversity_entropy_norm": 0.97,
      "semantic_cohesion": 0.96,
      "dup_ratio": 0.24,
      "bound_rate": 1.0
    }
  ]
}</t>
  </si>
  <si>
    <t>[{"var": "movie", "rows": 25, "distinct": 14, "null_rate": 0.0, "label_resolution_rate": 1.0, "diversity_entropy_norm": 0.77, "semantic_cohesion": 0.6, "dup_ratio": 0.44, "bound_rate": 1.0}, {"var": "team", "rows": 25, "distinct": 0, "null_rate": 1.0, "label_resolution_rate": 0.0, "diversity_entropy_norm": 0.0, "semantic_cohesion": 1.0, "dup_ratio": 0.0, "bound_rate": 0.0}, {"var": "uniqueTeams", "rows": 25, "distinct": 2, "null_rate": 0.0, "label_resolution_rate": 1.0, "diversity_entropy_norm": 0.63, "semantic_cohesion": 0.95, "dup_ratio": 0.92, "bound_rate": 1.0}, {"var": "power", "rows": 25, "distinct": 0, "null_rate": 1.0, "label_resolution_rate": 0.0, "diversity_entropy_norm": 0.0, "semantic_cohesion": 1.0, "dup_ratio": 0.0, "bound_rate": 0.0}, {"var": "uniquePowers", "rows": 25, "distinct": 19, "null_rate": 0.0, "label_resolution_rate": 1.0, "diversity_entropy_norm": 0.98, "semantic_cohesion": 0.96, "dup_ratio": 0.24, "bound_rate": 1.0}, {"var": "location", "rows": 25, "distinct": 0, "null_rate": 1.0, "label_resolution_rate": 0.0, "diversity_entropy_norm": 0.0, "semantic_cohesion": 1.0, "dup_ratio": 0.0, "bound_rate": 0.0}, {"var": "uniqueLocations", "rows": 25, "distinct": 19, "null_rate": 0.0, "label_resolution_rate": 1.0, "diversity_entropy_norm": 0.97, "semantic_cohesion": 0.96, "dup_ratio": 0.24, "bound_rate": 1.0}]</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</si>
  <si>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</si>
  <si>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```sparql
PREFIX ns1: &lt;http://dbkwik.webdatacommons.org/marvelcinematicuniverse.wikia.com/property/&gt;
PREFIX rdf: &lt;http://www.w3.org/1999/02/22-rdf-syntax-ns#&gt;
SELECT DISTINCT ?character1 ?character2 ?movie
WHERE {
  ?character1 rdf:type &lt;http://dbkwik.webdatacommons.org/marvelcinematicuniverse.wikia.com/class/character&gt; .
  ?character2 rdf:type &lt;http://dbkwik.webdatacommons.org/marvelcinematicuniverse.wikia.com/class/character&gt; .
  ?character1 ns1:movie ?movie .
  ?character2 ns1:movie ?movie .
  FILTER(?character1 != ?character2)
}
ORDER BY ?character1 ?character2
```</t>
  </si>
  <si>
    <t>"MessageBatchIndividualResponse(custom_id='cq-31', result=MessageBatchSucceededResult(message=Message(id='msg_01PZTr9njJEQ8xyNmqAJNZw4', content=[TextBlock(citations=None, text='```sparql\\nPREFIX ns1: &lt;http://dbkwik.webdatacommons.org/marvelcinematicuniverse.wikia.com/property/&gt;\\nPREFIX rdf: &lt;http://www.w3.org/1999/02/22-rdf-syntax-ns#&gt;\\n\\nSELECT DISTINCT ?character1 ?character2 ?movie\\nWHERE {\\n  ?character1 rdf:type &lt;http://dbkwik.webdatacommons.org/marvelcinematicuniverse.wikia.com/class/character&gt; .\\n  ?character2 rdf:type &lt;http://dbkwik.webdatacommons.org/marvelcinematicuniverse.wikia.com/class/character&gt; .\\n  \\n  ?character1 ns1:movie ?movie .\\n  ?character2 ns1:movie ?movie .\\n  \\n  FILTER(?character1 != ?character2)\\n}\\nORDER BY ?character1 ?character2\\n```', type='text')], model='claude-sonnet-4-5-20250929', role='assistant', stop_reason='end_turn', stop_sequence=None, type='message', usage=Usage(cache_creation_input_tokens=0, cache_read_input_tokens=0, input_tokens=136890, output_tokens=237,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</si>
  <si>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?character1 ?character2 ?movie
WHERE {
  ?character1 rdf:type &lt;http://dbkwik.webdatacommons.org/marvelcinematicuniverse.wikia.com/class/character&gt; .
  ?character2 rdf:type &lt;http://dbkwik.webdatacommons.org/marvelcinematicuniverse.wikia.com/class/character&gt; .
  ?character1 ns1:movie ?movie .
  ?character2 ns1:movie ?movie .
  FILTER(?character1 != ?character2)
}
ORDER BY ?character1 ?character2</t>
  </si>
  <si>
    <t>{
  "cq_text": "Who are all the other characters connected via shared movie appearances for each of the characters (character co-appearance network)?",
  "syntax_ok": true,
  "satisfiable": true,
  "deterministic": true,
  "latency": {
    "p50_ms": 22376.66,
    "p95_ms": 22790.66,
    "mean_ms": 22503.17
  },
  "rows": 42428,
  "vars": 3,
  "always_unbound_vars": [],
  "lexical_query_overlap": 0.03,
  "semantic_similarity_to_CQ": 0.66,
  "semantic_soft_coverage_to_CQ": 0.75,
  "tuple_cohesion": 0.98,
  "variables": [
    {
      "var": "character1",
      "rows": 42428,
      "distinct": 495,
      "null_rate": 0.0,
      "label_resolution_rate": 1.0,
      "diversity_entropy_norm": 0.92,
      "semantic_cohesion": 0.56,
      "dup_ratio": 0.99,
      "bound_rate": 1.0
    },
    {
      "var": "character2",
      "rows": 42428,
      "distinct": 495,
      "null_rate": 0.0,
      "label_resolution_rate": 1.0,
      "diversity_entropy_norm": 0.92,
      "semantic_cohesion": 0.56,
      "dup_ratio": 0.99,
      "bound_rate": 1.0
    },
    {
      "var": "movie",
      "rows": 42428,
      "distinct": 23,
      "null_rate": 0.0,
      "label_resolution_rate": 1.0,
      "diversity_entropy_norm": 0.87,
      "semantic_cohesion": 0.58,
      "dup_ratio": 1.0,
      "bound_rate": 1.0
    }
  ]
}</t>
  </si>
  <si>
    <t>[{"var": "character1", "rows": 42428, "distinct": 495, "null_rate": 0.0, "label_resolution_rate": 1.0, "diversity_entropy_norm": 0.92, "semantic_cohesion": 0.56, "dup_ratio": 0.99, "bound_rate": 1.0}, {"var": "character2", "rows": 42428, "distinct": 495, "null_rate": 0.0, "label_resolution_rate": 1.0, "diversity_entropy_norm": 0.92, "semantic_cohesion": 0.56, "dup_ratio": 0.99, "bound_rate": 1.0}, {"var": "movie", "rows": 42428, "distinct": 23, "null_rate": 0.0, "label_resolution_rate": 1.0, "diversity_entropy_norm": 0.87, "semantic_cohesion": 0.58, "dup_ratio": 1.0, "bound_rate": 1.0}]</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</si>
  <si>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</si>
  <si>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```sparql
PREFIX rdf: &lt;http://www.w3.org/1999/02/22-rdf-syntax-ns#&gt;
PREFIX ns1: &lt;http://dbkwik.webdatacommons.org/marvelcinematicuniverse.wikia.com/property/&gt;
SELECT ?team ?member ?power
WHERE {
  ?member ns1:team ?team .
  ?member ns1:abilities ?power .
}
ORDER BY ?team ?member
```</t>
  </si>
  <si>
    <t>"MessageBatchIndividualResponse(custom_id='cq-32', result=MessageBatchSucceededResult(message=Message(id='msg_01D5pu7sF8xaXdz8Fj9q5vb1', content=[TextBlock(citations=None, text='```sparql\\nPREFIX rdf: &lt;http://www.w3.org/1999/02/22-rdf-syntax-ns#&gt;\\nPREFIX ns1: &lt;http://dbkwik.webdatacommons.org/marvelcinematicuniverse.wikia.com/property/&gt;\\n\\nSELECT ?team ?member ?power\\nWHERE {\\n  ?member ns1:team ?team .\\n  ?member ns1:abilities ?power .\\n}\\nORDER BY ?team ?member\\n```', type='text')], model='claude-sonnet-4-5-20250929', role='assistant', stop_reason='end_turn', stop_sequence=None, type='message', usage=Usage(cache_creation_input_tokens=0, cache_read_input_tokens=0, input_tokens=136905, output_tokens=117, server_tool_use=None, service_tier='batch', cache_creation={'ephemeral_5m_input_tokens': 0, 'ephemeral_1h_input_tokens': 0})), type='succeeded'))"</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</si>
  <si>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rdf: &lt;http://www.w3.org/1999/02/22-rdf-syntax-ns#&gt;
PREFIX ns1: &lt;http://dbkwik.webdatacommons.org/marvelcinematicuniverse.wikia.com/property/&gt;
SELECT ?team ?member ?power
WHERE {
  ?member ns1:team ?team .
  ?member ns1:abilities ?power .
}
ORDER BY ?team ?member</t>
  </si>
  <si>
    <t>{
  "cq_text": "What are all the distributions of powers among each team's members, grouped by teams,  for comparing teams for computability (e.g., which powers are most characteristic of each team)?",
  "syntax_ok": true,
  "satisfiable": false,
  "deterministic": true,
  "latency": {
    "p50_ms": 11.97,
    "p95_ms": 16.42,
    "mean_ms": 13.34
  },
  "rows": 0,
  "vars": 3,
  "always_unbound_vars": [
    "team",
    "member",
    "power"
  ],
  "lexical_query_overlap": 0.04,
  "semantic_similarity_to_CQ": 0.69,
  "semantic_soft_coverage_to_CQ": 0.76,
  "tuple_cohesion": null,
  "variables": [
    {
      "var": "team",
      "rows": 0,
      "distinct": 0,
      "null_rate": 1.0,
      "label_resolution_rate": 0.0,
      "diversity_entropy_norm": 0.0,
      "semantic_cohesion": 1.0,
      "dup_ratio": 0.0,
      "bound_rate": 0.0
    },
    {
      "var": "member",
      "rows": 0,
      "distinct": 0,
      "null_rate": 1.0,
      "label_resolution_rate": 0.0,
      "diversity_entropy_norm": 0.0,
      "semantic_cohesion": 1.0,
      "dup_ratio": 0.0,
      "bound_rate": 0.0
    },
    {
      "var": "power",
      "rows": 0,
      "distinct": 0,
      "null_rate": 1.0,
      "label_resolution_rate": 0.0,
      "diversity_entropy_norm": 0.0,
      "semantic_cohesion": 1.0,
      "dup_ratio": 0.0,
      "bound_rate": 0.0
    }
  ]
}</t>
  </si>
  <si>
    <t>["team", "member", "power"]</t>
  </si>
  <si>
    <t>[{"var": "team", "rows": 0, "distinct": 0, "null_rate": 1.0, "label_resolution_rate": 0.0, "diversity_entropy_norm": 0.0, "semantic_cohesion": 1.0, "dup_ratio": 0.0, "bound_rate": 0.0}, {"var": "member", "rows": 0, "distinct": 0, "null_rate": 1.0, "label_resolution_rate": 0.0, "diversity_entropy_norm": 0.0, "semantic_cohesion": 1.0, "dup_ratio": 0.0, "bound_rate": 0.0}, {"var": "power", "rows": 0, "distinct": 0, "null_rate": 1.0, "label_resolution_rate": 0.0, "diversity_entropy_norm": 0.0, "semantic_cohesion": 1.0, "dup_ratio": 0.0, "bound_rate":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</si>
</sst>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workbookViewId="0">
      <selection activeCell="V15" sqref="V15"/>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72</v>
      </c>
      <c r="C2" t="s">
        <v>73</v>
      </c>
      <c r="D2" t="s">
        <v>74</v>
      </c>
      <c r="E2" t="s">
        <v>75</v>
      </c>
      <c r="F2" t="s">
        <v>76</v>
      </c>
      <c r="G2" t="b">
        <v>1</v>
      </c>
      <c r="H2" t="b">
        <v>1</v>
      </c>
      <c r="I2" t="b">
        <v>1</v>
      </c>
      <c r="J2">
        <v>2262</v>
      </c>
      <c r="K2">
        <v>1</v>
      </c>
      <c r="L2">
        <v>57.14</v>
      </c>
      <c r="M2">
        <v>58.85</v>
      </c>
      <c r="N2">
        <v>57.63</v>
      </c>
      <c r="O2">
        <v>0</v>
      </c>
      <c r="P2">
        <v>0.69</v>
      </c>
      <c r="Q2">
        <v>0.72</v>
      </c>
      <c r="R2">
        <v>0.64</v>
      </c>
      <c r="S2" t="s">
        <v>26</v>
      </c>
      <c r="T2" t="s">
        <v>77</v>
      </c>
      <c r="U2" t="s">
        <v>27</v>
      </c>
      <c r="V2">
        <v>1</v>
      </c>
      <c r="W2">
        <v>1</v>
      </c>
      <c r="X2">
        <v>1</v>
      </c>
      <c r="Y2">
        <v>0.72000000000000008</v>
      </c>
    </row>
    <row r="3" spans="1:25" x14ac:dyDescent="0.2">
      <c r="A3" t="s">
        <v>28</v>
      </c>
      <c r="B3" t="s">
        <v>78</v>
      </c>
      <c r="C3" t="s">
        <v>79</v>
      </c>
      <c r="D3" t="s">
        <v>80</v>
      </c>
      <c r="E3" t="s">
        <v>81</v>
      </c>
      <c r="F3" t="s">
        <v>82</v>
      </c>
      <c r="G3" t="b">
        <v>1</v>
      </c>
      <c r="H3" t="b">
        <v>1</v>
      </c>
      <c r="I3" t="b">
        <v>1</v>
      </c>
      <c r="J3">
        <v>26</v>
      </c>
      <c r="K3">
        <v>2</v>
      </c>
      <c r="L3">
        <v>8.35</v>
      </c>
      <c r="M3">
        <v>8.5399999999999991</v>
      </c>
      <c r="N3">
        <v>8.27</v>
      </c>
      <c r="O3">
        <v>0.04</v>
      </c>
      <c r="P3">
        <v>0.62</v>
      </c>
      <c r="Q3">
        <v>0.72</v>
      </c>
      <c r="R3">
        <v>0.65</v>
      </c>
      <c r="S3" t="s">
        <v>26</v>
      </c>
      <c r="T3" t="s">
        <v>83</v>
      </c>
      <c r="U3" t="s">
        <v>27</v>
      </c>
      <c r="V3">
        <v>1</v>
      </c>
      <c r="W3">
        <v>1</v>
      </c>
      <c r="X3">
        <v>1</v>
      </c>
      <c r="Y3">
        <v>0.71</v>
      </c>
    </row>
    <row r="4" spans="1:25" x14ac:dyDescent="0.2">
      <c r="A4" t="s">
        <v>29</v>
      </c>
      <c r="B4" t="s">
        <v>84</v>
      </c>
      <c r="C4" t="s">
        <v>85</v>
      </c>
      <c r="D4" t="s">
        <v>86</v>
      </c>
      <c r="E4" t="s">
        <v>87</v>
      </c>
      <c r="F4" t="s">
        <v>88</v>
      </c>
      <c r="G4" t="b">
        <v>1</v>
      </c>
      <c r="H4" t="b">
        <v>1</v>
      </c>
      <c r="I4" t="b">
        <v>1</v>
      </c>
      <c r="J4">
        <v>3861</v>
      </c>
      <c r="K4">
        <v>3</v>
      </c>
      <c r="L4">
        <v>135.24</v>
      </c>
      <c r="M4">
        <v>139.32</v>
      </c>
      <c r="N4">
        <v>136.08000000000001</v>
      </c>
      <c r="O4">
        <v>0.03</v>
      </c>
      <c r="P4">
        <v>0.74</v>
      </c>
      <c r="Q4">
        <v>0.77</v>
      </c>
      <c r="R4">
        <v>0.75</v>
      </c>
      <c r="S4" t="s">
        <v>26</v>
      </c>
      <c r="T4" t="s">
        <v>89</v>
      </c>
      <c r="U4" t="s">
        <v>27</v>
      </c>
      <c r="V4">
        <v>1</v>
      </c>
      <c r="W4">
        <v>1</v>
      </c>
      <c r="X4">
        <v>1</v>
      </c>
      <c r="Y4">
        <v>0.62888888888888894</v>
      </c>
    </row>
    <row r="5" spans="1:25" x14ac:dyDescent="0.2">
      <c r="A5" t="s">
        <v>30</v>
      </c>
      <c r="B5" t="s">
        <v>90</v>
      </c>
      <c r="C5" t="s">
        <v>91</v>
      </c>
      <c r="D5" t="s">
        <v>92</v>
      </c>
      <c r="E5" t="s">
        <v>93</v>
      </c>
      <c r="F5" t="s">
        <v>94</v>
      </c>
      <c r="G5" t="b">
        <v>1</v>
      </c>
      <c r="H5" t="b">
        <v>1</v>
      </c>
      <c r="I5" t="b">
        <v>1</v>
      </c>
      <c r="J5">
        <v>2189</v>
      </c>
      <c r="K5">
        <v>4</v>
      </c>
      <c r="L5">
        <v>122.97</v>
      </c>
      <c r="M5">
        <v>128.9</v>
      </c>
      <c r="N5">
        <v>121</v>
      </c>
      <c r="O5">
        <v>0.11</v>
      </c>
      <c r="P5">
        <v>0.69</v>
      </c>
      <c r="Q5">
        <v>0.73</v>
      </c>
      <c r="R5">
        <v>0.69</v>
      </c>
      <c r="S5" t="s">
        <v>26</v>
      </c>
      <c r="T5" t="s">
        <v>95</v>
      </c>
      <c r="U5" t="s">
        <v>27</v>
      </c>
      <c r="V5">
        <v>1</v>
      </c>
      <c r="W5">
        <v>1</v>
      </c>
      <c r="X5">
        <v>1</v>
      </c>
      <c r="Y5">
        <v>0.50083333333333335</v>
      </c>
    </row>
    <row r="6" spans="1:25" x14ac:dyDescent="0.2">
      <c r="A6" t="s">
        <v>31</v>
      </c>
      <c r="B6" t="s">
        <v>96</v>
      </c>
      <c r="C6" t="s">
        <v>97</v>
      </c>
      <c r="D6" t="s">
        <v>98</v>
      </c>
      <c r="E6" t="s">
        <v>99</v>
      </c>
      <c r="F6" t="s">
        <v>100</v>
      </c>
      <c r="G6" t="b">
        <v>1</v>
      </c>
      <c r="H6" t="b">
        <v>1</v>
      </c>
      <c r="I6" t="b">
        <v>1</v>
      </c>
      <c r="J6">
        <v>59</v>
      </c>
      <c r="K6">
        <v>4</v>
      </c>
      <c r="L6">
        <v>96.03</v>
      </c>
      <c r="M6">
        <v>99.51</v>
      </c>
      <c r="N6">
        <v>93.84</v>
      </c>
      <c r="O6">
        <v>0.03</v>
      </c>
      <c r="P6">
        <v>0.73</v>
      </c>
      <c r="Q6">
        <v>0.77</v>
      </c>
      <c r="R6">
        <v>0.63</v>
      </c>
      <c r="S6" t="s">
        <v>26</v>
      </c>
      <c r="T6" t="s">
        <v>101</v>
      </c>
      <c r="U6" t="s">
        <v>27</v>
      </c>
      <c r="V6">
        <v>1</v>
      </c>
      <c r="W6">
        <v>1</v>
      </c>
      <c r="X6">
        <v>1</v>
      </c>
      <c r="Y6">
        <v>0.65416666666666667</v>
      </c>
    </row>
    <row r="7" spans="1:25" x14ac:dyDescent="0.2">
      <c r="A7" t="s">
        <v>32</v>
      </c>
      <c r="B7" t="s">
        <v>102</v>
      </c>
      <c r="C7" t="s">
        <v>103</v>
      </c>
      <c r="D7" t="s">
        <v>104</v>
      </c>
      <c r="E7" t="s">
        <v>105</v>
      </c>
      <c r="F7" t="s">
        <v>106</v>
      </c>
      <c r="G7" t="b">
        <v>1</v>
      </c>
      <c r="H7" t="b">
        <v>1</v>
      </c>
      <c r="I7" t="b">
        <v>1</v>
      </c>
      <c r="J7">
        <v>46</v>
      </c>
      <c r="K7">
        <v>2</v>
      </c>
      <c r="L7">
        <v>15.51</v>
      </c>
      <c r="M7">
        <v>15.53</v>
      </c>
      <c r="N7">
        <v>14.72</v>
      </c>
      <c r="O7">
        <v>0.03</v>
      </c>
      <c r="P7">
        <v>0.7</v>
      </c>
      <c r="Q7">
        <v>0.76</v>
      </c>
      <c r="R7">
        <v>0.92</v>
      </c>
      <c r="S7" t="s">
        <v>26</v>
      </c>
      <c r="T7" t="s">
        <v>107</v>
      </c>
      <c r="U7" t="s">
        <v>27</v>
      </c>
      <c r="V7">
        <v>1</v>
      </c>
      <c r="W7">
        <v>1</v>
      </c>
      <c r="X7">
        <v>1</v>
      </c>
      <c r="Y7">
        <v>0.59333333333333338</v>
      </c>
    </row>
    <row r="8" spans="1:25" x14ac:dyDescent="0.2">
      <c r="A8" t="s">
        <v>33</v>
      </c>
      <c r="B8" t="s">
        <v>108</v>
      </c>
      <c r="C8" t="s">
        <v>109</v>
      </c>
      <c r="D8" t="s">
        <v>110</v>
      </c>
      <c r="E8" t="s">
        <v>111</v>
      </c>
      <c r="F8" t="s">
        <v>112</v>
      </c>
      <c r="G8" t="b">
        <v>1</v>
      </c>
      <c r="H8" t="b">
        <v>1</v>
      </c>
      <c r="I8" t="b">
        <v>1</v>
      </c>
      <c r="J8">
        <v>30</v>
      </c>
      <c r="K8">
        <v>2</v>
      </c>
      <c r="L8">
        <v>11.37</v>
      </c>
      <c r="M8">
        <v>11.4</v>
      </c>
      <c r="N8">
        <v>11.38</v>
      </c>
      <c r="O8">
        <v>0.06</v>
      </c>
      <c r="P8">
        <v>0.7</v>
      </c>
      <c r="Q8">
        <v>0.74</v>
      </c>
      <c r="R8">
        <v>0.68</v>
      </c>
      <c r="S8" t="s">
        <v>26</v>
      </c>
      <c r="T8" t="s">
        <v>113</v>
      </c>
      <c r="U8" t="s">
        <v>27</v>
      </c>
      <c r="V8">
        <v>1</v>
      </c>
      <c r="W8">
        <v>1</v>
      </c>
      <c r="X8">
        <v>1</v>
      </c>
      <c r="Y8">
        <v>0.65333333333333343</v>
      </c>
    </row>
    <row r="9" spans="1:25" x14ac:dyDescent="0.2">
      <c r="A9" t="s">
        <v>34</v>
      </c>
      <c r="B9" t="s">
        <v>114</v>
      </c>
      <c r="C9" t="s">
        <v>115</v>
      </c>
      <c r="D9" t="s">
        <v>116</v>
      </c>
      <c r="E9" t="s">
        <v>117</v>
      </c>
      <c r="F9" t="s">
        <v>118</v>
      </c>
      <c r="G9" t="b">
        <v>1</v>
      </c>
      <c r="H9" t="b">
        <v>0</v>
      </c>
      <c r="I9" t="b">
        <v>1</v>
      </c>
      <c r="J9">
        <v>0</v>
      </c>
      <c r="K9">
        <v>3</v>
      </c>
      <c r="L9">
        <v>151.22</v>
      </c>
      <c r="M9">
        <v>153.16999999999999</v>
      </c>
      <c r="N9">
        <v>149.13999999999999</v>
      </c>
      <c r="O9">
        <v>0.08</v>
      </c>
      <c r="P9">
        <v>0.74</v>
      </c>
      <c r="Q9">
        <v>0.82</v>
      </c>
      <c r="S9" t="s">
        <v>119</v>
      </c>
      <c r="T9" t="s">
        <v>120</v>
      </c>
      <c r="U9" t="s">
        <v>27</v>
      </c>
      <c r="V9">
        <v>1</v>
      </c>
      <c r="W9">
        <v>0</v>
      </c>
      <c r="X9">
        <v>0.5</v>
      </c>
      <c r="Y9">
        <v>0.33333333333333331</v>
      </c>
    </row>
    <row r="10" spans="1:25" x14ac:dyDescent="0.2">
      <c r="A10" t="s">
        <v>35</v>
      </c>
      <c r="B10" t="s">
        <v>121</v>
      </c>
      <c r="C10" t="s">
        <v>122</v>
      </c>
      <c r="D10" t="s">
        <v>123</v>
      </c>
      <c r="E10" t="s">
        <v>124</v>
      </c>
      <c r="F10" t="s">
        <v>125</v>
      </c>
      <c r="G10" t="b">
        <v>1</v>
      </c>
      <c r="H10" t="b">
        <v>1</v>
      </c>
      <c r="I10" t="b">
        <v>1</v>
      </c>
      <c r="J10">
        <v>766</v>
      </c>
      <c r="K10">
        <v>2</v>
      </c>
      <c r="L10">
        <v>70.819999999999993</v>
      </c>
      <c r="M10">
        <v>71.59</v>
      </c>
      <c r="N10">
        <v>70.849999999999994</v>
      </c>
      <c r="O10">
        <v>0</v>
      </c>
      <c r="P10">
        <v>0.76</v>
      </c>
      <c r="Q10">
        <v>0.78</v>
      </c>
      <c r="R10">
        <v>0.65</v>
      </c>
      <c r="S10" t="s">
        <v>26</v>
      </c>
      <c r="T10" t="s">
        <v>126</v>
      </c>
      <c r="U10" t="s">
        <v>27</v>
      </c>
      <c r="V10">
        <v>1</v>
      </c>
      <c r="W10">
        <v>1</v>
      </c>
      <c r="X10">
        <v>1</v>
      </c>
      <c r="Y10">
        <v>0.65166666666666662</v>
      </c>
    </row>
    <row r="11" spans="1:25" x14ac:dyDescent="0.2">
      <c r="A11" t="s">
        <v>36</v>
      </c>
      <c r="B11" t="s">
        <v>127</v>
      </c>
      <c r="C11" t="s">
        <v>128</v>
      </c>
      <c r="D11" t="s">
        <v>129</v>
      </c>
      <c r="E11" t="s">
        <v>130</v>
      </c>
      <c r="F11" t="s">
        <v>131</v>
      </c>
      <c r="G11" t="b">
        <v>1</v>
      </c>
      <c r="H11" t="b">
        <v>1</v>
      </c>
      <c r="I11" t="b">
        <v>1</v>
      </c>
      <c r="J11">
        <v>998</v>
      </c>
      <c r="K11">
        <v>1</v>
      </c>
      <c r="L11">
        <v>36.79</v>
      </c>
      <c r="M11">
        <v>37.74</v>
      </c>
      <c r="N11">
        <v>34.99</v>
      </c>
      <c r="O11">
        <v>0</v>
      </c>
      <c r="P11">
        <v>0.64</v>
      </c>
      <c r="Q11">
        <v>0.75</v>
      </c>
      <c r="R11">
        <v>0.65</v>
      </c>
      <c r="S11" t="s">
        <v>26</v>
      </c>
      <c r="T11" t="s">
        <v>132</v>
      </c>
      <c r="U11" t="s">
        <v>27</v>
      </c>
      <c r="V11">
        <v>1</v>
      </c>
      <c r="W11">
        <v>1</v>
      </c>
      <c r="X11">
        <v>1</v>
      </c>
      <c r="Y11">
        <v>0.75666666666666671</v>
      </c>
    </row>
    <row r="12" spans="1:25" x14ac:dyDescent="0.2">
      <c r="A12" t="s">
        <v>37</v>
      </c>
      <c r="B12" t="s">
        <v>133</v>
      </c>
      <c r="C12" t="s">
        <v>109</v>
      </c>
      <c r="D12" t="s">
        <v>134</v>
      </c>
      <c r="E12" t="s">
        <v>111</v>
      </c>
      <c r="F12" t="s">
        <v>135</v>
      </c>
      <c r="G12" t="b">
        <v>1</v>
      </c>
      <c r="H12" t="b">
        <v>1</v>
      </c>
      <c r="I12" t="b">
        <v>1</v>
      </c>
      <c r="J12">
        <v>30</v>
      </c>
      <c r="K12">
        <v>2</v>
      </c>
      <c r="L12">
        <v>8.84</v>
      </c>
      <c r="M12">
        <v>9.7799999999999994</v>
      </c>
      <c r="N12">
        <v>9.15</v>
      </c>
      <c r="O12">
        <v>0</v>
      </c>
      <c r="P12">
        <v>0.7</v>
      </c>
      <c r="Q12">
        <v>0.73</v>
      </c>
      <c r="R12">
        <v>0.68</v>
      </c>
      <c r="S12" t="s">
        <v>26</v>
      </c>
      <c r="T12" t="s">
        <v>113</v>
      </c>
      <c r="U12" t="s">
        <v>27</v>
      </c>
      <c r="V12">
        <v>1</v>
      </c>
      <c r="W12">
        <v>1</v>
      </c>
      <c r="X12">
        <v>1</v>
      </c>
      <c r="Y12">
        <v>0.65333333333333343</v>
      </c>
    </row>
    <row r="13" spans="1:25" x14ac:dyDescent="0.2">
      <c r="A13" t="s">
        <v>38</v>
      </c>
      <c r="B13" t="s">
        <v>136</v>
      </c>
      <c r="C13" t="s">
        <v>137</v>
      </c>
      <c r="D13" t="s">
        <v>138</v>
      </c>
      <c r="E13" t="s">
        <v>139</v>
      </c>
      <c r="F13" t="s">
        <v>140</v>
      </c>
      <c r="G13" t="b">
        <v>1</v>
      </c>
      <c r="H13" t="b">
        <v>1</v>
      </c>
      <c r="I13" t="b">
        <v>1</v>
      </c>
      <c r="J13">
        <v>3980</v>
      </c>
      <c r="K13">
        <v>3</v>
      </c>
      <c r="L13">
        <v>142.77000000000001</v>
      </c>
      <c r="M13">
        <v>145.47</v>
      </c>
      <c r="N13">
        <v>142.81</v>
      </c>
      <c r="O13">
        <v>0.04</v>
      </c>
      <c r="P13">
        <v>0.76</v>
      </c>
      <c r="Q13">
        <v>0.76</v>
      </c>
      <c r="R13">
        <v>0.75</v>
      </c>
      <c r="S13" t="s">
        <v>26</v>
      </c>
      <c r="T13" t="s">
        <v>141</v>
      </c>
      <c r="U13" t="s">
        <v>27</v>
      </c>
      <c r="V13">
        <v>1</v>
      </c>
      <c r="W13">
        <v>1</v>
      </c>
      <c r="X13">
        <v>1</v>
      </c>
      <c r="Y13">
        <v>0.63444444444444448</v>
      </c>
    </row>
    <row r="14" spans="1:25" x14ac:dyDescent="0.2">
      <c r="A14" t="s">
        <v>39</v>
      </c>
      <c r="B14" t="s">
        <v>142</v>
      </c>
      <c r="C14" t="s">
        <v>143</v>
      </c>
      <c r="D14" t="s">
        <v>144</v>
      </c>
      <c r="E14" t="s">
        <v>145</v>
      </c>
      <c r="F14" t="s">
        <v>146</v>
      </c>
      <c r="G14" t="b">
        <v>1</v>
      </c>
      <c r="H14" t="b">
        <v>1</v>
      </c>
      <c r="I14" t="b">
        <v>1</v>
      </c>
      <c r="J14">
        <v>7223</v>
      </c>
      <c r="K14">
        <v>2</v>
      </c>
      <c r="L14">
        <v>196.77</v>
      </c>
      <c r="M14">
        <v>200.55</v>
      </c>
      <c r="N14">
        <v>197.72</v>
      </c>
      <c r="O14">
        <v>0.13</v>
      </c>
      <c r="P14">
        <v>0.66</v>
      </c>
      <c r="Q14">
        <v>0.77</v>
      </c>
      <c r="R14">
        <v>0.76</v>
      </c>
      <c r="S14" t="s">
        <v>26</v>
      </c>
      <c r="T14" t="s">
        <v>147</v>
      </c>
      <c r="U14" t="s">
        <v>41</v>
      </c>
      <c r="V14">
        <v>1</v>
      </c>
      <c r="W14">
        <v>1</v>
      </c>
      <c r="X14">
        <v>1</v>
      </c>
      <c r="Y14">
        <v>0.52666666666666673</v>
      </c>
    </row>
    <row r="15" spans="1:25" x14ac:dyDescent="0.2">
      <c r="A15" t="s">
        <v>40</v>
      </c>
      <c r="B15" t="s">
        <v>148</v>
      </c>
      <c r="C15" t="s">
        <v>149</v>
      </c>
      <c r="D15" t="s">
        <v>150</v>
      </c>
      <c r="E15" t="s">
        <v>151</v>
      </c>
      <c r="F15" t="s">
        <v>152</v>
      </c>
      <c r="G15" t="b">
        <v>1</v>
      </c>
      <c r="H15" t="b">
        <v>1</v>
      </c>
      <c r="I15" t="b">
        <v>1</v>
      </c>
      <c r="J15">
        <v>1868</v>
      </c>
      <c r="K15">
        <v>2</v>
      </c>
      <c r="L15">
        <v>65.739999999999995</v>
      </c>
      <c r="M15">
        <v>75.599999999999994</v>
      </c>
      <c r="N15">
        <v>66.2</v>
      </c>
      <c r="O15">
        <v>0.15</v>
      </c>
      <c r="P15">
        <v>0.72</v>
      </c>
      <c r="Q15">
        <v>0.76</v>
      </c>
      <c r="R15">
        <v>0.57999999999999996</v>
      </c>
      <c r="S15" t="s">
        <v>26</v>
      </c>
      <c r="T15" t="s">
        <v>153</v>
      </c>
      <c r="U15" t="s">
        <v>41</v>
      </c>
      <c r="V15">
        <v>1</v>
      </c>
      <c r="W15">
        <v>1</v>
      </c>
      <c r="X15">
        <v>1</v>
      </c>
      <c r="Y15">
        <v>0.75666666666666671</v>
      </c>
    </row>
    <row r="16" spans="1:25" x14ac:dyDescent="0.2">
      <c r="A16" t="s">
        <v>42</v>
      </c>
      <c r="B16" t="s">
        <v>154</v>
      </c>
      <c r="C16" t="s">
        <v>155</v>
      </c>
      <c r="D16" t="s">
        <v>156</v>
      </c>
      <c r="E16" t="s">
        <v>157</v>
      </c>
      <c r="F16" t="s">
        <v>158</v>
      </c>
      <c r="G16" t="b">
        <v>1</v>
      </c>
      <c r="H16" t="b">
        <v>1</v>
      </c>
      <c r="I16" t="b">
        <v>1</v>
      </c>
      <c r="J16">
        <v>4</v>
      </c>
      <c r="K16">
        <v>3</v>
      </c>
      <c r="L16">
        <v>9.1</v>
      </c>
      <c r="M16">
        <v>14.98</v>
      </c>
      <c r="N16">
        <v>10.79</v>
      </c>
      <c r="O16">
        <v>0.16</v>
      </c>
      <c r="P16">
        <v>0.72</v>
      </c>
      <c r="Q16">
        <v>0.81</v>
      </c>
      <c r="R16">
        <v>0.92</v>
      </c>
      <c r="S16" t="s">
        <v>26</v>
      </c>
      <c r="T16" t="s">
        <v>159</v>
      </c>
      <c r="U16" t="s">
        <v>41</v>
      </c>
      <c r="V16">
        <v>1</v>
      </c>
      <c r="W16">
        <v>1</v>
      </c>
      <c r="X16">
        <v>1</v>
      </c>
      <c r="Y16">
        <v>0.1144444444444445</v>
      </c>
    </row>
    <row r="17" spans="1:25" x14ac:dyDescent="0.2">
      <c r="A17" t="s">
        <v>43</v>
      </c>
      <c r="B17" t="s">
        <v>160</v>
      </c>
      <c r="C17" t="s">
        <v>161</v>
      </c>
      <c r="D17" t="s">
        <v>162</v>
      </c>
      <c r="E17" t="s">
        <v>163</v>
      </c>
      <c r="F17" t="s">
        <v>164</v>
      </c>
      <c r="G17" t="b">
        <v>1</v>
      </c>
      <c r="H17" t="b">
        <v>1</v>
      </c>
      <c r="I17" t="b">
        <v>1</v>
      </c>
      <c r="J17">
        <v>5455</v>
      </c>
      <c r="K17">
        <v>3</v>
      </c>
      <c r="L17">
        <v>406</v>
      </c>
      <c r="M17">
        <v>420.68</v>
      </c>
      <c r="N17">
        <v>410.16</v>
      </c>
      <c r="O17">
        <v>7.0000000000000007E-2</v>
      </c>
      <c r="P17">
        <v>0.65</v>
      </c>
      <c r="Q17">
        <v>0.77</v>
      </c>
      <c r="R17">
        <v>0.89</v>
      </c>
      <c r="S17" t="s">
        <v>26</v>
      </c>
      <c r="T17" t="s">
        <v>165</v>
      </c>
      <c r="U17" t="s">
        <v>41</v>
      </c>
      <c r="V17">
        <v>1</v>
      </c>
      <c r="W17">
        <v>1</v>
      </c>
      <c r="X17">
        <v>1</v>
      </c>
      <c r="Y17">
        <v>0.44444444444444448</v>
      </c>
    </row>
    <row r="18" spans="1:25" x14ac:dyDescent="0.2">
      <c r="A18" t="s">
        <v>44</v>
      </c>
      <c r="B18" t="s">
        <v>166</v>
      </c>
      <c r="C18" t="s">
        <v>167</v>
      </c>
      <c r="D18" t="s">
        <v>168</v>
      </c>
      <c r="E18" t="s">
        <v>169</v>
      </c>
      <c r="F18" t="s">
        <v>170</v>
      </c>
      <c r="G18" t="b">
        <v>1</v>
      </c>
      <c r="H18" t="b">
        <v>1</v>
      </c>
      <c r="I18" t="b">
        <v>1</v>
      </c>
      <c r="J18">
        <v>64310</v>
      </c>
      <c r="K18">
        <v>4</v>
      </c>
      <c r="L18">
        <v>9974.98</v>
      </c>
      <c r="M18">
        <v>9989.44</v>
      </c>
      <c r="N18">
        <v>9945.43</v>
      </c>
      <c r="O18">
        <v>0</v>
      </c>
      <c r="P18">
        <v>0.75</v>
      </c>
      <c r="Q18">
        <v>0.71</v>
      </c>
      <c r="R18">
        <v>0.92</v>
      </c>
      <c r="S18" t="s">
        <v>45</v>
      </c>
      <c r="T18" t="s">
        <v>171</v>
      </c>
      <c r="U18" t="s">
        <v>41</v>
      </c>
      <c r="V18">
        <v>1</v>
      </c>
      <c r="W18">
        <v>0.75</v>
      </c>
      <c r="X18">
        <v>0.875</v>
      </c>
      <c r="Y18">
        <v>0.33583333333333337</v>
      </c>
    </row>
    <row r="19" spans="1:25" x14ac:dyDescent="0.2">
      <c r="A19" t="s">
        <v>46</v>
      </c>
      <c r="B19" t="s">
        <v>172</v>
      </c>
      <c r="C19" t="s">
        <v>173</v>
      </c>
      <c r="D19" t="s">
        <v>174</v>
      </c>
      <c r="E19" t="s">
        <v>175</v>
      </c>
      <c r="F19" t="s">
        <v>176</v>
      </c>
      <c r="G19" t="b">
        <v>1</v>
      </c>
      <c r="H19" t="b">
        <v>1</v>
      </c>
      <c r="I19" t="b">
        <v>1</v>
      </c>
      <c r="J19">
        <v>381</v>
      </c>
      <c r="K19">
        <v>2</v>
      </c>
      <c r="L19">
        <v>27.73</v>
      </c>
      <c r="M19">
        <v>39.81</v>
      </c>
      <c r="N19">
        <v>30.33</v>
      </c>
      <c r="O19">
        <v>0.05</v>
      </c>
      <c r="P19">
        <v>0.77</v>
      </c>
      <c r="Q19">
        <v>0.76</v>
      </c>
      <c r="R19">
        <v>0.66</v>
      </c>
      <c r="S19" t="s">
        <v>26</v>
      </c>
      <c r="T19" t="s">
        <v>177</v>
      </c>
      <c r="U19" t="s">
        <v>41</v>
      </c>
      <c r="V19">
        <v>1</v>
      </c>
      <c r="W19">
        <v>1</v>
      </c>
      <c r="X19">
        <v>1</v>
      </c>
      <c r="Y19">
        <v>0.68</v>
      </c>
    </row>
    <row r="20" spans="1:25" x14ac:dyDescent="0.2">
      <c r="A20" t="s">
        <v>47</v>
      </c>
      <c r="B20" t="s">
        <v>178</v>
      </c>
      <c r="C20" t="s">
        <v>179</v>
      </c>
      <c r="D20" t="s">
        <v>180</v>
      </c>
      <c r="E20" t="s">
        <v>181</v>
      </c>
      <c r="F20" t="s">
        <v>182</v>
      </c>
      <c r="G20" t="b">
        <v>1</v>
      </c>
      <c r="H20" t="b">
        <v>1</v>
      </c>
      <c r="I20" t="b">
        <v>1</v>
      </c>
      <c r="J20">
        <v>4</v>
      </c>
      <c r="K20">
        <v>2</v>
      </c>
      <c r="L20">
        <v>47.53</v>
      </c>
      <c r="M20">
        <v>47.79</v>
      </c>
      <c r="N20">
        <v>46.44</v>
      </c>
      <c r="O20">
        <v>0.04</v>
      </c>
      <c r="P20">
        <v>0.74</v>
      </c>
      <c r="Q20">
        <v>0.74</v>
      </c>
      <c r="R20">
        <v>0.74</v>
      </c>
      <c r="S20" t="s">
        <v>26</v>
      </c>
      <c r="T20" t="s">
        <v>183</v>
      </c>
      <c r="U20" t="s">
        <v>41</v>
      </c>
      <c r="V20">
        <v>1</v>
      </c>
      <c r="W20">
        <v>1</v>
      </c>
      <c r="X20">
        <v>1</v>
      </c>
      <c r="Y20">
        <v>0.32333333333333331</v>
      </c>
    </row>
    <row r="21" spans="1:25" x14ac:dyDescent="0.2">
      <c r="A21" t="s">
        <v>48</v>
      </c>
      <c r="B21" t="s">
        <v>184</v>
      </c>
      <c r="C21" t="s">
        <v>185</v>
      </c>
      <c r="D21" t="s">
        <v>186</v>
      </c>
      <c r="E21" t="s">
        <v>187</v>
      </c>
      <c r="F21" t="s">
        <v>188</v>
      </c>
      <c r="G21" t="b">
        <v>1</v>
      </c>
      <c r="H21" t="b">
        <v>1</v>
      </c>
      <c r="I21" t="b">
        <v>1</v>
      </c>
      <c r="J21">
        <v>13</v>
      </c>
      <c r="K21">
        <v>1</v>
      </c>
      <c r="L21">
        <v>58.84</v>
      </c>
      <c r="M21">
        <v>74.84</v>
      </c>
      <c r="N21">
        <v>63.55</v>
      </c>
      <c r="O21">
        <v>0.03</v>
      </c>
      <c r="P21">
        <v>0.66</v>
      </c>
      <c r="Q21">
        <v>0.73</v>
      </c>
      <c r="R21">
        <v>0.47</v>
      </c>
      <c r="S21" t="s">
        <v>26</v>
      </c>
      <c r="T21" t="s">
        <v>189</v>
      </c>
      <c r="U21" t="s">
        <v>41</v>
      </c>
      <c r="V21">
        <v>1</v>
      </c>
      <c r="W21">
        <v>1</v>
      </c>
      <c r="X21">
        <v>1</v>
      </c>
      <c r="Y21">
        <v>0.78666666666666674</v>
      </c>
    </row>
    <row r="22" spans="1:25" x14ac:dyDescent="0.2">
      <c r="A22" t="s">
        <v>49</v>
      </c>
      <c r="B22" t="s">
        <v>190</v>
      </c>
      <c r="C22" t="s">
        <v>191</v>
      </c>
      <c r="D22" t="s">
        <v>192</v>
      </c>
      <c r="E22" t="s">
        <v>193</v>
      </c>
      <c r="F22" t="s">
        <v>194</v>
      </c>
      <c r="G22" t="b">
        <v>1</v>
      </c>
      <c r="H22" t="b">
        <v>0</v>
      </c>
      <c r="I22" t="b">
        <v>1</v>
      </c>
      <c r="J22">
        <v>0</v>
      </c>
      <c r="K22">
        <v>2</v>
      </c>
      <c r="L22">
        <v>17.46</v>
      </c>
      <c r="M22">
        <v>21.4</v>
      </c>
      <c r="N22">
        <v>18.46</v>
      </c>
      <c r="O22">
        <v>0.14000000000000001</v>
      </c>
      <c r="P22">
        <v>0.75</v>
      </c>
      <c r="Q22">
        <v>0.75</v>
      </c>
      <c r="S22" t="s">
        <v>195</v>
      </c>
      <c r="T22" t="s">
        <v>196</v>
      </c>
      <c r="U22" t="s">
        <v>41</v>
      </c>
      <c r="V22">
        <v>1</v>
      </c>
      <c r="W22">
        <v>0</v>
      </c>
      <c r="X22">
        <v>0.5</v>
      </c>
      <c r="Y22">
        <v>0.33333333333333331</v>
      </c>
    </row>
    <row r="23" spans="1:25" x14ac:dyDescent="0.2">
      <c r="A23" t="s">
        <v>50</v>
      </c>
      <c r="B23" t="s">
        <v>197</v>
      </c>
      <c r="C23" t="s">
        <v>198</v>
      </c>
      <c r="D23" t="s">
        <v>199</v>
      </c>
      <c r="E23" t="s">
        <v>200</v>
      </c>
      <c r="F23" t="s">
        <v>201</v>
      </c>
      <c r="G23" t="b">
        <v>1</v>
      </c>
      <c r="H23" t="b">
        <v>0</v>
      </c>
      <c r="I23" t="b">
        <v>1</v>
      </c>
      <c r="J23">
        <v>0</v>
      </c>
      <c r="K23">
        <v>3</v>
      </c>
      <c r="L23">
        <v>23.6</v>
      </c>
      <c r="M23">
        <v>25.17</v>
      </c>
      <c r="N23">
        <v>21.78</v>
      </c>
      <c r="O23">
        <v>0.04</v>
      </c>
      <c r="P23">
        <v>0.7</v>
      </c>
      <c r="Q23">
        <v>0.74</v>
      </c>
      <c r="S23" t="s">
        <v>202</v>
      </c>
      <c r="T23" t="s">
        <v>203</v>
      </c>
      <c r="U23" t="s">
        <v>41</v>
      </c>
      <c r="V23">
        <v>1</v>
      </c>
      <c r="W23">
        <v>0</v>
      </c>
      <c r="X23">
        <v>0.5</v>
      </c>
      <c r="Y23">
        <v>0.33333333333333331</v>
      </c>
    </row>
    <row r="24" spans="1:25" x14ac:dyDescent="0.2">
      <c r="A24" t="s">
        <v>51</v>
      </c>
      <c r="B24" t="s">
        <v>204</v>
      </c>
      <c r="C24" t="s">
        <v>205</v>
      </c>
      <c r="D24" t="s">
        <v>206</v>
      </c>
      <c r="E24" t="s">
        <v>207</v>
      </c>
      <c r="F24" t="s">
        <v>208</v>
      </c>
      <c r="G24" t="b">
        <v>0</v>
      </c>
      <c r="H24" t="b">
        <v>0</v>
      </c>
      <c r="I24" t="b">
        <v>0</v>
      </c>
      <c r="J24">
        <v>0</v>
      </c>
      <c r="K24">
        <v>0</v>
      </c>
      <c r="O24">
        <v>0</v>
      </c>
      <c r="P24">
        <v>0</v>
      </c>
      <c r="Q24">
        <v>0</v>
      </c>
      <c r="R24">
        <v>0</v>
      </c>
      <c r="S24" t="s">
        <v>26</v>
      </c>
      <c r="T24" t="s">
        <v>26</v>
      </c>
      <c r="U24" t="s">
        <v>41</v>
      </c>
      <c r="V24">
        <v>0</v>
      </c>
      <c r="W24">
        <v>0</v>
      </c>
      <c r="X24">
        <v>0</v>
      </c>
      <c r="Y24">
        <v>0</v>
      </c>
    </row>
    <row r="25" spans="1:25" x14ac:dyDescent="0.2">
      <c r="A25" t="s">
        <v>52</v>
      </c>
      <c r="B25" t="s">
        <v>209</v>
      </c>
      <c r="C25" t="s">
        <v>210</v>
      </c>
      <c r="D25" t="s">
        <v>211</v>
      </c>
      <c r="E25" t="s">
        <v>212</v>
      </c>
      <c r="F25" t="s">
        <v>213</v>
      </c>
      <c r="G25" t="b">
        <v>1</v>
      </c>
      <c r="H25" t="b">
        <v>1</v>
      </c>
      <c r="I25" t="b">
        <v>1</v>
      </c>
      <c r="J25">
        <v>531</v>
      </c>
      <c r="K25">
        <v>3</v>
      </c>
      <c r="L25">
        <v>62.12</v>
      </c>
      <c r="M25">
        <v>76.900000000000006</v>
      </c>
      <c r="N25">
        <v>66.56</v>
      </c>
      <c r="O25">
        <v>0.06</v>
      </c>
      <c r="P25">
        <v>0.69</v>
      </c>
      <c r="Q25">
        <v>0.79</v>
      </c>
      <c r="R25">
        <v>0.86</v>
      </c>
      <c r="S25" t="s">
        <v>45</v>
      </c>
      <c r="T25" t="s">
        <v>214</v>
      </c>
      <c r="U25" t="s">
        <v>55</v>
      </c>
      <c r="V25">
        <v>1</v>
      </c>
      <c r="W25">
        <v>0.66666666666666674</v>
      </c>
      <c r="X25">
        <v>0.83333333333333337</v>
      </c>
      <c r="Y25">
        <v>0.42666666666666669</v>
      </c>
    </row>
    <row r="26" spans="1:25" x14ac:dyDescent="0.2">
      <c r="A26" t="s">
        <v>53</v>
      </c>
      <c r="B26" t="s">
        <v>215</v>
      </c>
      <c r="C26" t="s">
        <v>216</v>
      </c>
      <c r="D26" t="s">
        <v>217</v>
      </c>
      <c r="E26" t="s">
        <v>218</v>
      </c>
      <c r="F26" t="s">
        <v>219</v>
      </c>
      <c r="G26" t="b">
        <v>0</v>
      </c>
      <c r="H26" t="b">
        <v>0</v>
      </c>
      <c r="I26" t="b">
        <v>0</v>
      </c>
      <c r="J26">
        <v>0</v>
      </c>
      <c r="K26">
        <v>0</v>
      </c>
      <c r="O26">
        <v>0</v>
      </c>
      <c r="P26">
        <v>0</v>
      </c>
      <c r="Q26">
        <v>0</v>
      </c>
      <c r="R26">
        <v>0</v>
      </c>
      <c r="S26" t="s">
        <v>26</v>
      </c>
      <c r="T26" t="s">
        <v>26</v>
      </c>
      <c r="U26" t="s">
        <v>55</v>
      </c>
      <c r="V26">
        <v>0</v>
      </c>
      <c r="W26">
        <v>0</v>
      </c>
      <c r="X26">
        <v>0</v>
      </c>
      <c r="Y26">
        <v>0</v>
      </c>
    </row>
    <row r="27" spans="1:25" x14ac:dyDescent="0.2">
      <c r="A27" t="s">
        <v>54</v>
      </c>
      <c r="B27" t="s">
        <v>220</v>
      </c>
      <c r="C27" t="s">
        <v>221</v>
      </c>
      <c r="D27" t="s">
        <v>222</v>
      </c>
      <c r="E27" t="s">
        <v>223</v>
      </c>
      <c r="F27" t="s">
        <v>224</v>
      </c>
      <c r="G27" t="b">
        <v>1</v>
      </c>
      <c r="H27" t="b">
        <v>1</v>
      </c>
      <c r="I27" t="b">
        <v>1</v>
      </c>
      <c r="J27">
        <v>188</v>
      </c>
      <c r="K27">
        <v>2</v>
      </c>
      <c r="L27">
        <v>57.17</v>
      </c>
      <c r="M27">
        <v>108.65</v>
      </c>
      <c r="N27">
        <v>71.95</v>
      </c>
      <c r="O27">
        <v>0.04</v>
      </c>
      <c r="P27">
        <v>0.71</v>
      </c>
      <c r="Q27">
        <v>0.76</v>
      </c>
      <c r="R27">
        <v>0.79</v>
      </c>
      <c r="S27" t="s">
        <v>26</v>
      </c>
      <c r="T27" t="s">
        <v>225</v>
      </c>
      <c r="U27" t="s">
        <v>55</v>
      </c>
      <c r="V27">
        <v>1</v>
      </c>
      <c r="W27">
        <v>1</v>
      </c>
      <c r="X27">
        <v>1</v>
      </c>
      <c r="Y27">
        <v>0.51833333333333342</v>
      </c>
    </row>
    <row r="28" spans="1:25" x14ac:dyDescent="0.2">
      <c r="A28" t="s">
        <v>56</v>
      </c>
      <c r="B28" t="s">
        <v>226</v>
      </c>
      <c r="C28" t="s">
        <v>227</v>
      </c>
      <c r="D28" t="s">
        <v>228</v>
      </c>
      <c r="E28" t="s">
        <v>229</v>
      </c>
      <c r="F28" t="s">
        <v>230</v>
      </c>
      <c r="G28" t="b">
        <v>1</v>
      </c>
      <c r="H28" t="b">
        <v>1</v>
      </c>
      <c r="I28" t="b">
        <v>1</v>
      </c>
      <c r="J28">
        <v>169</v>
      </c>
      <c r="K28">
        <v>3</v>
      </c>
      <c r="L28">
        <v>285.45999999999998</v>
      </c>
      <c r="M28">
        <v>355.86</v>
      </c>
      <c r="N28">
        <v>299.27</v>
      </c>
      <c r="O28">
        <v>0.06</v>
      </c>
      <c r="P28">
        <v>0.66</v>
      </c>
      <c r="Q28">
        <v>0.75</v>
      </c>
      <c r="R28">
        <v>0.76</v>
      </c>
      <c r="S28" t="s">
        <v>26</v>
      </c>
      <c r="T28" t="s">
        <v>231</v>
      </c>
      <c r="U28" t="s">
        <v>55</v>
      </c>
      <c r="V28">
        <v>1</v>
      </c>
      <c r="W28">
        <v>1</v>
      </c>
      <c r="X28">
        <v>1</v>
      </c>
      <c r="Y28">
        <v>0.49111111111111122</v>
      </c>
    </row>
    <row r="29" spans="1:25" x14ac:dyDescent="0.2">
      <c r="A29" t="s">
        <v>57</v>
      </c>
      <c r="B29" t="s">
        <v>232</v>
      </c>
      <c r="C29" t="s">
        <v>233</v>
      </c>
      <c r="D29" t="s">
        <v>234</v>
      </c>
      <c r="E29" t="s">
        <v>235</v>
      </c>
      <c r="F29" t="s">
        <v>236</v>
      </c>
      <c r="G29" t="b">
        <v>1</v>
      </c>
      <c r="H29" t="b">
        <v>0</v>
      </c>
      <c r="I29" t="b">
        <v>1</v>
      </c>
      <c r="J29">
        <v>0</v>
      </c>
      <c r="K29">
        <v>4</v>
      </c>
      <c r="L29">
        <v>17.29</v>
      </c>
      <c r="M29">
        <v>21.84</v>
      </c>
      <c r="N29">
        <v>18.73</v>
      </c>
      <c r="O29">
        <v>0.06</v>
      </c>
      <c r="P29">
        <v>0.75</v>
      </c>
      <c r="Q29">
        <v>0.77</v>
      </c>
      <c r="S29" t="s">
        <v>237</v>
      </c>
      <c r="T29" t="s">
        <v>238</v>
      </c>
      <c r="U29" t="s">
        <v>55</v>
      </c>
      <c r="V29">
        <v>1</v>
      </c>
      <c r="W29">
        <v>0</v>
      </c>
      <c r="X29">
        <v>0.5</v>
      </c>
      <c r="Y29">
        <v>0.33333333333333331</v>
      </c>
    </row>
    <row r="30" spans="1:25" x14ac:dyDescent="0.2">
      <c r="A30" t="s">
        <v>58</v>
      </c>
      <c r="B30" t="s">
        <v>239</v>
      </c>
      <c r="C30" t="s">
        <v>240</v>
      </c>
      <c r="D30" t="s">
        <v>241</v>
      </c>
      <c r="E30" t="s">
        <v>242</v>
      </c>
      <c r="F30" t="s">
        <v>243</v>
      </c>
      <c r="G30" t="b">
        <v>1</v>
      </c>
      <c r="H30" t="b">
        <v>1</v>
      </c>
      <c r="I30" t="b">
        <v>1</v>
      </c>
      <c r="J30">
        <v>447</v>
      </c>
      <c r="K30">
        <v>3</v>
      </c>
      <c r="L30">
        <v>55.68</v>
      </c>
      <c r="M30">
        <v>57.73</v>
      </c>
      <c r="N30">
        <v>56.25</v>
      </c>
      <c r="O30">
        <v>0</v>
      </c>
      <c r="P30">
        <v>0.67</v>
      </c>
      <c r="Q30">
        <v>0.73</v>
      </c>
      <c r="R30">
        <v>0.68</v>
      </c>
      <c r="S30" t="s">
        <v>244</v>
      </c>
      <c r="T30" t="s">
        <v>245</v>
      </c>
      <c r="U30" t="s">
        <v>55</v>
      </c>
      <c r="V30">
        <v>1</v>
      </c>
      <c r="W30">
        <v>0.66666666666666674</v>
      </c>
      <c r="X30">
        <v>0.83333333333333337</v>
      </c>
      <c r="Y30">
        <v>0.6166666666666667</v>
      </c>
    </row>
    <row r="31" spans="1:25" x14ac:dyDescent="0.2">
      <c r="A31" t="s">
        <v>59</v>
      </c>
      <c r="B31" t="s">
        <v>246</v>
      </c>
      <c r="C31" t="s">
        <v>247</v>
      </c>
      <c r="D31" t="s">
        <v>248</v>
      </c>
      <c r="E31" t="s">
        <v>249</v>
      </c>
      <c r="F31" t="s">
        <v>250</v>
      </c>
      <c r="G31" t="b">
        <v>1</v>
      </c>
      <c r="H31" t="b">
        <v>1</v>
      </c>
      <c r="I31" t="b">
        <v>1</v>
      </c>
      <c r="J31">
        <v>139</v>
      </c>
      <c r="K31">
        <v>3</v>
      </c>
      <c r="L31">
        <v>59</v>
      </c>
      <c r="M31">
        <v>74.260000000000005</v>
      </c>
      <c r="N31">
        <v>64.069999999999993</v>
      </c>
      <c r="O31">
        <v>7.0000000000000007E-2</v>
      </c>
      <c r="P31">
        <v>0.66</v>
      </c>
      <c r="Q31">
        <v>0.81</v>
      </c>
      <c r="R31">
        <v>0.84</v>
      </c>
      <c r="S31" t="s">
        <v>251</v>
      </c>
      <c r="T31" t="s">
        <v>252</v>
      </c>
      <c r="U31" t="s">
        <v>55</v>
      </c>
      <c r="V31">
        <v>1</v>
      </c>
      <c r="W31">
        <v>0.66666666666666674</v>
      </c>
      <c r="X31">
        <v>0.83333333333333337</v>
      </c>
      <c r="Y31">
        <v>0.45333333333333331</v>
      </c>
    </row>
    <row r="32" spans="1:25" x14ac:dyDescent="0.2">
      <c r="A32" t="s">
        <v>60</v>
      </c>
      <c r="B32" t="s">
        <v>253</v>
      </c>
      <c r="C32" t="s">
        <v>254</v>
      </c>
      <c r="D32" t="s">
        <v>255</v>
      </c>
      <c r="E32" t="s">
        <v>256</v>
      </c>
      <c r="F32" t="s">
        <v>257</v>
      </c>
      <c r="G32" t="b">
        <v>1</v>
      </c>
      <c r="H32" t="b">
        <v>1</v>
      </c>
      <c r="I32" t="b">
        <v>1</v>
      </c>
      <c r="J32">
        <v>25</v>
      </c>
      <c r="K32">
        <v>7</v>
      </c>
      <c r="L32">
        <v>131.88999999999999</v>
      </c>
      <c r="M32">
        <v>134.81</v>
      </c>
      <c r="N32">
        <v>128</v>
      </c>
      <c r="O32">
        <v>0</v>
      </c>
      <c r="P32">
        <v>0.7</v>
      </c>
      <c r="Q32">
        <v>0.79</v>
      </c>
      <c r="R32">
        <v>0.89</v>
      </c>
      <c r="S32" t="s">
        <v>61</v>
      </c>
      <c r="T32" t="s">
        <v>258</v>
      </c>
      <c r="U32" t="s">
        <v>55</v>
      </c>
      <c r="V32">
        <v>1</v>
      </c>
      <c r="W32">
        <v>0.5714285714285714</v>
      </c>
      <c r="X32">
        <v>0.7857142857142857</v>
      </c>
      <c r="Y32">
        <v>0.43047619047619051</v>
      </c>
    </row>
    <row r="33" spans="1:25" x14ac:dyDescent="0.2">
      <c r="A33" t="s">
        <v>62</v>
      </c>
      <c r="B33" t="s">
        <v>259</v>
      </c>
      <c r="C33" t="s">
        <v>260</v>
      </c>
      <c r="D33" t="s">
        <v>261</v>
      </c>
      <c r="E33" t="s">
        <v>262</v>
      </c>
      <c r="F33" t="s">
        <v>263</v>
      </c>
      <c r="G33" t="b">
        <v>1</v>
      </c>
      <c r="H33" t="b">
        <v>1</v>
      </c>
      <c r="I33" t="b">
        <v>1</v>
      </c>
      <c r="J33">
        <v>42428</v>
      </c>
      <c r="K33">
        <v>3</v>
      </c>
      <c r="L33">
        <v>22376.66</v>
      </c>
      <c r="M33">
        <v>22790.66</v>
      </c>
      <c r="N33">
        <v>22503.17</v>
      </c>
      <c r="O33">
        <v>0.03</v>
      </c>
      <c r="P33">
        <v>0.66</v>
      </c>
      <c r="Q33">
        <v>0.75</v>
      </c>
      <c r="R33">
        <v>0.98</v>
      </c>
      <c r="S33" t="s">
        <v>26</v>
      </c>
      <c r="T33" t="s">
        <v>264</v>
      </c>
      <c r="U33" t="s">
        <v>55</v>
      </c>
      <c r="V33">
        <v>1</v>
      </c>
      <c r="W33">
        <v>1</v>
      </c>
      <c r="X33">
        <v>1</v>
      </c>
      <c r="Y33">
        <v>0.44777777777777777</v>
      </c>
    </row>
    <row r="34" spans="1:25" x14ac:dyDescent="0.2">
      <c r="A34" t="s">
        <v>63</v>
      </c>
      <c r="B34" t="s">
        <v>265</v>
      </c>
      <c r="C34" t="s">
        <v>266</v>
      </c>
      <c r="D34" t="s">
        <v>267</v>
      </c>
      <c r="E34" t="s">
        <v>268</v>
      </c>
      <c r="F34" t="s">
        <v>269</v>
      </c>
      <c r="G34" t="b">
        <v>1</v>
      </c>
      <c r="H34" t="b">
        <v>0</v>
      </c>
      <c r="I34" t="b">
        <v>1</v>
      </c>
      <c r="J34">
        <v>0</v>
      </c>
      <c r="K34">
        <v>3</v>
      </c>
      <c r="L34">
        <v>11.97</v>
      </c>
      <c r="M34">
        <v>16.420000000000002</v>
      </c>
      <c r="N34">
        <v>13.34</v>
      </c>
      <c r="O34">
        <v>0.04</v>
      </c>
      <c r="P34">
        <v>0.69</v>
      </c>
      <c r="Q34">
        <v>0.76</v>
      </c>
      <c r="S34" t="s">
        <v>270</v>
      </c>
      <c r="T34" t="s">
        <v>271</v>
      </c>
      <c r="U34" t="s">
        <v>55</v>
      </c>
      <c r="V34">
        <v>1</v>
      </c>
      <c r="W34">
        <v>0</v>
      </c>
      <c r="X34">
        <v>0.5</v>
      </c>
      <c r="Y34">
        <v>0.33333333333333331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68</v>
      </c>
      <c r="B1" s="2" t="s">
        <v>69</v>
      </c>
      <c r="C1" s="2" t="s">
        <v>70</v>
      </c>
      <c r="D1" s="2" t="s">
        <v>71</v>
      </c>
    </row>
    <row r="2" spans="1:4" x14ac:dyDescent="0.2">
      <c r="A2" t="str" cm="1">
        <f t="array" ref="A2:A4">_xlfn.UNIQUE(All!U2:U34)</f>
        <v>simple</v>
      </c>
      <c r="B2">
        <f>COUNTIF(All!U2:U34,Filter!A2)</f>
        <v>12</v>
      </c>
      <c r="C2">
        <f>COUNTIFS(All!$G:$G, TRUE, All!$U:$U, A2)</f>
        <v>12</v>
      </c>
      <c r="D2">
        <f>COUNTIFS(All!$G:$G, TRUE,
          All!$H:$H, TRUE,
          All!$I:$I, TRUE,
          All!$U:$U, A2)</f>
        <v>11</v>
      </c>
    </row>
    <row r="3" spans="1:4" x14ac:dyDescent="0.2">
      <c r="A3" t="str">
        <v>moderate</v>
      </c>
      <c r="B3">
        <f>COUNTIF(All!U3:U35,Filter!A3)</f>
        <v>11</v>
      </c>
      <c r="C3">
        <f>COUNTIFS(All!$G:$G, TRUE, All!$U:$U, A3)</f>
        <v>10</v>
      </c>
      <c r="D3">
        <f>COUNTIFS(All!$G:$G, TRUE,
          All!$H:$H, TRUE,
          All!$I:$I, TRUE,
          All!$U:$U, A3)</f>
        <v>8</v>
      </c>
    </row>
    <row r="4" spans="1:4" x14ac:dyDescent="0.2">
      <c r="A4" t="str">
        <v>complex</v>
      </c>
      <c r="B4">
        <f>COUNTIF(All!U4:U36,Filter!A4)</f>
        <v>10</v>
      </c>
      <c r="C4">
        <f>COUNTIFS(All!$G:$G, TRUE, All!$U:$U, A4)</f>
        <v>9</v>
      </c>
      <c r="D4">
        <f>COUNTIFS(All!$G:$G, TRUE,
          All!$H:$H, TRUE,
          All!$I:$I, TRUE,
          All!$U:$U, A4)</f>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abSelected="1" workbookViewId="0">
      <selection activeCell="K4" sqref="K4"/>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64</v>
      </c>
      <c r="P1" s="1" t="s">
        <v>65</v>
      </c>
      <c r="Q1" s="1" t="s">
        <v>66</v>
      </c>
    </row>
    <row r="2" spans="1:17" x14ac:dyDescent="0.2">
      <c r="A2" t="s">
        <v>27</v>
      </c>
      <c r="B2" s="3">
        <f>AVERAGEIFS(All!$J:$J,
            All!$G:$G, TRUE,
            All!$H:$H, TRUE,
            All!$I:$I, TRUE,
            All!$U:$U, A2)</f>
        <v>1295.1818181818182</v>
      </c>
      <c r="C2" s="3">
        <f>AVERAGEIFS(All!K:K,
            All!$G:$G, TRUE,
            All!$H:$H, TRUE,
            All!$I:$I, TRUE,
            All!$U:$U, $A2)</f>
        <v>2.3636363636363638</v>
      </c>
      <c r="D2" s="3">
        <f>AVERAGEIFS(All!L:L,
            All!$G:$G, TRUE,
            All!$H:$H, TRUE,
            All!$I:$I, TRUE,
            All!$U:$U, $A2)</f>
        <v>64.166363636363641</v>
      </c>
      <c r="E2" s="3">
        <f>AVERAGEIFS(All!M:M,
            All!$G:$G, TRUE,
            All!$H:$H, TRUE,
            All!$I:$I, TRUE,
            All!$U:$U, $A2)</f>
        <v>66.057272727272732</v>
      </c>
      <c r="F2" s="3">
        <f>AVERAGEIFS(All!N:N,
            All!$G:$G, TRUE,
            All!$H:$H, TRUE,
            All!$I:$I, TRUE,
            All!$U:$U, $A2)</f>
        <v>63.701818181818183</v>
      </c>
      <c r="G2" s="3">
        <f>AVERAGEIFS(All!O:O,
            All!$G:$G, TRUE,
            All!$H:$H, TRUE,
            All!$I:$I, TRUE,
            All!$U:$U, $A2)</f>
        <v>3.0909090909090907E-2</v>
      </c>
      <c r="H2" s="3">
        <f>AVERAGEIFS(All!P:P,
            All!$G:$G, TRUE,
            All!$H:$H, TRUE,
            All!$I:$I, TRUE,
            All!$U:$U, $A2)</f>
        <v>0.70272727272727264</v>
      </c>
      <c r="I2" s="3">
        <f>AVERAGEIFS(All!Q:Q,
            All!$G:$G, TRUE,
            All!$H:$H, TRUE,
            All!$I:$I, TRUE,
            All!$U:$U, $A2)</f>
        <v>0.74818181818181817</v>
      </c>
      <c r="J2" s="3">
        <f>AVERAGEIFS(All!R:R,
            All!$G:$G, TRUE,
            All!$H:$H, TRUE,
            All!$I:$I, TRUE,
            All!$U:$U, $A2)</f>
        <v>0.6990909090909091</v>
      </c>
      <c r="K2" s="3">
        <f>AVERAGEIFS(All!V:V,
            All!$G:$G, TRUE,
            All!$H:$H, TRUE,
            All!$I:$I, TRUE,
            All!$U:$U, $A2)</f>
        <v>1</v>
      </c>
      <c r="L2" s="3">
        <f>AVERAGEIFS(All!W:W,
            All!$G:$G, TRUE,
            All!$H:$H, TRUE,
            All!$I:$I, TRUE,
            All!$U:$U, $A2)</f>
        <v>1</v>
      </c>
      <c r="M2" s="3">
        <f>AVERAGEIFS(All!X:X,
            All!$G:$G, TRUE,
            All!$H:$H, TRUE,
            All!$I:$I, TRUE,
            All!$U:$U, $A2)</f>
        <v>1</v>
      </c>
      <c r="N2" s="3">
        <f>AVERAGEIFS(All!Y:Y,
            All!$G:$G, TRUE,
            All!$H:$H, TRUE,
            All!$I:$I, TRUE,
            All!$U:$U, $A2)</f>
        <v>0.65060606060606063</v>
      </c>
      <c r="O2" s="3">
        <f>COUNTIFS(All!G:G,TRUE,All!$U:$U,$A2)/COUNTIF(All!$U2:$U34,Filter!$A2)</f>
        <v>1</v>
      </c>
      <c r="P2" s="3">
        <f>COUNTIFS(All!H:H,TRUE,All!$U:$U,$A2)/COUNTIF(All!$U2:$U34,Filter!$A2)</f>
        <v>0.91666666666666663</v>
      </c>
      <c r="Q2" s="3">
        <f>COUNTIFS(All!I:I,TRUE,All!$U:$U,$A2)/COUNTIF(All!$U2:$U34,Filter!$A2)</f>
        <v>1</v>
      </c>
    </row>
    <row r="3" spans="1:17" x14ac:dyDescent="0.2">
      <c r="A3" t="s">
        <v>41</v>
      </c>
      <c r="B3" s="3">
        <f>AVERAGEIFS(All!$J:$J,
            All!$G:$G, TRUE,
            All!$H:$H, TRUE,
            All!$I:$I, TRUE,
            All!$U:$U, A3)</f>
        <v>9907.25</v>
      </c>
      <c r="C3" s="3">
        <f>AVERAGEIFS(All!K:K,
            All!$G:$G, TRUE,
            All!$H:$H, TRUE,
            All!$I:$I, TRUE,
            All!$U:$U, $A3)</f>
        <v>2.375</v>
      </c>
      <c r="D3" s="3">
        <f>AVERAGEIFS(All!L:L,
            All!$G:$G, TRUE,
            All!$H:$H, TRUE,
            All!$I:$I, TRUE,
            All!$U:$U, $A3)</f>
        <v>1348.3362500000001</v>
      </c>
      <c r="E3" s="3">
        <f>AVERAGEIFS(All!M:M,
            All!$G:$G, TRUE,
            All!$H:$H, TRUE,
            All!$I:$I, TRUE,
            All!$U:$U, $A3)</f>
        <v>1357.9612500000001</v>
      </c>
      <c r="F3" s="3">
        <f>AVERAGEIFS(All!N:N,
            All!$G:$G, TRUE,
            All!$H:$H, TRUE,
            All!$I:$I, TRUE,
            All!$U:$U, $A3)</f>
        <v>1346.3275000000001</v>
      </c>
      <c r="G3" s="3">
        <f>AVERAGEIFS(All!O:O,
            All!$G:$G, TRUE,
            All!$H:$H, TRUE,
            All!$I:$I, TRUE,
            All!$U:$U, $A3)</f>
        <v>7.8750000000000014E-2</v>
      </c>
      <c r="H3" s="3">
        <f>AVERAGEIFS(All!P:P,
            All!$G:$G, TRUE,
            All!$H:$H, TRUE,
            All!$I:$I, TRUE,
            All!$U:$U, $A3)</f>
        <v>0.70874999999999999</v>
      </c>
      <c r="I3" s="3">
        <f>AVERAGEIFS(All!Q:Q,
            All!$G:$G, TRUE,
            All!$H:$H, TRUE,
            All!$I:$I, TRUE,
            All!$U:$U, $A3)</f>
        <v>0.75625000000000009</v>
      </c>
      <c r="J3" s="3">
        <f>AVERAGEIFS(All!R:R,
            All!$G:$G, TRUE,
            All!$H:$H, TRUE,
            All!$I:$I, TRUE,
            All!$U:$U, $A3)</f>
        <v>0.74250000000000005</v>
      </c>
      <c r="K3" s="3">
        <f>AVERAGEIFS(All!V:V,
            All!$G:$G, TRUE,
            All!$H:$H, TRUE,
            All!$I:$I, TRUE,
            All!$U:$U, $A3)</f>
        <v>1</v>
      </c>
      <c r="L3" s="3">
        <f>AVERAGEIFS(All!W:W,
            All!$G:$G, TRUE,
            All!$H:$H, TRUE,
            All!$I:$I, TRUE,
            All!$U:$U, $A3)</f>
        <v>0.96875</v>
      </c>
      <c r="M3" s="3">
        <f>AVERAGEIFS(All!X:X,
            All!$G:$G, TRUE,
            All!$H:$H, TRUE,
            All!$I:$I, TRUE,
            All!$U:$U, $A3)</f>
        <v>0.984375</v>
      </c>
      <c r="N3" s="3">
        <f>AVERAGEIFS(All!Y:Y,
            All!$G:$G, TRUE,
            All!$H:$H, TRUE,
            All!$I:$I, TRUE,
            All!$U:$U, $A3)</f>
        <v>0.49600694444444449</v>
      </c>
      <c r="O3" s="3">
        <f>COUNTIFS(All!G:G,TRUE,All!$U:$U,$A3)/COUNTIF(All!$U3:$U35,Filter!$A3)</f>
        <v>0.90909090909090906</v>
      </c>
      <c r="P3" s="3">
        <f>COUNTIFS(All!H:H,TRUE,All!$U:$U,$A3)/COUNTIF(All!$U3:$U35,Filter!$A3)</f>
        <v>0.72727272727272729</v>
      </c>
      <c r="Q3" s="3">
        <f>COUNTIFS(All!I:I,TRUE,All!$U:$U,$A3)/COUNTIF(All!$U3:$U35,Filter!$A3)</f>
        <v>0.90909090909090906</v>
      </c>
    </row>
    <row r="4" spans="1:17" x14ac:dyDescent="0.2">
      <c r="A4" t="s">
        <v>55</v>
      </c>
      <c r="B4" s="3">
        <f>AVERAGEIFS(All!$J:$J,
            All!$G:$G, TRUE,
            All!$H:$H, TRUE,
            All!$I:$I, TRUE,
            All!$U:$U, A4)</f>
        <v>6275.2857142857147</v>
      </c>
      <c r="C4" s="3">
        <f>AVERAGEIFS(All!K:K,
            All!$G:$G, TRUE,
            All!$H:$H, TRUE,
            All!$I:$I, TRUE,
            All!$U:$U, $A4)</f>
        <v>3.4285714285714284</v>
      </c>
      <c r="D4" s="3">
        <f>AVERAGEIFS(All!L:L,
            All!$G:$G, TRUE,
            All!$H:$H, TRUE,
            All!$I:$I, TRUE,
            All!$U:$U, $A4)</f>
        <v>3289.7114285714283</v>
      </c>
      <c r="E4" s="3">
        <f>AVERAGEIFS(All!M:M,
            All!$G:$G, TRUE,
            All!$H:$H, TRUE,
            All!$I:$I, TRUE,
            All!$U:$U, $A4)</f>
        <v>3371.2671428571425</v>
      </c>
      <c r="F4" s="3">
        <f>AVERAGEIFS(All!N:N,
            All!$G:$G, TRUE,
            All!$H:$H, TRUE,
            All!$I:$I, TRUE,
            All!$U:$U, $A4)</f>
        <v>3312.7528571428566</v>
      </c>
      <c r="G4" s="3">
        <f>AVERAGEIFS(All!O:O,
            All!$G:$G, TRUE,
            All!$H:$H, TRUE,
            All!$I:$I, TRUE,
            All!$U:$U, $A4)</f>
        <v>3.7142857142857144E-2</v>
      </c>
      <c r="H4" s="3">
        <f>AVERAGEIFS(All!P:P,
            All!$G:$G, TRUE,
            All!$H:$H, TRUE,
            All!$I:$I, TRUE,
            All!$U:$U, $A4)</f>
        <v>0.6785714285714286</v>
      </c>
      <c r="I4" s="3">
        <f>AVERAGEIFS(All!Q:Q,
            All!$G:$G, TRUE,
            All!$H:$H, TRUE,
            All!$I:$I, TRUE,
            All!$U:$U, $A4)</f>
        <v>0.76857142857142857</v>
      </c>
      <c r="J4" s="3">
        <f>AVERAGEIFS(All!R:R,
            All!$G:$G, TRUE,
            All!$H:$H, TRUE,
            All!$I:$I, TRUE,
            All!$U:$U, $A4)</f>
        <v>0.82857142857142863</v>
      </c>
      <c r="K4" s="3">
        <f>AVERAGEIFS(All!V:V,
            All!$G:$G, TRUE,
            All!$H:$H, TRUE,
            All!$I:$I, TRUE,
            All!$U:$U, $A4)</f>
        <v>1</v>
      </c>
      <c r="L4" s="3">
        <f>AVERAGEIFS(All!W:W,
            All!$G:$G, TRUE,
            All!$H:$H, TRUE,
            All!$I:$I, TRUE,
            All!$U:$U, $A4)</f>
        <v>0.79591836734693888</v>
      </c>
      <c r="M4" s="3">
        <f>AVERAGEIFS(All!X:X,
            All!$G:$G, TRUE,
            All!$H:$H, TRUE,
            All!$I:$I, TRUE,
            All!$U:$U, $A4)</f>
        <v>0.89795918367346939</v>
      </c>
      <c r="N4" s="3">
        <f>AVERAGEIFS(All!Y:Y,
            All!$G:$G, TRUE,
            All!$H:$H, TRUE,
            All!$I:$I, TRUE,
            All!$U:$U, $A4)</f>
        <v>0.48348072562358274</v>
      </c>
      <c r="O4" s="3">
        <f>COUNTIFS(All!G:G,TRUE,All!$U:$U,$A4)/COUNTIF(All!$U4:$U36,Filter!$A4)</f>
        <v>0.9</v>
      </c>
      <c r="P4" s="3">
        <f>COUNTIFS(All!H:H,TRUE,All!$U:$U,$A4)/COUNTIF(All!$U4:$U36,Filter!$A4)</f>
        <v>0.7</v>
      </c>
      <c r="Q4" s="3">
        <f>COUNTIFS(All!I:I,TRUE,All!$U:$U,$A4)/COUNTIF(All!$U4:$U36,Filter!$A4)</f>
        <v>0.9</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K7" sqref="K7"/>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64</v>
      </c>
      <c r="P1" s="4" t="s">
        <v>65</v>
      </c>
      <c r="Q1" s="4" t="s">
        <v>66</v>
      </c>
    </row>
    <row r="2" spans="1:17" x14ac:dyDescent="0.2">
      <c r="A2" s="3" t="s">
        <v>67</v>
      </c>
      <c r="B2" s="3">
        <f>AVERAGEIFS(All!J:J,All!$G:$G, TRUE,All!$H:$H, TRUE,All!$I:$I, TRUE)</f>
        <v>5285.8461538461543</v>
      </c>
      <c r="C2" s="3">
        <f>AVERAGEIFS(All!K:K,All!$G:$G, TRUE,All!$H:$H, TRUE,All!$I:$I, TRUE)</f>
        <v>2.6538461538461537</v>
      </c>
      <c r="D2" s="3">
        <f>AVERAGEIFS(All!L:L,All!$G:$G, TRUE,All!$H:$H, TRUE,All!$I:$I, TRUE)</f>
        <v>1327.7115384615386</v>
      </c>
      <c r="E2" s="3">
        <f>AVERAGEIFS(All!M:M,All!$G:$G, TRUE,All!$H:$H, TRUE,All!$I:$I, TRUE)</f>
        <v>1353.4303846153848</v>
      </c>
      <c r="F2" s="3">
        <f>AVERAGEIFS(All!N:N,All!$G:$G, TRUE,All!$H:$H, TRUE,All!$I:$I, TRUE)</f>
        <v>1333.1003846153847</v>
      </c>
      <c r="G2" s="3">
        <f>AVERAGEIFS(All!O:O,All!$G:$G, TRUE,All!$H:$H, TRUE,All!$I:$I, TRUE)</f>
        <v>4.7307692307692321E-2</v>
      </c>
      <c r="H2" s="3">
        <f>AVERAGEIFS(All!P:P,All!$G:$G, TRUE,All!$H:$H, TRUE,All!$I:$I, TRUE)</f>
        <v>0.69807692307692315</v>
      </c>
      <c r="I2" s="3">
        <f>AVERAGEIFS(All!Q:Q,All!$G:$G, TRUE,All!$H:$H, TRUE,All!$I:$I, TRUE)</f>
        <v>0.75615384615384607</v>
      </c>
      <c r="J2" s="3">
        <f>AVERAGEIFS(All!R:R,All!$G:$G, TRUE,All!$H:$H, TRUE,All!$I:$I, TRUE)</f>
        <v>0.74730769230769245</v>
      </c>
      <c r="K2" s="3">
        <f>AVERAGEIFS(All!V:V,All!$G:$G, TRUE,All!$H:$H, TRUE,All!$I:$I, TRUE)</f>
        <v>1</v>
      </c>
      <c r="L2" s="3">
        <f>AVERAGEIFS(All!W:W,All!$G:$G, TRUE,All!$H:$H, TRUE,All!$I:$I, TRUE)</f>
        <v>0.93543956043956067</v>
      </c>
      <c r="M2" s="3">
        <f>AVERAGEIFS(All!X:X,All!$G:$G, TRUE,All!$H:$H, TRUE,All!$I:$I, TRUE)</f>
        <v>0.96771978021978</v>
      </c>
      <c r="N2" s="3">
        <f>AVERAGEIFS(All!Y:Y,All!$G:$G, TRUE,All!$H:$H, TRUE,All!$I:$I, TRUE)</f>
        <v>0.55804181929181929</v>
      </c>
      <c r="O2" s="3">
        <f>COUNTIFS(All!G:G,TRUE)/COUNTA(All!$U2:$U34)</f>
        <v>0.93939393939393945</v>
      </c>
      <c r="P2" s="3">
        <f>COUNTIFS(All!H:H,TRUE)/COUNTA(All!$U2:$U34)</f>
        <v>0.78787878787878785</v>
      </c>
      <c r="Q2" s="3">
        <f>COUNTIFS(All!I:I,TRUE)/COUNTA(All!$U2:$U34)</f>
        <v>0.93939393939393945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2025-11-27T18:46:55Z</dcterms:modified>
</cp:coreProperties>
</file>