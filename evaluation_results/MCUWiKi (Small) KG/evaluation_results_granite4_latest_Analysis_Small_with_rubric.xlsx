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name="Filter" sheetId="1" state="visible" r:id="rId1"/>
    <sheet name="By-CQ-Level" sheetId="2" state="visible" r:id="rId2"/>
    <sheet name="Overall" sheetId="3" state="visible" r:id="rId3"/>
    <sheet name="All" sheetId="4" state="visible" r:id="rId4"/>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B2" sqref="B2"/>
    </sheetView>
  </sheetViews>
  <sheetFormatPr baseColWidth="10" defaultRowHeight="15"/>
  <sheetData>
    <row r="1">
      <c r="A1" s="2" t="inlineStr">
        <is>
          <t>Complexity</t>
        </is>
      </c>
      <c r="B1" s="2" t="inlineStr">
        <is>
          <t>Total</t>
        </is>
      </c>
      <c r="C1" s="2" t="inlineStr">
        <is>
          <t>Valid Syntax</t>
        </is>
      </c>
      <c r="D1" s="2" t="inlineStr">
        <is>
          <t>Valid all</t>
        </is>
      </c>
    </row>
    <row r="2">
      <c r="A2">
        <f t="array" ref="A2:A4">_xlfn.UNIQUE(All!U2:U34)</f>
        <v/>
      </c>
      <c r="B2">
        <f>COUNTIF(All!U2:U34,Filter!A2)</f>
        <v/>
      </c>
      <c r="C2">
        <f>COUNTIFS(All!$G:$G, TRUE, All!$U:$U, A2)</f>
        <v/>
      </c>
      <c r="D2">
        <f>COUNTIFS(All!$G:$G, TRUE,
          All!$H:$H, TRUE,
          All!$I:$I, TRUE,
          All!$U:$U, A2)</f>
        <v/>
      </c>
    </row>
    <row r="3">
      <c r="A3" t="inlineStr">
        <is>
          <t>moderate</t>
        </is>
      </c>
      <c r="B3">
        <f>COUNTIF(All!U3:U35,Filter!A3)</f>
        <v/>
      </c>
      <c r="C3">
        <f>COUNTIFS(All!$G:$G, TRUE, All!$U:$U, A3)</f>
        <v/>
      </c>
      <c r="D3">
        <f>COUNTIFS(All!$G:$G, TRUE,
          All!$H:$H, TRUE,
          All!$I:$I, TRUE,
          All!$U:$U, A3)</f>
        <v/>
      </c>
    </row>
    <row r="4">
      <c r="A4" t="inlineStr">
        <is>
          <t>complex</t>
        </is>
      </c>
      <c r="B4">
        <f>COUNTIF(All!U4:U36,Filter!A4)</f>
        <v/>
      </c>
      <c r="C4">
        <f>COUNTIFS(All!$G:$G, TRUE, All!$U:$U, A4)</f>
        <v/>
      </c>
      <c r="D4">
        <f>COUNTIFS(All!$G:$G, TRUE,
          All!$H:$H, TRUE,
          All!$I:$I, TRUE,
          All!$U:$U, A4)</f>
        <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4"/>
  <sheetViews>
    <sheetView topLeftCell="E1" workbookViewId="0">
      <selection activeCell="I5" sqref="I5"/>
    </sheetView>
  </sheetViews>
  <sheetFormatPr baseColWidth="10" defaultColWidth="8.83203125" defaultRowHeight="15"/>
  <cols>
    <col width="8.5" bestFit="1" customWidth="1" min="1" max="1"/>
    <col width="8.6640625" bestFit="1" customWidth="1" min="2" max="2"/>
    <col width="4.6640625" bestFit="1" customWidth="1" min="3" max="3"/>
    <col width="13.6640625" bestFit="1" customWidth="1" min="4" max="5"/>
    <col width="15" bestFit="1" customWidth="1" min="6" max="6"/>
    <col width="18.33203125" bestFit="1" customWidth="1" min="7" max="7"/>
    <col width="22.1640625" bestFit="1" customWidth="1" min="8" max="8"/>
    <col width="25.6640625" bestFit="1" customWidth="1" min="9" max="9"/>
    <col width="13.1640625" bestFit="1" customWidth="1" min="10" max="10"/>
    <col width="16.33203125" bestFit="1" customWidth="1" min="11" max="11"/>
    <col width="22.33203125" bestFit="1" customWidth="1" min="12" max="12"/>
    <col width="9.33203125" bestFit="1" customWidth="1" min="13" max="13"/>
    <col width="20.83203125" bestFit="1" customWidth="1" min="14" max="14"/>
    <col width="12.6640625" bestFit="1" customWidth="1" min="15" max="15"/>
    <col width="12.83203125" bestFit="1" customWidth="1" min="16" max="16"/>
    <col width="15.6640625" bestFit="1" customWidth="1" min="17" max="17"/>
  </cols>
  <sheetData>
    <row r="1">
      <c r="A1" s="1" t="inlineStr">
        <is>
          <t>difficulty</t>
        </is>
      </c>
      <c r="B1" s="1" t="inlineStr">
        <is>
          <t>rows</t>
        </is>
      </c>
      <c r="C1" s="1" t="inlineStr">
        <is>
          <t>vars</t>
        </is>
      </c>
      <c r="D1" s="1" t="inlineStr">
        <is>
          <t>latency_p50_ms</t>
        </is>
      </c>
      <c r="E1" s="1" t="inlineStr">
        <is>
          <t>latency_p95_ms</t>
        </is>
      </c>
      <c r="F1" s="1" t="inlineStr">
        <is>
          <t>latency_mean_ms</t>
        </is>
      </c>
      <c r="G1" s="1" t="inlineStr">
        <is>
          <t>lexical_query_overlap</t>
        </is>
      </c>
      <c r="H1" s="1" t="inlineStr">
        <is>
          <t>semantic_similarity_to_CQ</t>
        </is>
      </c>
      <c r="I1" s="1" t="inlineStr">
        <is>
          <t>semantic_soft_coverage_to_CQ</t>
        </is>
      </c>
      <c r="J1" s="1" t="inlineStr">
        <is>
          <t>tuple_cohesion</t>
        </is>
      </c>
      <c r="K1" s="1" t="inlineStr">
        <is>
          <t>determinism_score</t>
        </is>
      </c>
      <c r="L1" s="1" t="inlineStr">
        <is>
          <t>satisfiability_binding_score</t>
        </is>
      </c>
      <c r="M1" s="1" t="inlineStr">
        <is>
          <t>h1_overall</t>
        </is>
      </c>
      <c r="N1" s="1" t="inlineStr">
        <is>
          <t>semantic_diversity_score</t>
        </is>
      </c>
      <c r="O1" s="1" t="inlineStr">
        <is>
          <t>syntax_ok_rate</t>
        </is>
      </c>
      <c r="P1" s="1" t="inlineStr">
        <is>
          <t>satisfiable_rate</t>
        </is>
      </c>
      <c r="Q1" s="1" t="inlineStr">
        <is>
          <t>deterministic_rate</t>
        </is>
      </c>
    </row>
    <row r="2">
      <c r="A2" t="inlineStr">
        <is>
          <t>simple</t>
        </is>
      </c>
      <c r="B2" s="3">
        <f>AVERAGEIFS(All!$J:$J,
            All!$G:$G, TRUE,
            All!$H:$H, TRUE,
            All!$I:$I, TRUE,
            All!$U:$U, A2)</f>
        <v/>
      </c>
      <c r="C2" s="3">
        <f>AVERAGEIFS(All!K:K,
            All!$G:$G, TRUE,
            All!$H:$H, TRUE,
            All!$I:$I, TRUE,
            All!$U:$U, $A2)</f>
        <v/>
      </c>
      <c r="D2" s="3">
        <f>AVERAGEIFS(All!L:L,
            All!$G:$G, TRUE,
            All!$H:$H, TRUE,
            All!$I:$I, TRUE,
            All!$U:$U, $A2)</f>
        <v/>
      </c>
      <c r="E2" s="3">
        <f>AVERAGEIFS(All!M:M,
            All!$G:$G, TRUE,
            All!$H:$H, TRUE,
            All!$I:$I, TRUE,
            All!$U:$U, $A2)</f>
        <v/>
      </c>
      <c r="F2" s="3">
        <f>AVERAGEIFS(All!N:N,
            All!$G:$G, TRUE,
            All!$H:$H, TRUE,
            All!$I:$I, TRUE,
            All!$U:$U, $A2)</f>
        <v/>
      </c>
      <c r="G2" s="3">
        <f>AVERAGEIFS(All!O:O,
            All!$G:$G, TRUE,
            All!$H:$H, TRUE,
            All!$I:$I, TRUE,
            All!$U:$U, $A2)</f>
        <v/>
      </c>
      <c r="H2" s="3">
        <f>AVERAGEIFS(All!P:P,
            All!$G:$G, TRUE,
            All!$H:$H, TRUE,
            All!$I:$I, TRUE,
            All!$U:$U, $A2)</f>
        <v/>
      </c>
      <c r="I2" s="3">
        <f>AVERAGEIFS(All!Q:Q,
            All!$G:$G, TRUE,
            All!$H:$H, TRUE,
            All!$I:$I, TRUE,
            All!$U:$U, $A2)</f>
        <v/>
      </c>
      <c r="J2" s="3">
        <f>AVERAGEIFS(All!R:R,
            All!$G:$G, TRUE,
            All!$H:$H, TRUE,
            All!$I:$I, TRUE,
            All!$U:$U, $A2)</f>
        <v/>
      </c>
      <c r="K2" s="3">
        <f>AVERAGEIFS(All!V:V,
            All!$G:$G, TRUE,
            All!$H:$H, TRUE,
            All!$I:$I, TRUE,
            All!$U:$U, $A2)</f>
        <v/>
      </c>
      <c r="L2" s="3">
        <f>AVERAGEIFS(All!W:W,
            All!$G:$G, TRUE,
            All!$H:$H, TRUE,
            All!$I:$I, TRUE,
            All!$U:$U, $A2)</f>
        <v/>
      </c>
      <c r="M2" s="3">
        <f>AVERAGEIFS(All!X:X,
            All!$G:$G, TRUE,
            All!$H:$H, TRUE,
            All!$I:$I, TRUE,
            All!$U:$U, $A2)</f>
        <v/>
      </c>
      <c r="N2" s="3">
        <f>AVERAGEIFS(All!Y:Y,
            All!$G:$G, TRUE,
            All!$H:$H, TRUE,
            All!$I:$I, TRUE,
            All!$U:$U, $A2)</f>
        <v/>
      </c>
      <c r="O2" s="3">
        <f>COUNTIFS(All!G:G,TRUE,All!$U:$U,$A2)/COUNTIF(All!$U2:$U34,Filter!$A2)</f>
        <v/>
      </c>
      <c r="P2" s="3">
        <f>COUNTIFS(All!H:H,TRUE,All!$U:$U,$A2)/COUNTIF(All!$U2:$U34,Filter!$A2)</f>
        <v/>
      </c>
      <c r="Q2" s="3">
        <f>COUNTIFS(All!I:I,TRUE,All!$U:$U,$A2)/COUNTIF(All!$U2:$U34,Filter!$A2)</f>
        <v/>
      </c>
    </row>
    <row r="3">
      <c r="A3" t="inlineStr">
        <is>
          <t>moderate</t>
        </is>
      </c>
      <c r="B3" s="3">
        <f>AVERAGEIFS(All!$J:$J,
            All!$G:$G, TRUE,
            All!$H:$H, TRUE,
            All!$I:$I, TRUE,
            All!$U:$U, A3)</f>
        <v/>
      </c>
      <c r="C3" s="3">
        <f>AVERAGEIFS(All!K:K,
            All!$G:$G, TRUE,
            All!$H:$H, TRUE,
            All!$I:$I, TRUE,
            All!$U:$U, $A3)</f>
        <v/>
      </c>
      <c r="D3" s="3">
        <f>AVERAGEIFS(All!L:L,
            All!$G:$G, TRUE,
            All!$H:$H, TRUE,
            All!$I:$I, TRUE,
            All!$U:$U, $A3)</f>
        <v/>
      </c>
      <c r="E3" s="3">
        <f>AVERAGEIFS(All!M:M,
            All!$G:$G, TRUE,
            All!$H:$H, TRUE,
            All!$I:$I, TRUE,
            All!$U:$U, $A3)</f>
        <v/>
      </c>
      <c r="F3" s="3">
        <f>AVERAGEIFS(All!N:N,
            All!$G:$G, TRUE,
            All!$H:$H, TRUE,
            All!$I:$I, TRUE,
            All!$U:$U, $A3)</f>
        <v/>
      </c>
      <c r="G3" s="3">
        <f>AVERAGEIFS(All!O:O,
            All!$G:$G, TRUE,
            All!$H:$H, TRUE,
            All!$I:$I, TRUE,
            All!$U:$U, $A3)</f>
        <v/>
      </c>
      <c r="H3" s="3">
        <f>AVERAGEIFS(All!P:P,
            All!$G:$G, TRUE,
            All!$H:$H, TRUE,
            All!$I:$I, TRUE,
            All!$U:$U, $A3)</f>
        <v/>
      </c>
      <c r="I3" s="3">
        <f>AVERAGEIFS(All!Q:Q,
            All!$G:$G, TRUE,
            All!$H:$H, TRUE,
            All!$I:$I, TRUE,
            All!$U:$U, $A3)</f>
        <v/>
      </c>
      <c r="J3" s="3">
        <f>AVERAGEIFS(All!R:R,
            All!$G:$G, TRUE,
            All!$H:$H, TRUE,
            All!$I:$I, TRUE,
            All!$U:$U, $A3)</f>
        <v/>
      </c>
      <c r="K3" s="3">
        <f>AVERAGEIFS(All!V:V,
            All!$G:$G, TRUE,
            All!$H:$H, TRUE,
            All!$I:$I, TRUE,
            All!$U:$U, $A3)</f>
        <v/>
      </c>
      <c r="L3" s="3">
        <f>AVERAGEIFS(All!W:W,
            All!$G:$G, TRUE,
            All!$H:$H, TRUE,
            All!$I:$I, TRUE,
            All!$U:$U, $A3)</f>
        <v/>
      </c>
      <c r="M3" s="3">
        <f>AVERAGEIFS(All!X:X,
            All!$G:$G, TRUE,
            All!$H:$H, TRUE,
            All!$I:$I, TRUE,
            All!$U:$U, $A3)</f>
        <v/>
      </c>
      <c r="N3" s="3">
        <f>AVERAGEIFS(All!Y:Y,
            All!$G:$G, TRUE,
            All!$H:$H, TRUE,
            All!$I:$I, TRUE,
            All!$U:$U, $A3)</f>
        <v/>
      </c>
      <c r="O3" s="3">
        <f>COUNTIFS(All!G:G,TRUE,All!$U:$U,$A3)/COUNTIF(All!$U3:$U35,Filter!$A3)</f>
        <v/>
      </c>
      <c r="P3" s="3">
        <f>COUNTIFS(All!H:H,TRUE,All!$U:$U,$A3)/COUNTIF(All!$U3:$U35,Filter!$A3)</f>
        <v/>
      </c>
      <c r="Q3" s="3">
        <f>COUNTIFS(All!I:I,TRUE,All!$U:$U,$A3)/COUNTIF(All!$U3:$U35,Filter!$A3)</f>
        <v/>
      </c>
    </row>
    <row r="4">
      <c r="A4" t="inlineStr">
        <is>
          <t>complex</t>
        </is>
      </c>
      <c r="B4" s="3">
        <f>AVERAGEIFS(All!$J:$J,
            All!$G:$G, TRUE,
            All!$H:$H, TRUE,
            All!$I:$I, TRUE,
            All!$U:$U, A4)</f>
        <v/>
      </c>
      <c r="C4" s="3">
        <f>AVERAGEIFS(All!K:K,
            All!$G:$G, TRUE,
            All!$H:$H, TRUE,
            All!$I:$I, TRUE,
            All!$U:$U, $A4)</f>
        <v/>
      </c>
      <c r="D4" s="3">
        <f>AVERAGEIFS(All!L:L,
            All!$G:$G, TRUE,
            All!$H:$H, TRUE,
            All!$I:$I, TRUE,
            All!$U:$U, $A4)</f>
        <v/>
      </c>
      <c r="E4" s="3">
        <f>AVERAGEIFS(All!M:M,
            All!$G:$G, TRUE,
            All!$H:$H, TRUE,
            All!$I:$I, TRUE,
            All!$U:$U, $A4)</f>
        <v/>
      </c>
      <c r="F4" s="3">
        <f>AVERAGEIFS(All!N:N,
            All!$G:$G, TRUE,
            All!$H:$H, TRUE,
            All!$I:$I, TRUE,
            All!$U:$U, $A4)</f>
        <v/>
      </c>
      <c r="G4" s="3">
        <f>AVERAGEIFS(All!O:O,
            All!$G:$G, TRUE,
            All!$H:$H, TRUE,
            All!$I:$I, TRUE,
            All!$U:$U, $A4)</f>
        <v/>
      </c>
      <c r="H4" s="3">
        <f>AVERAGEIFS(All!P:P,
            All!$G:$G, TRUE,
            All!$H:$H, TRUE,
            All!$I:$I, TRUE,
            All!$U:$U, $A4)</f>
        <v/>
      </c>
      <c r="I4" s="3">
        <f>AVERAGEIFS(All!Q:Q,
            All!$G:$G, TRUE,
            All!$H:$H, TRUE,
            All!$I:$I, TRUE,
            All!$U:$U, $A4)</f>
        <v/>
      </c>
      <c r="J4" s="3">
        <f>AVERAGEIFS(All!R:R,
            All!$G:$G, TRUE,
            All!$H:$H, TRUE,
            All!$I:$I, TRUE,
            All!$U:$U, $A4)</f>
        <v/>
      </c>
      <c r="K4" s="3">
        <f>AVERAGEIFS(All!V:V,
            All!$G:$G, TRUE,
            All!$H:$H, TRUE,
            All!$I:$I, TRUE,
            All!$U:$U, $A4)</f>
        <v/>
      </c>
      <c r="L4" s="3">
        <f>AVERAGEIFS(All!W:W,
            All!$G:$G, TRUE,
            All!$H:$H, TRUE,
            All!$I:$I, TRUE,
            All!$U:$U, $A4)</f>
        <v/>
      </c>
      <c r="M4" s="3">
        <f>AVERAGEIFS(All!X:X,
            All!$G:$G, TRUE,
            All!$H:$H, TRUE,
            All!$I:$I, TRUE,
            All!$U:$U, $A4)</f>
        <v/>
      </c>
      <c r="N4" s="3">
        <f>AVERAGEIFS(All!Y:Y,
            All!$G:$G, TRUE,
            All!$H:$H, TRUE,
            All!$I:$I, TRUE,
            All!$U:$U, $A4)</f>
        <v/>
      </c>
      <c r="O4" s="3">
        <f>COUNTIFS(All!G:G,TRUE,All!$U:$U,$A4)/COUNTIF(All!$U4:$U36,Filter!$A4)</f>
        <v/>
      </c>
      <c r="P4" s="3">
        <f>COUNTIFS(All!H:H,TRUE,All!$U:$U,$A4)/COUNTIF(All!$U4:$U36,Filter!$A4)</f>
        <v/>
      </c>
      <c r="Q4" s="3">
        <f>COUNTIFS(All!I:I,TRUE,All!$U:$U,$A4)/COUNTIF(All!$U4:$U36,Filter!$A4)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selection activeCell="P9" sqref="P9"/>
    </sheetView>
  </sheetViews>
  <sheetFormatPr baseColWidth="10" defaultColWidth="8.83203125" defaultRowHeight="15"/>
  <cols>
    <col width="8" bestFit="1" customWidth="1" min="1" max="1"/>
    <col width="8.6640625" bestFit="1" customWidth="1" min="2" max="2"/>
    <col width="4.6640625" bestFit="1" customWidth="1" min="3" max="3"/>
    <col width="13.6640625" bestFit="1" customWidth="1" min="4" max="5"/>
    <col width="15" bestFit="1" customWidth="1" min="6" max="6"/>
    <col width="18.33203125" bestFit="1" customWidth="1" min="7" max="7"/>
    <col width="22.1640625" bestFit="1" customWidth="1" min="8" max="8"/>
    <col width="25.6640625" bestFit="1" customWidth="1" min="9" max="9"/>
    <col width="13.1640625" bestFit="1" customWidth="1" min="10" max="10"/>
    <col width="16.33203125" bestFit="1" customWidth="1" min="11" max="11"/>
    <col width="22.33203125" bestFit="1" customWidth="1" min="12" max="12"/>
    <col width="9.33203125" bestFit="1" customWidth="1" min="13" max="13"/>
    <col width="20.83203125" bestFit="1" customWidth="1" min="14" max="14"/>
    <col width="12.6640625" bestFit="1" customWidth="1" min="15" max="15"/>
    <col width="12.83203125" bestFit="1" customWidth="1" min="16" max="16"/>
    <col width="15.6640625" bestFit="1" customWidth="1" min="17" max="17"/>
  </cols>
  <sheetData>
    <row r="1">
      <c r="A1" s="4" t="inlineStr">
        <is>
          <t>difficulty</t>
        </is>
      </c>
      <c r="B1" s="4" t="inlineStr">
        <is>
          <t>rows</t>
        </is>
      </c>
      <c r="C1" s="4" t="inlineStr">
        <is>
          <t>vars</t>
        </is>
      </c>
      <c r="D1" s="4" t="inlineStr">
        <is>
          <t>latency_p50_ms</t>
        </is>
      </c>
      <c r="E1" s="4" t="inlineStr">
        <is>
          <t>latency_p95_ms</t>
        </is>
      </c>
      <c r="F1" s="4" t="inlineStr">
        <is>
          <t>latency_mean_ms</t>
        </is>
      </c>
      <c r="G1" s="4" t="inlineStr">
        <is>
          <t>lexical_query_overlap</t>
        </is>
      </c>
      <c r="H1" s="4" t="inlineStr">
        <is>
          <t>semantic_similarity_to_CQ</t>
        </is>
      </c>
      <c r="I1" s="4" t="inlineStr">
        <is>
          <t>semantic_soft_coverage_to_CQ</t>
        </is>
      </c>
      <c r="J1" s="4" t="inlineStr">
        <is>
          <t>tuple_cohesion</t>
        </is>
      </c>
      <c r="K1" s="4" t="inlineStr">
        <is>
          <t>determinism_score</t>
        </is>
      </c>
      <c r="L1" s="4" t="inlineStr">
        <is>
          <t>satisfiability_binding_score</t>
        </is>
      </c>
      <c r="M1" s="4" t="inlineStr">
        <is>
          <t>h1_overall</t>
        </is>
      </c>
      <c r="N1" s="4" t="inlineStr">
        <is>
          <t>semantic_diversity_score</t>
        </is>
      </c>
      <c r="O1" s="4" t="inlineStr">
        <is>
          <t>syntax_ok_rate</t>
        </is>
      </c>
      <c r="P1" s="4" t="inlineStr">
        <is>
          <t>satisfiable_rate</t>
        </is>
      </c>
      <c r="Q1" s="4" t="inlineStr">
        <is>
          <t>deterministic_rate</t>
        </is>
      </c>
    </row>
    <row r="2">
      <c r="A2" s="3" t="inlineStr">
        <is>
          <t>ALL</t>
        </is>
      </c>
      <c r="B2" s="3">
        <f>AVERAGEIFS(All!J:J,All!$G:$G, TRUE,All!$H:$H, TRUE,All!$I:$I, TRUE)</f>
        <v/>
      </c>
      <c r="C2" s="3">
        <f>AVERAGEIFS(All!K:K,All!$G:$G, TRUE,All!$H:$H, TRUE,All!$I:$I, TRUE)</f>
        <v/>
      </c>
      <c r="D2" s="3">
        <f>AVERAGEIFS(All!L:L,All!$G:$G, TRUE,All!$H:$H, TRUE,All!$I:$I, TRUE)</f>
        <v/>
      </c>
      <c r="E2" s="3">
        <f>AVERAGEIFS(All!M:M,All!$G:$G, TRUE,All!$H:$H, TRUE,All!$I:$I, TRUE)</f>
        <v/>
      </c>
      <c r="F2" s="3">
        <f>AVERAGEIFS(All!N:N,All!$G:$G, TRUE,All!$H:$H, TRUE,All!$I:$I, TRUE)</f>
        <v/>
      </c>
      <c r="G2" s="3">
        <f>AVERAGEIFS(All!O:O,All!$G:$G, TRUE,All!$H:$H, TRUE,All!$I:$I, TRUE)</f>
        <v/>
      </c>
      <c r="H2" s="3">
        <f>AVERAGEIFS(All!P:P,All!$G:$G, TRUE,All!$H:$H, TRUE,All!$I:$I, TRUE)</f>
        <v/>
      </c>
      <c r="I2" s="3">
        <f>AVERAGEIFS(All!Q:Q,All!$G:$G, TRUE,All!$H:$H, TRUE,All!$I:$I, TRUE)</f>
        <v/>
      </c>
      <c r="J2" s="3">
        <f>AVERAGEIFS(All!R:R,All!$G:$G, TRUE,All!$H:$H, TRUE,All!$I:$I, TRUE)</f>
        <v/>
      </c>
      <c r="K2" s="3">
        <f>AVERAGEIFS(All!V:V,All!$G:$G, TRUE,All!$H:$H, TRUE,All!$I:$I, TRUE)</f>
        <v/>
      </c>
      <c r="L2" s="3">
        <f>AVERAGEIFS(All!W:W,All!$G:$G, TRUE,All!$H:$H, TRUE,All!$I:$I, TRUE)</f>
        <v/>
      </c>
      <c r="M2" s="3">
        <f>AVERAGEIFS(All!X:X,All!$G:$G, TRUE,All!$H:$H, TRUE,All!$I:$I, TRUE)</f>
        <v/>
      </c>
      <c r="N2" s="3">
        <f>AVERAGEIFS(All!Y:Y,All!$G:$G, TRUE,All!$H:$H, TRUE,All!$I:$I, TRUE)</f>
        <v/>
      </c>
      <c r="O2" s="3">
        <f>COUNTIFS(All!G:G,TRUE)/COUNTA(All!$U2:$U34)</f>
        <v/>
      </c>
      <c r="P2" s="3">
        <f>COUNTIFS(All!H:H,TRUE)/COUNTA(All!$U2:$U34)</f>
        <v/>
      </c>
      <c r="Q2" s="3">
        <f>COUNTIFS(All!I:I,TRUE)/COUNTA(All!$U2:$U34)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34"/>
  <sheetViews>
    <sheetView workbookViewId="0">
      <selection activeCell="A1" sqref="A1"/>
    </sheetView>
  </sheetViews>
  <sheetFormatPr baseColWidth="8" defaultRowHeight="15"/>
  <sheetData>
    <row r="1">
      <c r="A1" t="inlineStr">
        <is>
          <t>CQ</t>
        </is>
      </c>
      <c r="B1" t="inlineStr">
        <is>
          <t>Prompt</t>
        </is>
      </c>
      <c r="C1" t="inlineStr">
        <is>
          <t>granite4:latest_Analysis_Result</t>
        </is>
      </c>
      <c r="D1" t="inlineStr">
        <is>
          <t>granite4:latest_Analysis_Raw</t>
        </is>
      </c>
      <c r="E1" t="inlineStr">
        <is>
          <t>sparql_query</t>
        </is>
      </c>
      <c r="F1" t="inlineStr">
        <is>
          <t>eval_json</t>
        </is>
      </c>
      <c r="G1" t="inlineStr">
        <is>
          <t>syntax_ok</t>
        </is>
      </c>
      <c r="H1" t="inlineStr">
        <is>
          <t>satisfiable</t>
        </is>
      </c>
      <c r="I1" t="inlineStr">
        <is>
          <t>deterministic</t>
        </is>
      </c>
      <c r="J1" t="inlineStr">
        <is>
          <t>rows</t>
        </is>
      </c>
      <c r="K1" t="inlineStr">
        <is>
          <t>vars</t>
        </is>
      </c>
      <c r="L1" t="inlineStr">
        <is>
          <t>latency_p50_ms</t>
        </is>
      </c>
      <c r="M1" t="inlineStr">
        <is>
          <t>latency_p95_ms</t>
        </is>
      </c>
      <c r="N1" t="inlineStr">
        <is>
          <t>latency_mean_ms</t>
        </is>
      </c>
      <c r="O1" t="inlineStr">
        <is>
          <t>lexical_query_overlap</t>
        </is>
      </c>
      <c r="P1" t="inlineStr">
        <is>
          <t>semantic_similarity_to_CQ</t>
        </is>
      </c>
      <c r="Q1" t="inlineStr">
        <is>
          <t>semantic_soft_coverage_to_CQ</t>
        </is>
      </c>
      <c r="R1" t="inlineStr">
        <is>
          <t>tuple_cohesion</t>
        </is>
      </c>
      <c r="S1" t="inlineStr">
        <is>
          <t>always_unbound_vars</t>
        </is>
      </c>
      <c r="T1" t="inlineStr">
        <is>
          <t>variables</t>
        </is>
      </c>
      <c r="U1" t="inlineStr">
        <is>
          <t>difficulty</t>
        </is>
      </c>
      <c r="V1" t="inlineStr">
        <is>
          <t>determinism_score</t>
        </is>
      </c>
      <c r="W1" t="inlineStr">
        <is>
          <t>satisfiability_binding_score</t>
        </is>
      </c>
      <c r="X1" t="inlineStr">
        <is>
          <t>h1_overall</t>
        </is>
      </c>
      <c r="Y1" t="inlineStr">
        <is>
          <t>semantic_diversity_score</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is>
      </c>
      <c r="C2" t="inlineStr">
        <is>
          <t>```sparql
SELECT ?competency WHERE {
  SELECT DISTINCT ?competency {
   { ?competency a competency:Competency . }
   UNION { ?competency a competence:Compehension . }
  }
}
```</t>
        </is>
      </c>
      <c r="D2" t="inlineStr">
        <is>
          <t>model='granite4:latest' created_at='2025-11-26T02:07:39.660326302Z' done=True done_reason='stop' total_duration=297634399503 load_duration=8588228165 prompt_eval_count=107855 prompt_eval_duration=286924102938 eval_count=49 eval_duration=1717142328 message=Message(role='assistant', content='```sparql\nSELECT ?competency WHERE {\n  SELECT DISTINCT ?competency {\n   { ?competency a competency:Competency . }\n   UNION { ?competency a competence:Compehension . }\n  }\n}\n```', thinking=None, images=None, tool_calls=None)</t>
        </is>
      </c>
      <c r="E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?competency WHERE {
  SELECT DISTINCT ?competency {
   { ?competency a competency:Competency . }
   UNION { ?competency a competence:Compehension . }
  }
}</t>
        </is>
      </c>
      <c r="F2" t="inlineStr">
        <is>
          <t>ERROR: QueryBadFormed: A bad request has been sent to the endpoint: probably the SPARQL query is badly formed. 
Response:
b'Parse error: Line 15, column 20: Unresolved prefixed name: competency:Competency\n'</t>
        </is>
      </c>
      <c r="G2" t="b">
        <v>0</v>
      </c>
      <c r="H2" t="b">
        <v>0</v>
      </c>
      <c r="I2" t="b">
        <v>0</v>
      </c>
      <c r="U2" t="inlineStr">
        <is>
          <t>simple</t>
        </is>
      </c>
      <c r="V2" t="n">
        <v>1</v>
      </c>
      <c r="W2" t="n">
        <v>1</v>
      </c>
      <c r="X2" t="n">
        <v>1</v>
      </c>
      <c r="Y2" t="n">
        <v>0.5</v>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is>
      </c>
      <c r="C3" t="inlineStr">
        <is>
          <t>```sparql
SELECT ?movie ?movieLabel ?year ?abstract WHERE {
  VALUES ?type { movie }
  ?movie a ?type .
  ?movie meta:abstract ?abstract ;
         schema:name ?movieLabel ;
         dcterms:modified ?date ;
         dcterms:publisher "Marvel Studios"@en ;
         dcterms:subject "Phase Three"^^&lt;http://dbkwik.webdatacommons.org/label&gt; ;
         dcterms:title ?movieLabel .
  BIND(YEAR(?date) AS ?year)
}
ORDER BY ASC(?year) DESC(?abstract)
```</t>
        </is>
      </c>
      <c r="D3" t="inlineStr">
        <is>
          <t>model='granite4:latest' created_at='2025-11-26T02:12:33.449618356Z' done=True done_reason='stop' total_duration=293479834160 load_duration=688127437 prompt_eval_count=107861 prompt_eval_duration=287925590728 eval_count=125 eval_duration=4399254030 message=Message(role='assistant', content='```sparql\nSELECT ?movie ?movieLabel ?year ?abstract WHERE {\n  VALUES ?type { movie }\n  ?movie a ?type .\n  ?movie meta:abstract ?abstract ;\n         schema:name ?movieLabel ;\n         dcterms:modified ?date ;\n         dcterms:publisher "Marvel Studios"@en ;\n         dcterms:subject "Phase Three"^^&lt;http://dbkwik.webdatacommons.org/label&gt; ;\n         dcterms:title ?movieLabel .\n  BIND(YEAR(?date) AS ?year)\n}\nORDER BY ASC(?year) DESC(?abstract)\n```', thinking=None, images=None, tool_calls=None)</t>
        </is>
      </c>
      <c r="E3"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?movie ?movieLabel ?year ?abstract WHERE {
  VALUES ?type { movie }
  ?movie a ?type .
  ?movie meta:abstract ?abstract ;
         schema:name ?movieLabel ;
         dcterms:modified ?date ;
         dcterms:publisher "Marvel Studios"@en ;
         dcterms:subject "Phase Three"^^&lt;http://dbkwik.webdatacommons.org/label&gt; ;
         dcterms:title ?movieLabel .
  BIND(YEAR(?date) AS ?year)
}
ORDER BY ASC(?year) DESC(?abstract)</t>
        </is>
      </c>
      <c r="F3" t="inlineStr">
        <is>
          <t>ERROR: QueryBadFormed: A bad request has been sent to the endpoint: probably the SPARQL query is badly formed. 
Response:
b'Parse error: Lexical error at line 14, column 23.  Encountered: \'32\' (32), after prefix "movie"\n'</t>
        </is>
      </c>
      <c r="G3" t="b">
        <v>0</v>
      </c>
      <c r="H3" t="b">
        <v>0</v>
      </c>
      <c r="I3" t="b">
        <v>0</v>
      </c>
      <c r="U3" t="inlineStr">
        <is>
          <t>simple</t>
        </is>
      </c>
      <c r="V3" t="n">
        <v>1</v>
      </c>
      <c r="W3" t="n">
        <v>1</v>
      </c>
      <c r="X3" t="n">
        <v>1</v>
      </c>
      <c r="Y3" t="n">
        <v>0.5</v>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4" t="inlineStr">
        <is>
          <t>```sparql
SELECT ?competency ?name WHERE {
  SELECT DISTINCT ?competency, ?name WHERE {
   SELECT DISTINCT ?competency 
   WHERE { ?competency rdfs:label ?name . }
   SELECT DISTINCT ?competency, ?name WHERE {
     SELECT DISTINCT ?competency 
     WHERE { ?competency rdfs:subClassOf* &lt;http://dbkwik.webdatacommons.org/marvelcinematicuniverse.wikia.com/resource/Category&gt; .
               ?competency rdfs:label ?name . }
   }
  }
}
```</t>
        </is>
      </c>
      <c r="D4" t="inlineStr">
        <is>
          <t>model='granite4:latest' created_at='2025-11-26T04:04:18.13000764Z' done=True done_reason='stop' total_duration=305792925371 load_duration=14340384118 prompt_eval_count=107863 prompt_eval_duration=286684820080 eval_count=120 eval_duration=4322725111 message=Message(role='assistant', content='```sparql\nSELECT ?competency ?name WHERE {\n  SELECT DISTINCT ?competency, ?name WHERE {\n   SELECT DISTINCT ?competency \n   WHERE { ?competency rdfs:label ?name . }\n   \n   SELECT DISTINCT ?competency, ?name WHERE {\n     SELECT DISTINCT ?competency \n     WHERE { ?competency rdfs:subClassOf* &lt;http://dbkwik.webdatacommons.org/marvelcinematicuniverse.wikia.com/resource/Category&gt; .\n               ?competency rdfs:label ?name . }\n   }\n  }\n}\n```', thinking=None, images=None, tool_calls=None)</t>
        </is>
      </c>
      <c r="E4"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?competency ?name WHERE {
  SELECT DISTINCT ?competency, ?name WHERE {
   SELECT DISTINCT ?competency 
   WHERE { ?competency rdfs:label ?name . }
   SELECT DISTINCT ?competency, ?name WHERE {
     SELECT DISTINCT ?competency 
     WHERE { ?competency rdfs:subClassOf* &lt;http://dbkwik.webdatacommons.org/marvelcinematicuniverse.wikia.com/resource/Category&gt; .
               ?competency rdfs:label ?name . }
   }
  }
}</t>
        </is>
      </c>
      <c r="F4" t="inlineStr">
        <is>
          <t>ERROR: QueryBadFormed: A bad request has been sent to the endpoint: probably the SPARQL query is badly formed. 
Response:
b'Parse error: Encountered " "," ", "" at line 14, column 30.\n'</t>
        </is>
      </c>
      <c r="G4" t="b">
        <v>0</v>
      </c>
      <c r="H4" t="b">
        <v>0</v>
      </c>
      <c r="I4" t="b">
        <v>0</v>
      </c>
      <c r="U4" t="inlineStr">
        <is>
          <t>simple</t>
        </is>
      </c>
      <c r="V4" t="n">
        <v>1</v>
      </c>
      <c r="W4" t="n">
        <v>1</v>
      </c>
      <c r="X4" t="n">
        <v>1</v>
      </c>
      <c r="Y4" t="n">
        <v>0.5</v>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5" t="inlineStr">
        <is>
          <t>```sparql
SELECT ?competency WHERE {
  SELECT DISTINCT ?class ?competency WHERE {
   ?class rdf:type ?type .
   FILTER(LANG(?type) = "en")
   FILTER(isDatatypeIRI(?type))
   BIND(STRDT(?competency, ?type) AS ?competency)
  }
}
```</t>
        </is>
      </c>
      <c r="D5" t="inlineStr">
        <is>
          <t>model='granite4:latest' created_at='2025-11-26T04:09:10.156353961Z' done=True done_reason='stop' total_duration=291563611479 load_duration=657056975 prompt_eval_count=107874 prompt_eval_duration=287995552656 eval_count=71 eval_duration=2483061317 message=Message(role='assistant', content='```sparql\nSELECT ?competency WHERE {\n  SELECT DISTINCT ?class ?competency WHERE {\n   ?class rdf:type ?type .\n   FILTER(LANG(?type) = "en")\n   FILTER(isDatatypeIRI(?type))\n   BIND(STRDT(?competency, ?type) AS ?competency)\n  }\n}\n```', thinking=None, images=None, tool_calls=None)</t>
        </is>
      </c>
      <c r="E5"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?competency WHERE {
  SELECT DISTINCT ?class ?competency WHERE {
   ?class rdf:type ?type .
   FILTER(LANG(?type) = "en")
   FILTER(isDatatypeIRI(?type))
   BIND(STRDT(?competency, ?type) AS ?competency)
  }
}</t>
        </is>
      </c>
      <c r="F5" t="inlineStr">
        <is>
          <t>ERROR: QueryBadFormed: A bad request has been sent to the endpoint: probably the SPARQL query is badly formed. 
Response:
b'Parse error: Lexical error at line 17, column 24.  Encountered: \'40\' (40), after prefix "isDatatypeIRI"\n'</t>
        </is>
      </c>
      <c r="G5" t="b">
        <v>0</v>
      </c>
      <c r="H5" t="b">
        <v>0</v>
      </c>
      <c r="I5" t="b">
        <v>0</v>
      </c>
      <c r="U5" t="inlineStr">
        <is>
          <t>simple</t>
        </is>
      </c>
      <c r="V5" t="n">
        <v>1</v>
      </c>
      <c r="W5" t="n">
        <v>1</v>
      </c>
      <c r="X5" t="n">
        <v>1</v>
      </c>
      <c r="Y5" t="n">
        <v>0.5</v>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is>
      </c>
      <c r="C6" t="inlineStr">
        <is>
          <t>&lt;http://dbkwik.webdatacommons.org/marvelcinematicuniverse.wikia.com/resource/All_the_Mothers&gt; rdfs:label "All the Mothers"^^rdf:langString ;
    rdfs:comment """All the Mothers is an episode of Agents of S.H.I.E.L.D. which was first shown on May 23, 2017.
"""@en .
&lt;http://dbkwik.webdatacommons.org/marvelcinematicuniverse.wikia.com/resource/Ant_Mans&gt; rdfs:label "Ant Mans"^^rdf:langString ;
    rdfs:comment """Ant Mans is a character appearing in Marvel Comics. The Ant Man of this continuity, known as Darryl Nelson, gained his powers from experimental DNA treatments designed to cure cancer.
"""@en .
&lt;http://dbkwik.webdatacommons.org/marvelcinematicuniverse.wikia.com/resource/Black_Panther_(film)&gt; rdfs:label "Black Panther (film)"^^rdf:langString ;
    rdfs:comment """Black Panther is a 2018 superhero film, based on the Marvel Comics superhero of the same name. It is the fourth installment in the Marvel Cinematic Universe and the second installment of Phase Three.
The movie was released internationally on April 27, 2018 and in the United States on April 26, 2018.
"""@en .
&lt;http://dbkwik.webdatacommons.org/marvelcinematicuniverse.wikia.com/resource/Captain_America:_Civil_War_Prelude&gt; rdfs:label "Captain America: Civil War Prelude"^^rdf:langString ;
    rdfs:comment """Captain America: Civil War Prelude is an eight part digital comic book set during the events of Captain America: Civil War, written by Fred Van Lente.
"""@en .
&lt;http://dbkwik.webdatacommons.org/marvelcinematicuniverse.wikia.com/resource/Captain_America:_Civil_War&gt; a &lt;http://dbkwik.webdatacommons.org/marvelcinematicuniverse.wikia.com/class/movie&gt; ;
    rdfs:label "Captain America: Civil War"^^rdf:langString ;
    ns1:boxoffice "2.191E9"^^&lt;http://dbkwik.webdatacommons.org/datatype/usDollar&gt; ;
    ns1:producer &lt;http://dbkwik.webdatacommons.org/marvelcinematicuniverse.wikia.com/resource/Billy_Gierhart&gt;,
        &lt;http://dbkwik.webdatacommons.org/marvelcinematicuniverse.wikia.com/resource/Leslie_Mayberry&gt;,
        &lt;http://dbkwik.webdatacommons.org/marvelcinematicuniverse.wikia.com/resource/Tom_Shankland&gt; ;
    rdfs:comment """Captain America: Civil War is a 2016 superhero film, based on the Marvel Comics superheroes of the same names. It is a sequel to Captain America: The First Avenger and Captain America: The Winter Soldier and a crossover between/sequel to Black Panther, Guardians of the Galaxy Vol. 2, Spider-Man: Homecoming and Thor: Ragnarok. The film is the seventeenth installment in the Marvel Cinematic Universe.
"""@en .
&lt;http://dbkwik.webdatacommons.org/marvelcinematicuniverse.wikia.com/resource/Captain_America:_The_First_Avenger&gt; a &lt;http://dbkwik.webdatacommons.org/marvelcinematicuniverse.wikia.com/class/movie&gt; ;
    rdfs:label "Captain America: The First Avenger"^^rdf:langString ;
    ns1:boxoffice "2.057E9"^^&lt;http://dbkwik.webdatacommons.org/datatype/usDollar&gt; ;
    ns1:producer &lt;http://dbkwik.webdatacommons.org/marvelcinematicuniverse.wikia.com/resource/Scott_Derrickson&gt;,
        &lt;http://dbkwik.webdatacommons.org/marvelcinematicuniverse.wikia.com/resource/Billy_Gierhart&gt;,
        &lt;http://dbkwik.webdatacommons.org/marvelcinematicuniverse.wikia.com/resource/Leslie_Mayberry&gt; ;
    rdfs:comment """Captain America: The First Avenger is a 2011 superhero film, based on the Marvel Comics superheroes of the same names. It is the third installment in the Marvel Cinematic Universe and the second installment of Phase One.
"""@en .
&lt;http://dbkwik.webdatacommons.org/marvelcinematicuniverse.wikia.com/resource/Clint_Barton&gt; rdfs:label "Clint Barton"^^rdf:langString ;
    ns1:oneshot &lt;http://dbkwik.webdatacommons.org/marvelcinematicuniverse.wikia.com/resource/Marvel_One-Shot:_All_Hail_the_King&gt; ;
    rdfs:comment """Clint Barton, better known by his superhero identity as Hawkeye and also Fury II. After having to leave S.H.I.E.L.D., Clint began working for the Crimson Dynamo, a group bent on taking down Stark Industries after being betrayed by Nick Fury.
"""@en .
&lt;http://dbkwik.webdatacommons.org/marvelcinematicuniverse.wikia.com/resource/City&gt; a owl:Class ;
    rdfs:label "City"@en .
&lt;http://dbkwik.webdatacommons.org/marvelcinematicuniverse.wikia.com/resource/Colin_Jost&gt; rdfs:label "Colin Jost"^^rdf:langString ;
    rdfs:comment """Colin Jost is an American writer, producer and stand-up comedian. His collaborations with fellow writers Michael Patrick Jann and Phil Lord have resulted in the short film series Monkey Bone Express, as well as multiple episodes of both Modern Love and Saturday Night Live.
He was an executive producer for Agents of S.H.I.E.L.D.: The Chase.
"""@en .
&lt;http://dbkwik.webdatacommons.org/marvelcinematicuniverse.wikia.com/resource/Dark_Elf_Invaders&gt; rdfs:label "Dark Elf Invaders"^^rdf:langString ;
    rdfs:comment """The Dark Elves, led by Malekith the Accuser and aided by Yond'alil, attacked Asgard in order to steal back the Aether. The attack was a success with many casualties until Sif managed to turn around the tide of battle and defeat Malekith.
"""@en .
&lt;http://dbkwik.webdatacommons.org/marvelcinematicuniverse.wikia.com/resource/Doctor_Spider&gt; rdfs:label "Doctor Spider"^^rdf:langString ;
    ns1:voice &lt;http://dbkwik.webdatacommons.org/marvelcinematicuniverse.wikia.com/resource/Tom_Fraser&gt; ;
    rdfs:comment """The Doctor of Spider is the second incarnation of Peter Parker's symbiote costume, with a new design and abilities. Having returned to New York City for a new purpose after his first attempt at keeping up appearances in civilian life failed, he joined forces with Daredevil, Black Panther and Jessica Jones.
"""@en .
&lt;http://dbkwik.webdatacommons.org/marvelcinematicuniverse.wikia.com/resource/Doctor_Strange&gt; rdfs:label "Doctor Strange"^^rdf:langString ;
    ns1:current &lt;http://dbkwik.webdatacommons.org/marvelcinematicuniverse.wikia.com/resource/Doctor_Strange_(film)&gt; ;
    rdfs:comment """Dr. Stephen Vincent Strange is the eleventh incarnation of Doctor Strange, the Sorcerer Supreme.
"""@en .
&lt;http://dbkwik.webdatacommons.org/marvelcinematicuniverse.wikia.com/resource/Elders_of_Sakaar&gt; a &lt;http://dbkwik.webdatacommons.org/marvelcinematicuniverse.wikia.com/class/race&gt; ;
    rdfs:label "Elders of Sakaar"^^rdf:langString ;
&lt;http://dbkwik.webdatacommons.org/marvelcinematicuniverse.wikia.com/resource/Iron_Fist_(film)&gt; a &lt;http://dbkwik.webdatacommons.org/marvelcinematicuniverse.wikia.com/class/movie&gt; ;
    rdfs:label "Iron Fist (film)"^^rdf:langString ;
    ns1:boxoffice "3.196E9"^^&lt;http://dbkwik.webdatacommons.org/datatype/usDollar&gt; ;
    ns1:producer &lt;http://dbkwik.webdatacommons.org/marvelcinematicuniverse.wikia.com/resource/Jed_Whedon&gt;,
        &lt;http://dbkwik.webdatacommons.org/marvelcinematicuniverse.wikia.com/resource/Micah_Balicki&gt;,
        &lt;http://dbkwik.webdatacommons.org/marvelcinematicuniverse.wikia.com/resource/Nathan_Fillion&gt; ;
    rdfs:comment """Iron Fist is a 2018 superhero film, based on the Marvel Comics superhero of the same name. It is the ninth installment in the Marvel Cinematic Universe and the third installment of Phase Three.
The movie was released internationally on October 26, 2018 and on November 1, 2018 in the United States.
"""@en .
&lt;http://dbkwik.webdatacommons.org/marvelcinematicuniverse.wikia.com/resource/Iron_Man_2&gt; a &lt;http://dbkwik.webdatacommons.org/marvelcinematicuniverse.wikia.com/class/movie&gt; ;
    rdfs:label "Iron Man 2"^^rdf:langString ;
    ns1:boxoffice "1.547E9"^^&lt;http://dbkwik.webdatacommons.org/datatype/usDollar&gt; ;
    ns1:producer &lt;http://dbkwik.webdatacommons.org/marvelcinematicuniverse.wikia.com/resource/Jim_Thompson&gt;,
        &lt;http://dbkwik.webdatacommons.org/marvelcinematicuniverse.wikia.com/resource/Chris_Ventimiglia&gt; ;
    rdfs:comment """Iron Man 2 is a 2010 superhero film, based on the Marvel Comics superheroes of the same name. It is a sequel to Iron Man and a crossover between/sequel to Hulk, Thor, Captain America and The Incredible Hulk.
It was released internationally on April 9, 2010 and in the United States on April 15, 2010.
"""@en .
&lt;http://dbkwik.webdatacommons.org/marvelcinematicuniverse.wikia.com/resource/Lin_Manuel_Miranda&gt; rdfs:label "Lin-Manuel Miranda"^^rdf:langString ;
    rdfs:comment """Lin-Manuel Miranda is an American composer, lyricist, actor and filmmaker. He wrote the book, lyrics and music for In The Heights and Hamilton, a musical about Alexander Hamilton which was later adapted into a film.
He also collaborated with Phil Lord and Christopher Miller on Ant Man.
"""@en .
&lt;http://dbkwik.webdatacommons.org/marvelcinematicuniverse.wikia.com/resource/Marvel_One-Shot:_All_Hail_the_King&gt; a &lt;http://dbkwik.webdatacommons.org/marvelcinematicuniverse.wikia.com/class/one-shot&gt; ;
    rdfs:label "Marvel One-Shot: All Hail the King"^^rdf:langString ;
    ns1:director &lt;http://dbkwik.webdatacommons.org/marvelcinematicuniverse.wikia.com/resource/Jed_Whedon&gt;,
        &lt;http://dbkwik.webdatacommons.org/marvelcinematicuniverse.wikia.com/resource/Mike_Brown&gt; ;
    rdfs:comment """All Hail the King is a 2013 one-shot Marvel exclusive film that served as an introduction for the series Agents of S.H.I.E.L.D..
It was shown at Comic-Con in San Diego on July 18, 2013.
"""@en .
&lt;http://dbkwik.webdatacommons.org/marvelcinematicuniverse.wikia.com/resource/Mitch_Gould&gt; rdfs:label "Mitch Gould"^^rdf:langString ;
    rdfs:comment """Mitchell 'Mitch' Gould was the executive producer for Agents of S.H.I.E.L.D.
"""@en .
&lt;http://dbkwik.webdatacommons.org/marvelcinematicuniverse.wikia.com/resource/Monster_League_of_Manhansen&gt; rdfs:label "Monster League of Manhansen"^^rdf:langString ;
    rdfs:comment """The Monster League, led by Agent May, is a group consisting primarily of HYDRA agents, mercenaries and criminals with superpowers. They were organized under the command structure of their former leader, William Red Ripper. The league was broken up after Ripper's death.
"""@en .
&lt;http://dbkwik.webdatacommons.org/marvelcinematicuniverse.wikia.com/resource/Natasha_Romanoff&gt; rdfs:label "Natasha Romanoff"^^rdf:langString ;
    ns1:oneshot &lt;http://dbkwik.webdatacommons.org/marvelcinematicuniverse.wikia.com/resource/Marvel_One-Shot:_All_Hail_the_King&gt; ;
    rdfs:comment """Natasha "Nat"/[former] Natasha Romanoff is a Russian-American super spy, soldier and former agent of S.H.I.E.L.D. Her parents were killed by HYDRA operatives during her childhood in Siberia. The only survivor was Natasha's brother Alexander. After the death of her father, the then fifteen-year-old Natasha Romanoff ran away from home to seek revenge on HYDRA for the death of her family and enrolled at S.H.I.E.L.D.'s training academy.
"""@en .
&lt;http://dbkwik.webdatacommons.org/marvelcinematicuniverse.wikia.com/resource/New_York_City_(city)&gt; rdfs:label "New York City (City)"^^rdf:langString ;
    ns1:country &lt;http://dbkwik.webdatacommons.org/marvelcinematicuniverse.wikia.com/resource/New_York&gt; ;
&lt;http://dbkwik.webdatacommons.org/marvelcinematicuniverse.wikia.com/resource/Odin_(King)&gt; a &lt;http://dbkwik.webdatacommons.org/marvelcinematicuniverse.wikia.com/class/race&gt; ;
    rdfs:label "Odin (King)"^^rdf:langString ;
&lt;http://dbkwik.webdatacommons.org/marvelcinematicuniverse.wikia.com/resource/Orlando_Bloom&gt; rdfs:label "Orlando Bloom"^^rdf:langString ;
    rdfs:comment """Orlando William Foster Bloom is an English actor, producer and screenwriter. He starred as the lead character in Ridley Scott's Troy (2004) alongside Brad Pitt.
"""@en .
&lt;http://dbkwik.webdatacommons.org/marvelcinematicuniverse.wikia.com/resource/Phantom_Mirror&gt; rdfs:label "Phantom Mirror"^^rdf:langString ;
    ns1:vehicle &lt;http://dbkwik.webdatacommons.org/marvelcinematicuniverse.wikia.com/resource/S.H.I.E.L.D._Quinjet&gt; ;
&lt;http://dbkwik.webdatacommons.org/marvelcinematicuniverse.wikia.com/resource/Phil_Coulson&gt; a &lt;http://dbkwik.webdatacommons.org/marvelcinematicuniverse.wikia.com/class/race&gt; ;
    rdfs:label "Phil Coulson"^^rdf:langString ;
&lt;http://dbkwik.webdatacommons.org/marvelcinematicuniverse.wikia.com/resource/Rainbow_Sky_League&gt; rdfs:label "Rainbow Sky League"^^rdf:langString ;
    rdfs:comment """The Rainbow Sky League was a league of superpowered individuals from all over the world, who had pledged their allegiance to AIM. It disbanded following a failed attack on Stark Industries.
"""@en .
&lt;http://dbkwik.webdatacommons.org/marvelcinematicuniverse.wikia.com/resource/Robin_Hinton&gt; rdfs:label "Robin Hinton"^^rdf:langString ;
    ns1:clearance &lt;http://dbkwik.webdatacommons.org/marvelcinematicuniverse.wikia.com/resource/Clearance_Level&gt; ;
    ns1:vehicle &lt;http://dbkwik.webdatacommons.org/marvelcinematicuniverse.wikia.com/resource/Lighthouse&gt; ;
&lt;http://dbkwik.webdatacommons.org/marvelcinematicuniverse.wikia.com/resource/Robin_Murdock&gt; rdfs:label "Robin Murdock"^^rdf:langString ;
    ns1:vehicle &lt;http://dbkwik.webdatacommons.org/marvelcinematicuniverse.wikia.com/resource/Lighthouse&gt; ;
&lt;http://dbkwik.webdatacommons.org/marvelcinematicuniverse.wikia.com/resource/Roscoe_T._Coleman&gt; rdfs:label "Roscoe T. Coleman"^^rdf:langString ;
    ns1:vehicle &lt;http://dbkwik.webdatacommons.org/marvelcinematicuniverse.wikia.com/resource/Lighthouse&gt; ;
&lt;http://dbkwik.webdatacommons.org/marvelcinematicuniverse.wikia.com/resource/S.H.I.E.L.D._Quinjet&gt; a &lt;http://dbkwik.webdatacommons.org/marvelcinematicuniverse.wikia.com/class/vehicle&gt; ;
    rdfs:label "S.H.I.E.L.D. Quinjet"^^rdf:langString ;
&lt;http://dbkwik.webdatacommons.org/marvelcinematicuniverse.wikia.com/resource/Shang_MiI&gt; rdfs:label "Shang-Miel"^^rdf:langString ;
    ns1:vehicle &lt;http://dbkwik.webdatacommons.org/marvelcinematicuniverse.wikia.com/resource/Lighthouse&gt; ;
&lt;http://dbkwik.webdatacommons.org/marvelcinematicuniverse.wikia.com/resource/Spider-Man_(film)&gt; a &lt;http://dbkwik.webdatacommons.org/marvelcinematicuniverse.wikia.com/class/movie&gt; ;
    rdfs:label "Spider-Man (film)"^^rdf:langString ;
    ns1:boxoffice "2.026E9"^^&lt;http://dbkwik.webdatacommons.org/datatype/usDollar&gt; ;
    ns1:producer &lt;http://dbkwik.webdatacommons.org/marvelcinematicuniverse.wikia.com/resource/Billy_Gierhart&gt;,
        &lt;http://dbkwik.webdatacommons.org/marvelcinematicuniverse.wikia.com/resource/Christopher_Nolan&gt;,
        &lt;http://dbkwik.webdatacommons.org/marvelcinematicuniverse.wikia.com/resource/Michael_Rosenberg&gt; ;
    rdfs:comment """Spider-Man is a 2014 superhero film, based on the Marvel Comics character of the same name. It is a sequel to Iron Man and a crossover between/sequel to Captain America: The Winter Soldier, Thor: The Dark World, Guardians of the Galaxy Vol. 2, Hulk and Black Panther.
The movie was released internationally on July 7, 2014 and in the United States on July 8, 2014.
"""@en .
&lt;http://dbkwik.webdatacommons.org/marvelcinematicuniverse.wikia.com/resource/S.H.I.E.L.D._Academy&gt; rdfs:label "S.H.I.E.L.D. Academy"^^rdf:langString ;
    ns1:vehicle &lt;http://dbkwik.webdatacommons.org/marvelcinematicuniverse.wikia.com/resource/Lighthouse&gt; ;
&lt;http://dbkwik.webdatacommons.org/marvelcinematicuniverse.wikia.com/resource/S.H.I.E.L.D._Facility&gt; rdfs:label "S.H.I.E.L.D. Facility"^^rdf:langString ;
    ns1:vehicle &lt;http://dbkwik.webdatacommons.org/marvelcinematicuniverse.wikia.com/resource/Lighthouse&gt; ;
&lt;http://dbkwik.webdatacommons.org/marvelcinematicuniverse.wikia.com/resource/S.H.I.E.L.D._Stations&gt; rdfs:label "S.H.I.E.L.D. Stations"^^rdf:langString ;
    ns1:vehicle &lt;http://dbkwik.webdatacommons.org/marvelcinematicuniverse.wikia.com/resource/Lighthouse&gt; ;
&lt;http://dbkwik.webdatacommons.org/marvelcinematicuniverse.wikia.com/resource/S.H.I.E.L.D._Terminal&gt; rdfs:label "S.H.I.E.L.D. Terminal"^^rdf:langString ;
    ns1:vehicle &lt;http://dbkwik.webdatacommons.org/marvelcinematicuniverse.wikia.com/resource/Lighthouse&gt; ;
&lt;http://dbkwik.webdatacommons.org/marvelcinematicuniverse.wikia.com/resource/Thor_(film)&gt; a &lt;http://dbkwik.webdatacommons.org/marvelcinematicuniverse.wikia.com/class/movie&gt; ;
    rdfs:label "Thor (film)"^^rdf:langString ;
    ns1:boxoffice "2.048E9"^^&lt;http://dbkwik.webdatacommons.org/datatype/usDollar&gt; ;
    ns1:producer &lt;http://dbkwik.webdatacommons.org/marvelcinematicuniverse.wikia.com/resource/Alan_Burney&gt;,
        &lt;http://dbkwik.webdatacommons.org/marvelcinematicuniverse.wikia.com/resource/Ben_Marco&gt;,
        &lt;http://dbkwik.webdatacommons.org/marvelcinematicuniverse.wikia.com/resource/Fred_Varsalas&gt; ;
    rdfs:comment """Thor is a 2011 superhero film, based on the Marvel Comics superheroes of the same names. It is the fourth installment in the Marvel Cinematic Universe and the fourth installment of Phase One.
"""@en .
&lt;http://dbkwik.webdatacommons.org/marvelcinematicuniverse.wikia.com/resource/Ultron&gt; a &lt;http://dbkwik.webdatacommons.org/marvelcinematicuniverse.wikia.com/class/robot&gt; ;
    rdfs:label "Ultron"^^rdf:langString ;
&lt;http://dbkwik.webdatacommons.org/marvelcinematicuniverse.wikia.com/resource/Vers&gt; a &lt;http://dbkwik.webdatacommons.org/marvelcinematicuniverse.wikia.com/class/race&gt; ;
    rdfs:label "Vers"^^rdf:langString ;
&lt;http://marvelcinematicuniverse.wikia.com/wiki/Special:FilePath/$.jpeg?width=300&gt; a ns3:Image ;
    dc:rights &lt;http://marvelcinematicuniverse.wikia.com/wiki/File:$&gt; .
&lt;http://dbkwik.webdatacommons.org/marvelcinematicuniverse.wikia.com/resource/Whedon,_Joss&gt; rdfs:label "Whedon, Joss"^^rdf:langString ;
    ns1:director &lt;http://dbkwik.webdatacommons.org/marvelcinematicuniverse.wikia.com/resource/Jed_Whedon&gt;,
        &lt;http://dbkwik.webdatacommons.org/marvelcinematicuniverse.wikia.com/resource/Mike_Gillies&gt; ;
&lt;http://dbkwik.webdatacommons.org/marvelcinematicuniverse.wikia.com/resource/Xavier_Sorbal&gt; rdfs:label "Xavier Sorbal"^^rdf:langString ;
    ns1:composer &lt;http://dbkwik.webdatacommons.org/marvelcinematicuniverse.wikia.com/resource/Bear_McCreary&gt;,
        &lt;http://dbkwik.webdatacommons.org/marvelcinematicuniverse.wikia.com/resource/Rodrigo_Guzman&gt; .</t>
        </is>
      </c>
      <c r="D6" t="inlineStr">
        <is>
          <t>model='granite4:latest' created_at='2025-11-26T04:16:58.6076571Z' done=True done_reason='stop' total_duration=468148968635 load_duration=542711693 prompt_eval_count=107872 prompt_eval_duration=287800767265 eval_count=5023 eval_duration=176148895226 message=Message(role='assistant', content='&lt;http://dbkwik.webdatacommons.org/marvelcinematicuniverse.wikia.com/resource/All_the_Mothers&gt; rdfs:label "All the Mothers"^^rdf:langString ;\n    rdfs:comment """All the Mothers is an episode of Agents of S.H.I.E.L.D. which was first shown on May 23, 2017.\n\n"""@en .\n\n&lt;http://dbkwik.webdatacommons.org/marvelcinematicuniverse.wikia.com/resource/Ant_Mans&gt; rdfs:label "Ant Mans"^^rdf:langString ;\n    rdfs:comment """Ant Mans is a character appearing in Marvel Comics. The Ant Man of this continuity, known as Darryl Nelson, gained his powers from experimental DNA treatments designed to cure cancer.\n\n"""@en .\n\n&lt;http://dbkwik.webdatacommons.org/marvelcinematicuniverse.wikia.com/resource/Black_Panther_(film)&gt; rdfs:label "Black Panther (film)"^^rdf:langString ;\n    rdfs:comment """Black Panther is a 2018 superhero film, based on the Marvel Comics superhero of the same name. It is the fourth installment in the Marvel Cinematic Universe\xa0and the second installment of Phase Three.\nThe movie was released internationally on April 27, 2018 and in the United States on April 26, 2018.\n\n"""@en .\n\n&lt;http://dbkwik.webdatacommons.org/marvelcinematicuniverse.wikia.com/resource/Captain_America:_Civil_War_Prelude&gt; rdfs:label "Captain America: Civil War Prelude"^^rdf:langString ;\n    rdfs:comment """Captain America: Civil War Prelude is an eight part digital comic book set during the events of Captain America: Civil War, written by Fred Van Lente.\n\n"""@en .\n\n&lt;http://dbkwik.webdatacommons.org/marvelcinematicuniverse.wikia.com/resource/Captain_America:_Civil_War&gt; a &lt;http://dbkwik.webdatacommons.org/marvelcinematicuniverse.wikia.com/class/movie&gt; ;\n    rdfs:label "Captain America: Civil War"^^rdf:langString ;\n    ns1:boxoffice "2.191E9"^^&lt;http://dbkwik.webdatacommons.org/datatype/usDollar&gt; ;\n    ns1:producer &lt;http://dbkwik.webdatacommons.org/marvelcinematicuniverse.wikia.com/resource/Billy_Gierhart&gt;,\n        &lt;http://dbkwik.webdatacommons.org/marvelcinematicuniverse.wikia.com/resource/Leslie_Mayberry&gt;,\n        &lt;http://dbkwik.webdatacommons.org/marvelcinematicuniverse.wikia.com/resource/Tom_Shankland&gt; ;\n    rdfs:comment """Captain America: Civil War is a 2016 superhero film, based on the Marvel Comics superheroes of the same names. It is a sequel to Captain America: The First Avenger and\xa0Captain America: The Winter Soldier and a crossover between/sequel to Black Panther, Guardians of the Galaxy Vol. 2, Spider-Man: Homecoming and Thor: Ragnarok. The film is the seventeenth installment in the Marvel Cinematic Universe.\n"""@en .\n\n&lt;http://dbkwik.webdatacommons.org/marvelcinematicuniverse.wikia.com/resource/Captain_America:_The_First_Avenger&gt; a &lt;http://dbkwik.webdatacommons.org/marvelcinematicuniverse.wikia.com/class/movie&gt; ;\n    rdfs:label "Captain America: The First Avenger"^^rdf:langString ;\n    ns1:boxoffice "2.057E9"^^&lt;http://dbkwik.webdatacommons.org/datatype/usDollar&gt; ;\n    ns1:producer &lt;http://dbkwik.webdatacommons.org/marvelcinematicuniverse.wikia.com/resource/Scott_Derrickson&gt;,\n        &lt;http://dbkwik.webdatacommons.org/marvelcinematicuniverse.wikia.com/resource/Billy_Gierhart&gt;,\n        &lt;http://dbkwik.webdatacommons.org/marvelcinematicuniverse.wikia.com/resource/Leslie_Mayberry&gt; ;\n    rdfs:comment """Captain America: The First Avenger is a 2011 superhero film, based on the Marvel Comics superheroes of the same names. It is the third installment in the Marvel Cinematic Universe\xa0and the second installment of Phase One.\n"""@en .\n\n&lt;http://dbkwik.webdatacommons.org/marvelcinematicuniverse.wikia.com/resource/Clint_Barton&gt; rdfs:label "Clint Barton"^^rdf:langString ;\n    ns1:oneshot &lt;http://dbkwik.webdatacommons.org/marvelcinematicuniverse.wikia.com/resource/Marvel_One-Shot:_All_Hail_the_King&gt; ;\n    rdfs:comment """Clint Barton, better known by his superhero identity as Hawkeye and also Fury II. After having to leave S.H.I.E.L.D., Clint began working for the Crimson Dynamo, a group bent on taking down Stark Industries after being betrayed by Nick Fury.\n\n"""@en .\n\n&lt;http://dbkwik.webdatacommons.org/marvelcinematicuniverse.wikia.com/resource/City&gt; a owl:Class ;\n    rdfs:label "City"@en .\n\n&lt;http://dbkwik.webdatacommons.org/marvelcinematicuniverse.wikia.com/resource/Colin_Jost&gt; rdfs:label "Colin Jost"^^rdf:langString ;\n    rdfs:comment """Colin Jost is an American writer, producer and stand-up comedian. His collaborations with fellow writers Michael Patrick Jann and Phil Lord have resulted in the short film series\xa0Monkey Bone Express, as well as multiple episodes of both Modern Love and Saturday Night Live.\nHe was an executive producer for Agents of S.H.I.E.L.D.: The Chase.\n\n"""@en .\n\n&lt;http://dbkwik.webdatacommons.org/marvelcinematicuniverse.wikia.com/resource/Dark_Elf_Invaders&gt; rdfs:label "Dark Elf Invaders"^^rdf:langString ;\n    rdfs:comment """The Dark Elves, led by Malekith the Accuser and aided by Yond\'alil, attacked Asgard in order to steal back the Aether. The attack was a success with many casualties until Sif managed to turn around the tide of battle and defeat Malekith.\n\n"""@en .\n\n&lt;http://dbkwik.webdatacommons.org/marvelcinematicuniverse.wikia.com/resource/Doctor_Spider&gt; rdfs:label "Doctor Spider"^^rdf:langString ;\n    ns1:voice &lt;http://dbkwik.webdatacommons.org/marvelcinematicuniverse.wikia.com/resource/Tom_Fraser&gt; ;\n    rdfs:comment """The Doctor of Spider is the second incarnation of Peter Parker\'s symbiote costume, with a new design and abilities. Having returned to New York City for a new purpose after his first attempt at keeping up appearances in civilian life failed, he joined forces with Daredevil, Black Panther and Jessica Jones.\n\n"""@en .\n\n&lt;http://dbkwik.webdatacommons.org/marvelcinematicuniverse.wikia.com/resource/Doctor_Strange&gt; rdfs:label "Doctor Strange"^^rdf:langString ;\n    ns1:current &lt;http://dbkwik.webdatacommons.org/marvelcinematicuniverse.wikia.com/resource/Doctor_Strange_(film)&gt; ;\n    rdfs:comment """Dr. Stephen Vincent Strange is the eleventh incarnation of Doctor Strange, the Sorcerer Supreme.\n"""@en .\n\n&lt;http://dbkwik.webdatacommons.org/marvelcinematicuniverse.wikia.com/resource/Elders_of_Sakaar&gt; a &lt;http://dbkwik.webdatacommons.org/marvelcinematicuniverse.wikia.com/class/race&gt; ;\n    rdfs:label "Elders of Sakaar"^^rdf:langString ;\n\n&lt;http://dbkwik.webdatacommons.org/marvelcinematicuniverse.wikia.com/resource/Iron_Fist_(film)&gt; a &lt;http://dbkwik.webdatacommons.org/marvelcinematicuniverse.wikia.com/class/movie&gt; ;\n    rdfs:label "Iron Fist (film)"^^rdf:langString ;\n    ns1:boxoffice "3.196E9"^^&lt;http://dbkwik.webdatacommons.org/datatype/usDollar&gt; ;\n    ns1:producer &lt;http://dbkwik.webdatacommons.org/marvelcinematicuniverse.wikia.com/resource/Jed_Whedon&gt;,\n        &lt;http://dbkwik.webdatacommons.org/marvelcinematicuniverse.wikia.com/resource/Micah_Balicki&gt;,\n        &lt;http://dbkwik.webdatacommons.org/marvelcinematicuniverse.wikia.com/resource/Nathan_Fillion&gt; ;\n    rdfs:comment """Iron Fist is a 2018 superhero film, based on the Marvel Comics superhero of the same name. It is the ninth installment in the Marvel Cinematic Universe\xa0and the third installment of Phase Three.\nThe movie was released internationally on October 26, 2018 and on November 1, 2018 in the United States.\n\n"""@en .\n\n&lt;http://dbkwik.webdatacommons.org/marvelcinematicuniverse.wikia.com/resource/Iron_Man_2&gt; a &lt;http://dbkwik.webdatacommons.org/marvelcinematicuniverse.wikia.com/class/movie&gt; ;\n    rdfs:label "Iron Man 2"^^rdf:langString ;\n    ns1:boxoffice "1.547E9"^^&lt;http://dbkwik.webdatacommons.org/datatype/usDollar&gt; ;\n    ns1:producer &lt;http://dbkwik.webdatacommons.org/marvelcinematicuniverse.wikia.com/resource/Jim_Thompson&gt;,\n        &lt;http://dbkwik.webdatacommons.org/marvelcinematicuniverse.wikia.com/resource/Chris_Ventimiglia&gt; ;\n    rdfs:comment """Iron Man 2 is a 2010 superhero film, based on the Marvel Comics superheroes of the same name. It is a sequel to Iron Man and a crossover between/sequel to Hulk, Thor, Captain America and The Incredible Hulk.\nIt was released internationally on April 9, 2010 and in the United States on April 15, 2010.\n\n"""@en .\n\n&lt;http://dbkwik.webdatacommons.org/marvelcinematicuniverse.wikia.com/resource/Lin_Manuel_Miranda&gt; rdfs:label "Lin-Manuel Miranda"^^rdf:langString ;\n    rdfs:comment """Lin-Manuel Miranda is an American composer, lyricist, actor and filmmaker. He wrote the book, lyrics and music for In The Heights and Hamilton, a musical about Alexander Hamilton which was later adapted into a film.\nHe also collaborated with Phil Lord and Christopher Miller on Ant Man.\n\n"""@en .\n\n&lt;http://dbkwik.webdatacommons.org/marvelcinematicuniverse.wikia.com/resource/Marvel_One-Shot:_All_Hail_the_King&gt; a &lt;http://dbkwik.webdatacommons.org/marvelcinematicuniverse.wikia.com/class/one-shot&gt; ;\n    rdfs:label "Marvel One-Shot: All Hail the King"^^rdf:langString ;\n    ns1:director &lt;http://dbkwik.webdatacommons.org/marvelcinematicuniverse.wikia.com/resource/Jed_Whedon&gt;,\n        &lt;http://dbkwik.webdatacommons.org/marvelcinematicuniverse.wikia.com/resource/Mike_Brown&gt; ;\n    rdfs:comment """All Hail the King is a 2013 one-shot Marvel exclusive film that served as an introduction for the series Agents of S.H.I.E.L.D..\nIt was shown at Comic-Con in San Diego on July 18, 2013.\n\n"""@en .\n\n&lt;http://dbkwik.webdatacommons.org/marvelcinematicuniverse.wikia.com/resource/Mitch_Gould&gt; rdfs:label "Mitch Gould"^^rdf:langString ;\n    rdfs:comment """Mitchell \'Mitch\' Gould was the executive producer for Agents of S.H.I.E.L.D.\n\n"""@en .\n\n&lt;http://dbkwik.webdatacommons.org/marvelcinematicuniverse.wikia.com/resource/Monster_League_of_Manhansen&gt; rdfs:label "Monster League of Manhansen"^^rdf:langString ;\n    rdfs:comment """The Monster League, led by Agent May, is a group consisting primarily of HYDRA agents, mercenaries and criminals with superpowers. They were organized under the command structure of their former leader, William Red Ripper. The league was broken up after Ripper\'s death.\n\n"""@en .\n\n&lt;http://dbkwik.webdatacommons.org/marvelcinematicuniverse.wikia.com/resource/Natasha_Romanoff&gt; rdfs:label "Natasha Romanoff"^^rdf:langString ;\n    ns1:oneshot &lt;http://dbkwik.webdatacommons.org/marvelcinematicuniverse.wikia.com/resource/Marvel_One-Shot:_All_Hail_the_King&gt; ;\n    rdfs:comment """Natasha "Nat"/[former] Natasha Romanoff is a Russian-American super spy, soldier and former agent of S.H.I.E.L.D. Her parents were killed by HYDRA operatives during her childhood in Siberia. The only survivor was Natasha\'s brother Alexander. After the death of her father, the then fifteen-year-old Natasha Romanoff ran away from home to seek revenge on HYDRA for the death of her family and enrolled at S.H.I.E.L.D.\'s training academy.\n"""@en .\n\n&lt;http://dbkwik.webdatacommons.org/marvelcinematicuniverse.wikia.com/resource/New_York_City_(city)&gt; rdfs:label "New York City (City)"^^rdf:langString ;\n    ns1:country &lt;http://dbkwik.webdatacommons.org/marvelcinematicuniverse.wikia.com/resource/New_York&gt; ;\n\n&lt;http://dbkwik.webdatacommons.org/marvelcinematicuniverse.wikia.com/resource/Odin_(King)&gt; a &lt;http://dbkwik.webdatacommons.org/marvelcinematicuniverse.wikia.com/class/race&gt; ;\n    rdfs:label "Odin (King)"^^rdf:langString ;\n\n&lt;http://dbkwik.webdatacommons.org/marvelcinematicuniverse.wikia.com/resource/Orlando_Bloom&gt; rdfs:label "Orlando Bloom"^^rdf:langString ;\n    rdfs:comment """Orlando William Foster\xa0Bloom is an English actor, producer and screenwriter. He starred as the lead character in Ridley Scott\'s Troy (2004) alongside Brad Pitt.\n\n"""@en .\n\n&lt;http://dbkwik.webdatacommons.org/marvelcinematicuniverse.wikia.com/resource/Phantom_Mirror&gt; rdfs:label "Phantom Mirror"^^rdf:langString ;\n    ns1:vehicle &lt;http://dbkwik.webdatacommons.org/marvelcinematicuniverse.wikia.com/resource/S.H.I.E.L.D._Quinjet&gt; ;\n\n&lt;http://dbkwik.webdatacommons.org/marvelcinematicuniverse.wikia.com/resource/Phil_Coulson&gt; a &lt;http://dbkwik.webdatacommons.org/marvelcinematicuniverse.wikia.com/class/race&gt; ;\n    rdfs:label "Phil Coulson"^^rdf:langString ;\n\n&lt;http://dbkwik.webdatacommons.org/marvelcinematicuniverse.wikia.com/resource/Rainbow_Sky_League&gt; rdfs:label "Rainbow Sky League"^^rdf:langString ;\n    rdfs:comment """The Rainbow Sky League was a league of superpowered individuals from all over the world, who had pledged their allegiance to AIM. It disbanded following a failed attack on Stark Industries.\n"""@en .\n\n&lt;http://dbkwik.webdatacommons.org/marvelcinematicuniverse.wikia.com/resource/Robin_Hinton&gt; rdfs:label "Robin Hinton"^^rdf:langString ;\n    ns1:clearance &lt;http://dbkwik.webdatacommons.org/marvelcinematicuniverse.wikia.com/resource/Clearance_Level&gt; ;\n    ns1:vehicle &lt;http://dbkwik.webdatacommons.org/marvelcinematicuniverse.wikia.com/resource/Lighthouse&gt; ;\n\n&lt;http://dbkwik.webdatacommons.org/marvelcinematicuniverse.wikia.com/resource/Robin_Murdock&gt; rdfs:label "Robin Murdock"^^rdf:langString ;\n    ns1:vehicle &lt;http://dbkwik.webdatacommons.org/marvelcinematicuniverse.wikia.com/resource/Lighthouse&gt; ;\n\n&lt;http://dbkwik.webdatacommons.org/marvelcinematicuniverse.wikia.com/resource/Roscoe_T._Coleman&gt; rdfs:label "Roscoe T. Coleman"^^rdf:langString ;\n    ns1:vehicle &lt;http://dbkwik.webdatacommons.org/marvelcinematicuniverse.wikia.com/resource/Lighthouse&gt; ;\n\n&lt;http://dbkwik.webdatacommons.org/marvelcinematicuniverse.wikia.com/resource/S.H.I.E.L.D._Quinjet&gt; a &lt;http://dbkwik.webdatacommons.org/marvelcinematicuniverse.wikia.com/class/vehicle&gt; ;\n    rdfs:label "S.H.I.E.L.D. Quinjet"^^rdf:langString ;\n\n&lt;http://dbkwik.webdatacommons.org/marvelcinematicuniverse.wikia.com/resource/Shang_MiI&gt; rdfs:label "Shang-Miel"^^rdf:langString ;\n    ns1:vehicle &lt;http://dbkwik.webdatacommons.org/marvelcinematicuniverse.wikia.com/resource/Lighthouse&gt; ;\n\n&lt;http://dbkwik.webdatacommons.org/marvelcinematicuniverse.wikia.com/resource/Spider-Man_(film)&gt; a &lt;http://dbkwik.webdatacommons.org/marvelcinematicuniverse.wikia.com/class/movie&gt; ;\n    rdfs:label "Spider-Man (film)"^^rdf:langString ;\n    ns1:boxoffice "2.026E9"^^&lt;http://dbkwik.webdatacommons.org/datatype/usDollar&gt; ;\n    ns1:producer &lt;http://dbkwik.webdatacommons.org/marvelcinematicuniverse.wikia.com/resource/Billy_Gierhart&gt;,\n        &lt;http://dbkwik.webdatacommons.org/marvelcinematicuniverse.wikia.com/resource/Christopher_Nolan&gt;,\n        &lt;http://dbkwik.webdatacommons.org/marvelcinematicuniverse.wikia.com/resource/Michael_Rosenberg&gt; ;\n    rdfs:comment """Spider-Man is a 2014 superhero film, based on the Marvel Comics character of the same name. It is a sequel to Iron Man and a crossover between/sequel to Captain America: The Winter Soldier, Thor: The Dark World, Guardians of the Galaxy Vol. 2, Hulk and Black Panther.\nThe movie was released internationally on July 7, 2014 and in the United States on July 8, 2014.\n\n"""@en .\n\n&lt;http://dbkwik.webdatacommons.org/marvelcinematicuniverse.wikia.com/resource/S.H.I.E.L.D._Academy&gt; rdfs:label "S.H.I.E.L.D. Academy"^^rdf:langString ;\n    ns1:vehicle &lt;http://dbkwik.webdatacommons.org/marvelcinematicuniverse.wikia.com/resource/Lighthouse&gt; ;\n\n&lt;http://dbkwik.webdatacommons.org/marvelcinematicuniverse.wikia.com/resource/S.H.I.E.L.D._Facility&gt; rdfs:label "S.H.I.E.L.D. Facility"^^rdf:langString ;\n    ns1:vehicle &lt;http://dbkwik.webdatacommons.org/marvelcinematicuniverse.wikia.com/resource/Lighthouse&gt; ;\n\n&lt;http://dbkwik.webdatacommons.org/marvelcinematicuniverse.wikia.com/resource/S.H.I.E.L.D._Stations&gt; rdfs:label "S.H.I.E.L.D. Stations"^^rdf:langString ;\n    ns1:vehicle &lt;http://dbkwik.webdatacommons.org/marvelcinematicuniverse.wikia.com/resource/Lighthouse&gt; ;\n\n&lt;http://dbkwik.webdatacommons.org/marvelcinematicuniverse.wikia.com/resource/S.H.I.E.L.D._Terminal&gt; rdfs:label "S.H.I.E.L.D. Terminal"^^rdf:langString ;\n    ns1:vehicle &lt;http://dbkwik.webdatacommons.org/marvelcinematicuniverse.wikia.com/resource/Lighthouse&gt; ;\n\n&lt;http://dbkwik.webdatacommons.org/marvelcinematicuniverse.wikia.com/resource/Thor_(film)&gt; a &lt;http://dbkwik.webdatacommons.org/marvelcinematicuniverse.wikia.com/class/movie&gt; ;\n    rdfs:label "Thor (film)"^^rdf:langString ;\n    ns1:boxoffice "2.048E9"^^&lt;http://dbkwik.webdatacommons.org/datatype/usDollar&gt; ;\n    ns1:producer &lt;http://dbkwik.webdatacommons.org/marvelcinematicuniverse.wikia.com/resource/Alan_Burney&gt;,\n        &lt;http://dbkwik.webdatacommons.org/marvelcinematicuniverse.wikia.com/resource/Ben_Marco&gt;,\n        &lt;http://dbkwik.webdatacommons.org/marvelcinematicuniverse.wikia.com/resource/Fred_Varsalas&gt; ;\n    rdfs:comment """Thor is a 2011 superhero film, based on the Marvel Comics superheroes of the same names. It is the fourth installment in the Marvel Cinematic Universe\xa0and the fourth installment of Phase One.\n"""@en .\n\n&lt;http://dbkwik.webdatacommons.org/marvelcinematicuniverse.wikia.com/resource/Ultron&gt; a &lt;http://dbkwik.webdatacommons.org/marvelcinematicuniverse.wikia.com/class/robot&gt; ;\n    rdfs:label "Ultron"^^rdf:langString ;\n\n&lt;http://dbkwik.webdatacommons.org/marvelcinematicuniverse.wikia.com/resource/Vers&gt; a &lt;http://dbkwik.webdatacommons.org/marvelcinematicuniverse.wikia.com/class/race&gt; ;\n    rdfs:label "Vers"^^rdf:langString ;\n\n\n&lt;http://marvelcinematicuniverse.wikia.com/wiki/Special:FilePath/$.jpeg?width=300&gt; a ns3:Image ;\n    dc:rights &lt;http://marvelcinematicuniverse.wikia.com/wiki/File:$&gt; .\n\n&lt;http://dbkwik.webdatacommons.org/marvelcinematicuniverse.wikia.com/resource/Whedon,_Joss&gt; rdfs:label "Whedon, Joss"^^rdf:langString ;\n    ns1:director &lt;http://dbkwik.webdatacommons.org/marvelcinematicuniverse.wikia.com/resource/Jed_Whedon&gt;,\n        &lt;http://dbkwik.webdatacommons.org/marvelcinematicuniverse.wikia.com/resource/Mike_Gillies&gt; ;\n\n&lt;http://dbkwik.webdatacommons.org/marvelcinematicuniverse.wikia.com/resource/Xavier_Sorbal&gt; rdfs:label "Xavier Sorbal"^^rdf:langString ;\n    ns1:composer &lt;http://dbkwik.webdatacommons.org/marvelcinematicuniverse.wikia.com/resource/Bear_McCreary&gt;,\n        &lt;http://dbkwik.webdatacommons.org/marvelcinematicuniverse.wikia.com/resource/Rodrigo_Guzman&gt; .', thinking=None, images=None, tool_calls=None)</t>
        </is>
      </c>
      <c r="E6"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&lt;http://dbkwik.webdatacommons.org/marvelcinematicuniverse.wikia.com/resource/All_the_Mothers&gt; rdfs:label "All the Mothers"^^rdf:langString ;
    rdfs:comment """All the Mothers is an episode of Agents of S.H.I.E.L.D. which was first shown on May 23, 2017.
"""@en .
&lt;http://dbkwik.webdatacommons.org/marvelcinematicuniverse.wikia.com/resource/Ant_Mans&gt; rdfs:label "Ant Mans"^^rdf:langString ;
    rdfs:comment """Ant Mans is a character appearing in Marvel Comics. The Ant Man of this continuity, known as Darryl Nelson, gained his powers from experimental DNA treatments designed to cure cancer.
"""@en .
&lt;http://dbkwik.webdatacommons.org/marvelcinematicuniverse.wikia.com/resource/Black_Panther_(film)&gt; rdfs:label "Black Panther (film)"^^rdf:langString ;
    rdfs:comment """Black Panther is a 2018 superhero film, based on the Marvel Comics superhero of the same name. It is the fourth installment in the Marvel Cinematic Universe and the second installment of Phase Three.
The movie was released internationally on April 27, 2018 and in the United States on April 26, 2018.
"""@en .
&lt;http://dbkwik.webdatacommons.org/marvelcinematicuniverse.wikia.com/resource/Captain_America:_Civil_War_Prelude&gt; rdfs:label "Captain America: Civil War Prelude"^^rdf:langString ;
    rdfs:comment """Captain America: Civil War Prelude is an eight part digital comic book set during the events of Captain America: Civil War, written by Fred Van Lente.
"""@en .
&lt;http://dbkwik.webdatacommons.org/marvelcinematicuniverse.wikia.com/resource/Captain_America:_Civil_War&gt; a &lt;http://dbkwik.webdatacommons.org/marvelcinematicuniverse.wikia.com/class/movie&gt; ;
    rdfs:label "Captain America: Civil War"^^rdf:langString ;
    ns1:boxoffice "2.191E9"^^&lt;http://dbkwik.webdatacommons.org/datatype/usDollar&gt; ;
    ns1:producer &lt;http://dbkwik.webdatacommons.org/marvelcinematicuniverse.wikia.com/resource/Billy_Gierhart&gt;,
        &lt;http://dbkwik.webdatacommons.org/marvelcinematicuniverse.wikia.com/resource/Leslie_Mayberry&gt;,
        &lt;http://dbkwik.webdatacommons.org/marvelcinematicuniverse.wikia.com/resource/Tom_Shankland&gt; ;
    rdfs:comment """Captain America: Civil War is a 2016 superhero film, based on the Marvel Comics superheroes of the same names. It is a sequel to Captain America: The First Avenger and Captain America: The Winter Soldier and a crossover between/sequel to Black Panther, Guardians of the Galaxy Vol. 2, Spider-Man: Homecoming and Thor: Ragnarok. The film is the seventeenth installment in the Marvel Cinematic Universe.
"""@en .
&lt;http://dbkwik.webdatacommons.org/marvelcinematicuniverse.wikia.com/resource/Captain_America:_The_First_Avenger&gt; a &lt;http://dbkwik.webdatacommons.org/marvelcinematicuniverse.wikia.com/class/movie&gt; ;
    rdfs:label "Captain America: The First Avenger"^^rdf:langString ;
    ns1:boxoffice "2.057E9"^^&lt;http://dbkwik.webdatacommons.org/datatype/usDollar&gt; ;
    ns1:producer &lt;http://dbkwik.webdatacommons.org/marvelcinematicuniverse.wikia.com/resource/Scott_Derrickson&gt;,
        &lt;http://dbkwik.webdatacommons.org/marvelcinematicuniverse.wikia.com/resource/Billy_Gierhart&gt;,
        &lt;http://dbkwik.webdatacommons.org/marvelcinematicuniverse.wikia.com/resource/Leslie_Mayberry&gt; ;
    rdfs:comment """Captain America: The First Avenger is a 2011 superhero film, based on the Marvel Comics superheroes of the same names. It is the third installment in the Marvel Cinematic Universe and the second installment of Phase One.
"""@en .
&lt;http://dbkwik.webdatacommons.org/marvelcinematicuniverse.wikia.com/resource/Clint_Barton&gt; rdfs:label "Clint Barton"^^rdf:langString ;
    ns1:oneshot &lt;http://dbkwik.webdatacommons.org/marvelcinematicuniverse.wikia.com/resource/Marvel_One-Shot:_All_Hail_the_King&gt; ;
    rdfs:comment """Clint Barton, better known by his superhero identity as Hawkeye and also Fury II. After having to leave S.H.I.E.L.D., Clint began working for the Crimson Dynamo, a group bent on taking down Stark Industries after being betrayed by Nick Fury.
"""@en .
&lt;http://dbkwik.webdatacommons.org/marvelcinematicuniverse.wikia.com/resource/City&gt; a owl:Class ;
    rdfs:label "City"@en .
&lt;http://dbkwik.webdatacommons.org/marvelcinematicuniverse.wikia.com/resource/Colin_Jost&gt; rdfs:label "Colin Jost"^^rdf:langString ;
    rdfs:comment """Colin Jost is an American writer, producer and stand-up comedian. His collaborations with fellow writers Michael Patrick Jann and Phil Lord have resulted in the short film series Monkey Bone Express, as well as multiple episodes of both Modern Love and Saturday Night Live.
He was an executive producer for Agents of S.H.I.E.L.D.: The Chase.
"""@en .
&lt;http://dbkwik.webdatacommons.org/marvelcinematicuniverse.wikia.com/resource/Dark_Elf_Invaders&gt; rdfs:label "Dark Elf Invaders"^^rdf:langString ;
    rdfs:comment """The Dark Elves, led by Malekith the Accuser and aided by Yond'alil, attacked Asgard in order to steal back the Aether. The attack was a success with many casualties until Sif managed to turn around the tide of battle and defeat Malekith.
"""@en .
&lt;http://dbkwik.webdatacommons.org/marvelcinematicuniverse.wikia.com/resource/Doctor_Spider&gt; rdfs:label "Doctor Spider"^^rdf:langString ;
    ns1:voice &lt;http://dbkwik.webdatacommons.org/marvelcinematicuniverse.wikia.com/resource/Tom_Fraser&gt; ;
    rdfs:comment """The Doctor of Spider is the second incarnation of Peter Parker's symbiote costume, with a new design and abilities. Having returned to New York City for a new purpose after his first attempt at keeping up appearances in civilian life failed, he joined forces with Daredevil, Black Panther and Jessica Jones.
"""@en .
&lt;http://dbkwik.webdatacommons.org/marvelcinematicuniverse.wikia.com/resource/Doctor_Strange&gt; rdfs:label "Doctor Strange"^^rdf:langString ;
    ns1:current &lt;http://dbkwik.webdatacommons.org/marvelcinematicuniverse.wikia.com/resource/Doctor_Strange_(film)&gt; ;
    rdfs:comment """Dr. Stephen Vincent Strange is the eleventh incarnation of Doctor Strange, the Sorcerer Supreme.
"""@en .
&lt;http://dbkwik.webdatacommons.org/marvelcinematicuniverse.wikia.com/resource/Elders_of_Sakaar&gt; a &lt;http://dbkwik.webdatacommons.org/marvelcinematicuniverse.wikia.com/class/race&gt; ;
    rdfs:label "Elders of Sakaar"^^rdf:langString ;
&lt;http://dbkwik.webdatacommons.org/marvelcinematicuniverse.wikia.com/resource/Iron_Fist_(film)&gt; a &lt;http://dbkwik.webdatacommons.org/marvelcinematicuniverse.wikia.com/class/movie&gt; ;
    rdfs:label "Iron Fist (film)"^^rdf:langString ;
    ns1:boxoffice "3.196E9"^^&lt;http://dbkwik.webdatacommons.org/datatype/usDollar&gt; ;
    ns1:producer &lt;http://dbkwik.webdatacommons.org/marvelcinematicuniverse.wikia.com/resource/Jed_Whedon&gt;,
        &lt;http://dbkwik.webdatacommons.org/marvelcinematicuniverse.wikia.com/resource/Micah_Balicki&gt;,
        &lt;http://dbkwik.webdatacommons.org/marvelcinematicuniverse.wikia.com/resource/Nathan_Fillion&gt; ;
    rdfs:comment """Iron Fist is a 2018 superhero film, based on the Marvel Comics superhero of the same name. It is the ninth installment in the Marvel Cinematic Universe and the third installment of Phase Three.
The movie was released internationally on October 26, 2018 and on November 1, 2018 in the United States.
"""@en .
&lt;http://dbkwik.webdatacommons.org/marvelcinematicuniverse.wikia.com/resource/Iron_Man_2&gt; a &lt;http://dbkwik.webdatacommons.org/marvelcinematicuniverse.wikia.com/class/movie&gt; ;
    rdfs:label "Iron Man 2"^^rdf:langString ;
    ns1:boxoffice "1.547E9"^^&lt;http://dbkwik.webdatacommons.org/datatype/usDollar&gt; ;
    ns1:producer &lt;http://dbkwik.webdatacommons.org/marvelcinematicuniverse.wikia.com/resource/Jim_Thompson&gt;,
        &lt;http://dbkwik.webdatacommons.org/marvelcinematicuniverse.wikia.com/resource/Chris_Ventimiglia&gt; ;
    rdfs:comment """Iron Man 2 is a 2010 superhero film, based on the Marvel Comics superheroes of the same name. It is a sequel to Iron Man and a crossover between/sequel to Hulk, Thor, Captain America and The Incredible Hulk.
It was released internationally on April 9, 2010 and in the United States on April 15, 2010.
"""@en .
&lt;http://dbkwik.webdatacommons.org/marvelcinematicuniverse.wikia.com/resource/Lin_Manuel_Miranda&gt; rdfs:label "Lin-Manuel Miranda"^^rdf:langString ;
    rdfs:comment """Lin-Manuel Miranda is an American composer, lyricist, actor and filmmaker. He wrote the book, lyrics and music for In The Heights and Hamilton, a musical about Alexander Hamilton which was later adapted into a film.
He also collaborated with Phil Lord and Christopher Miller on Ant Man.
"""@en .
&lt;http://dbkwik.webdatacommons.org/marvelcinematicuniverse.wikia.com/resource/Marvel_One-Shot:_All_Hail_the_King&gt; a &lt;http://dbkwik.webdatacommons.org/marvelcinematicuniverse.wikia.com/class/one-shot&gt; ;
    rdfs:label "Marvel One-Shot: All Hail the King"^^rdf:langString ;
    ns1:director &lt;http://dbkwik.webdatacommons.org/marvelcinematicuniverse.wikia.com/resource/Jed_Whedon&gt;,
        &lt;http://dbkwik.webdatacommons.org/marvelcinematicuniverse.wikia.com/resource/Mike_Brown&gt; ;
    rdfs:comment """All Hail the King is a 2013 one-shot Marvel exclusive film that served as an introduction for the series Agents of S.H.I.E.L.D..
It was shown at Comic-Con in San Diego on July 18, 2013.
"""@en .
&lt;http://dbkwik.webdatacommons.org/marvelcinematicuniverse.wikia.com/resource/Mitch_Gould&gt; rdfs:label "Mitch Gould"^^rdf:langString ;
    rdfs:comment """Mitchell 'Mitch' Gould was the executive producer for Agents of S.H.I.E.L.D.
"""@en .
&lt;http://dbkwik.webdatacommons.org/marvelcinematicuniverse.wikia.com/resource/Monster_League_of_Manhansen&gt; rdfs:label "Monster League of Manhansen"^^rdf:langString ;
    rdfs:comment """The Monster League, led by Agent May, is a group consisting primarily of HYDRA agents, mercenaries and criminals with superpowers. They were organized under the command structure of their former leader, William Red Ripper. The league was broken up after Ripper's death.
"""@en .
&lt;http://dbkwik.webdatacommons.org/marvelcinematicuniverse.wikia.com/resource/Natasha_Romanoff&gt; rdfs:label "Natasha Romanoff"^^rdf:langString ;
    ns1:oneshot &lt;http://dbkwik.webdatacommons.org/marvelcinematicuniverse.wikia.com/resource/Marvel_One-Shot:_All_Hail_the_King&gt; ;
    rdfs:comment """Natasha "Nat"/[former] Natasha Romanoff is a Russian-American super spy, soldier and former agent of S.H.I.E.L.D. Her parents were killed by HYDRA operatives during her childhood in Siberia. The only survivor was Natasha's brother Alexander. After the death of her father, the then fifteen-year-old Natasha Romanoff ran away from home to seek revenge on HYDRA for the death of her family and enrolled at S.H.I.E.L.D.'s training academy.
"""@en .
&lt;http://dbkwik.webdatacommons.org/marvelcinematicuniverse.wikia.com/resource/New_York_City_(city)&gt; rdfs:label "New York City (City)"^^rdf:langString ;
    ns1:country &lt;http://dbkwik.webdatacommons.org/marvelcinematicuniverse.wikia.com/resource/New_York&gt; ;
&lt;http://dbkwik.webdatacommons.org/marvelcinematicuniverse.wikia.com/resource/Odin_(King)&gt; a &lt;http://dbkwik.webdatacommons.org/marvelcinematicuniverse.wikia.com/class/race&gt; ;
    rdfs:label "Odin (King)"^^rdf:langString ;
&lt;http://dbkwik.webdatacommons.org/marvelcinematicuniverse.wikia.com/resource/Orlando_Bloom&gt; rdfs:label "Orlando Bloom"^^rdf:langString ;
    rdfs:comment """Orlando William Foster Bloom is an English actor, producer and screenwriter. He starred as the lead character in Ridley Scott's Troy (2004) alongside Brad Pitt.
"""@en .
&lt;http://dbkwik.webdatacommons.org/marvelcinematicuniverse.wikia.com/resource/Phantom_Mirror&gt; rdfs:label "Phantom Mirror"^^rdf:langString ;
    ns1:vehicle &lt;http://dbkwik.webdatacommons.org/marvelcinematicuniverse.wikia.com/resource/S.H.I.E.L.D._Quinjet&gt; ;
&lt;http://dbkwik.webdatacommons.org/marvelcinematicuniverse.wikia.com/resource/Phil_Coulson&gt; a &lt;http://dbkwik.webdatacommons.org/marvelcinematicuniverse.wikia.com/class/race&gt; ;
    rdfs:label "Phil Coulson"^^rdf:langString ;
&lt;http://dbkwik.webdatacommons.org/marvelcinematicuniverse.wikia.com/resource/Rainbow_Sky_League&gt; rdfs:label "Rainbow Sky League"^^rdf:langString ;
    rdfs:comment """The Rainbow Sky League was a league of superpowered individuals from all over the world, who had pledged their allegiance to AIM. It disbanded following a failed attack on Stark Industries.
"""@en .
&lt;http://dbkwik.webdatacommons.org/marvelcinematicuniverse.wikia.com/resource/Robin_Hinton&gt; rdfs:label "Robin Hinton"^^rdf:langString ;
    ns1:clearance &lt;http://dbkwik.webdatacommons.org/marvelcinematicuniverse.wikia.com/resource/Clearance_Level&gt; ;
    ns1:vehicle &lt;http://dbkwik.webdatacommons.org/marvelcinematicuniverse.wikia.com/resource/Lighthouse&gt; ;
&lt;http://dbkwik.webdatacommons.org/marvelcinematicuniverse.wikia.com/resource/Robin_Murdock&gt; rdfs:label "Robin Murdock"^^rdf:langString ;
    ns1:vehicle &lt;http://dbkwik.webdatacommons.org/marvelcinematicuniverse.wikia.com/resource/Lighthouse&gt; ;
&lt;http://dbkwik.webdatacommons.org/marvelcinematicuniverse.wikia.com/resource/Roscoe_T._Coleman&gt; rdfs:label "Roscoe T. Coleman"^^rdf:langString ;
    ns1:vehicle &lt;http://dbkwik.webdatacommons.org/marvelcinematicuniverse.wikia.com/resource/Lighthouse&gt; ;
&lt;http://dbkwik.webdatacommons.org/marvelcinematicuniverse.wikia.com/resource/S.H.I.E.L.D._Quinjet&gt; a &lt;http://dbkwik.webdatacommons.org/marvelcinematicuniverse.wikia.com/class/vehicle&gt; ;
    rdfs:label "S.H.I.E.L.D. Quinjet"^^rdf:langString ;
&lt;http://dbkwik.webdatacommons.org/marvelcinematicuniverse.wikia.com/resource/Shang_MiI&gt; rdfs:label "Shang-Miel"^^rdf:langString ;
    ns1:vehicle &lt;http://dbkwik.webdatacommons.org/marvelcinematicuniverse.wikia.com/resource/Lighthouse&gt; ;
&lt;http://dbkwik.webdatacommons.org/marvelcinematicuniverse.wikia.com/resource/Spider-Man_(film)&gt; a &lt;http://dbkwik.webdatacommons.org/marvelcinematicuniverse.wikia.com/class/movie&gt; ;
    rdfs:label "Spider-Man (film)"^^rdf:langString ;
    ns1:boxoffice "2.026E9"^^&lt;http://dbkwik.webdatacommons.org/datatype/usDollar&gt; ;
    ns1:producer &lt;http://dbkwik.webdatacommons.org/marvelcinematicuniverse.wikia.com/resource/Billy_Gierhart&gt;,
        &lt;http://dbkwik.webdatacommons.org/marvelcinematicuniverse.wikia.com/resource/Christopher_Nolan&gt;,
        &lt;http://dbkwik.webdatacommons.org/marvelcinematicuniverse.wikia.com/resource/Michael_Rosenberg&gt; ;
    rdfs:comment """Spider-Man is a 2014 superhero film, based on the Marvel Comics character of the same name. It is a sequel to Iron Man and a crossover between/sequel to Captain America: The Winter Soldier, Thor: The Dark World, Guardians of the Galaxy Vol. 2, Hulk and Black Panther.
The movie was released internationally on July 7, 2014 and in the United States on July 8, 2014.
"""@en .
&lt;http://dbkwik.webdatacommons.org/marvelcinematicuniverse.wikia.com/resource/S.H.I.E.L.D._Academy&gt; rdfs:label "S.H.I.E.L.D. Academy"^^rdf:langString ;
    ns1:vehicle &lt;http://dbkwik.webdatacommons.org/marvelcinematicuniverse.wikia.com/resource/Lighthouse&gt; ;
&lt;http://dbkwik.webdatacommons.org/marvelcinematicuniverse.wikia.com/resource/S.H.I.E.L.D._Facility&gt; rdfs:label "S.H.I.E.L.D. Facility"^^rdf:langString ;
    ns1:vehicle &lt;http://dbkwik.webdatacommons.org/marvelcinematicuniverse.wikia.com/resource/Lighthouse&gt; ;
&lt;http://dbkwik.webdatacommons.org/marvelcinematicuniverse.wikia.com/resource/S.H.I.E.L.D._Stations&gt; rdfs:label "S.H.I.E.L.D. Stations"^^rdf:langString ;
    ns1:vehicle &lt;http://dbkwik.webdatacommons.org/marvelcinematicuniverse.wikia.com/resource/Lighthouse&gt; ;
&lt;http://dbkwik.webdatacommons.org/marvelcinematicuniverse.wikia.com/resource/S.H.I.E.L.D._Terminal&gt; rdfs:label "S.H.I.E.L.D. Terminal"^^rdf:langString ;
    ns1:vehicle &lt;http://dbkwik.webdatacommons.org/marvelcinematicuniverse.wikia.com/resource/Lighthouse&gt; ;
&lt;http://dbkwik.webdatacommons.org/marvelcinematicuniverse.wikia.com/resource/Thor_(film)&gt; a &lt;http://dbkwik.webdatacommons.org/marvelcinematicuniverse.wikia.com/class/movie&gt; ;
    rdfs:label "Thor (film)"^^rdf:langString ;
    ns1:boxoffice "2.048E9"^^&lt;http://dbkwik.webdatacommons.org/datatype/usDollar&gt; ;
    ns1:producer &lt;http://dbkwik.webdatacommons.org/marvelcinematicuniverse.wikia.com/resource/Alan_Burney&gt;,
        &lt;http://dbkwik.webdatacommons.org/marvelcinematicuniverse.wikia.com/resource/Ben_Marco&gt;,
        &lt;http://dbkwik.webdatacommons.org/marvelcinematicuniverse.wikia.com/resource/Fred_Varsalas&gt; ;
    rdfs:comment """Thor is a 2011 superhero film, based on the Marvel Comics superheroes of the same names. It is the fourth installment in the Marvel Cinematic Universe and the fourth installment of Phase One.
"""@en .
&lt;http://dbkwik.webdatacommons.org/marvelcinematicuniverse.wikia.com/resource/Ultron&gt; a &lt;http://dbkwik.webdatacommons.org/marvelcinematicuniverse.wikia.com/class/robot&gt; ;
    rdfs:label "Ultron"^^rdf:langString ;
&lt;http://dbkwik.webdatacommons.org/marvelcinematicuniverse.wikia.com/resource/Vers&gt; a &lt;http://dbkwik.webdatacommons.org/marvelcinematicuniverse.wikia.com/class/race&gt; ;
    rdfs:label "Vers"^^rdf:langString ;
&lt;http://marvelcinematicuniverse.wikia.com/wiki/Special:FilePath/$.jpeg?width=300&gt; a ns3:Image ;
    dc:rights &lt;http://marvelcinematicuniverse.wikia.com/wiki/File:$&gt; .
&lt;http://dbkwik.webdatacommons.org/marvelcinematicuniverse.wikia.com/resource/Whedon,_Joss&gt; rdfs:label "Whedon, Joss"^^rdf:langString ;
    ns1:director &lt;http://dbkwik.webdatacommons.org/marvelcinematicuniverse.wikia.com/resource/Jed_Whedon&gt;,
        &lt;http://dbkwik.webdatacommons.org/marvelcinematicuniverse.wikia.com/resource/Mike_Gillies&gt; ;
&lt;http://dbkwik.webdatacommons.org/marvelcinematicuniverse.wikia.com/resource/Xavier_Sorbal&gt; rdfs:label "Xavier Sorbal"^^rdf:langString ;
    ns1:composer &lt;http://dbkwik.webdatacommons.org/marvelcinematicuniverse.wikia.com/resource/Bear_McCreary&gt;,
        &lt;http://dbkwik.webdatacommons.org/marvelcinematicuniverse.wikia.com/resource/Rodrigo_Guzman&gt; .</t>
        </is>
      </c>
      <c r="F6" t="inlineStr">
        <is>
          <t>{
  "cq_text": "What are all the origin locations (e.g., homeworld, birthplace, base) for each of the characters?",
  "syntax_ok": false,
  "syntax_msg": "No SPARQL form found"
}</t>
        </is>
      </c>
      <c r="G6" t="b">
        <v>0</v>
      </c>
      <c r="H6" t="b">
        <v>0</v>
      </c>
      <c r="I6" t="b">
        <v>0</v>
      </c>
      <c r="J6" t="n">
        <v>0</v>
      </c>
      <c r="K6" t="n">
        <v>0</v>
      </c>
      <c r="O6" t="n">
        <v>0</v>
      </c>
      <c r="P6" t="n">
        <v>0</v>
      </c>
      <c r="Q6" t="n">
        <v>0</v>
      </c>
      <c r="R6" t="n">
        <v>0</v>
      </c>
      <c r="S6" t="inlineStr">
        <is>
          <t>[]</t>
        </is>
      </c>
      <c r="T6" t="inlineStr">
        <is>
          <t>[]</t>
        </is>
      </c>
      <c r="U6" t="inlineStr">
        <is>
          <t>simple</t>
        </is>
      </c>
      <c r="V6" t="n">
        <v>0</v>
      </c>
      <c r="W6" t="n">
        <v>0</v>
      </c>
      <c r="X6" t="n">
        <v>0</v>
      </c>
      <c r="Y6" t="n">
        <v>0</v>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7" t="inlineStr">
        <is>
          <t>```sparql
SELECT ?competency WHERE {
  SELECT DISTINCT ?x WHERE { ?competency &lt;http://dbkwik.webdatacommons.org/marvelcinematicuniverse.wikia.com/resource/Category&gt; ?y . }
  FILTER (isIn(?x, 2017))
}
```</t>
        </is>
      </c>
      <c r="D7" t="inlineStr">
        <is>
          <t>model='granite4:latest' created_at='2025-11-26T04:21:49.793998599Z' done=True done_reason='stop' total_duration=290909555058 load_duration=548584727 prompt_eval_count=107867 prompt_eval_duration=287769575177 eval_count=63 eval_duration=2163512503 message=Message(role='assistant', content='```sparql\nSELECT ?competency WHERE {\n  SELECT DISTINCT ?x WHERE { ?competency &lt;http://dbkwik.webdatacommons.org/marvelcinematicuniverse.wikia.com/resource/Category&gt; ?y . }\n  FILTER (isIn(?x, 2017))\n}\n```', thinking=None, images=None, tool_calls=None)</t>
        </is>
      </c>
      <c r="E7"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?competency WHERE {
  SELECT DISTINCT ?x WHERE { ?competency &lt;http://dbkwik.webdatacommons.org/marvelcinematicuniverse.wikia.com/resource/Category&gt; ?y . }
  FILTER (isIn(?x, 2017))
}</t>
        </is>
      </c>
      <c r="F7" t="inlineStr">
        <is>
          <t>ERROR: QueryBadFormed: A bad request has been sent to the endpoint: probably the SPARQL query is badly formed. 
Response:
b'Parse error: Encountered " "filter" "FILTER "" at line 15, column 3.\n'</t>
        </is>
      </c>
      <c r="G7" t="b">
        <v>0</v>
      </c>
      <c r="H7" t="b">
        <v>0</v>
      </c>
      <c r="I7" t="b">
        <v>0</v>
      </c>
      <c r="U7" t="inlineStr">
        <is>
          <t>simple</t>
        </is>
      </c>
      <c r="V7" t="n">
        <v>1</v>
      </c>
      <c r="W7" t="n">
        <v>1</v>
      </c>
      <c r="X7" t="n">
        <v>1</v>
      </c>
      <c r="Y7" t="n">
        <v>0.5</v>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is>
      </c>
      <c r="C8" t="inlineStr">
        <is>
          <t>```sparql
SELECT ?x WHERE {
  # Competitors
  SELECT (COUNT(?p) AS ?count)
   WHERE {
     VALUES ?x { Agents_of_S.H.I.E.L.D. Luke_Cage Inhumans Iron_Fist }
     ?x a ?type .
     FILTER(?type IN (Comic, Movie, WebSeries))
     ?x a P686 ?p
   }
}
SELECT COUNT(*) FROM (
  SELECT 
    CASE 
      WHEN EXISTS { ?pns P686 ?p } THEN 1
      ELSE 0
    END AS ?check
  WHERE {
    VALUES ?x { Agents_of_S.H.I.E.L.D. Luke_Cage Inhumans Iron_Fist }
    ?x a ?type .
    ?pns a ?ty2 .
    OPTIONAL {?pns P686 ?p}
    FILTER(?ty2 IN (Comic, Movie))
  }
)
```</t>
        </is>
      </c>
      <c r="D8" t="inlineStr">
        <is>
          <t>model='granite4:latest' created_at='2025-11-26T04:26:45.685915536Z' done=True done_reason='stop' total_duration=295590613508 load_duration=545505995 prompt_eval_count=107861 prompt_eval_duration=287825079459 eval_count=191 eval_duration=6704396388 message=Message(role='assistant', content='```sparql\nSELECT ?x WHERE {\n  # Competitors\n  SELECT (COUNT(?p) AS ?count)\n   WHERE {\n     VALUES ?x { Agents_of_S.H.I.E.L.D. Luke_Cage Inhumans Iron_Fist }\n     ?x a ?type .\n     FILTER(?type IN (Comic, Movie, WebSeries))\n     ?x a P686 ?p\n   }\n}\n\nSELECT COUNT(*) FROM (\n  SELECT \n    CASE \n      WHEN EXISTS { ?pns P686 ?p } THEN 1\n      ELSE 0\n    END AS ?check\n  WHERE {\n    VALUES ?x { Agents_of_S.H.I.E.L.D. Luke_Cage Inhumans Iron_Fist }\n    ?x a ?type .\n    ?pns a ?ty2 .\n    OPTIONAL {?pns P686 ?p}\n    FILTER(?ty2 IN (Comic, Movie))\n  }\n)\n```', thinking=None, images=None, tool_calls=None)</t>
        </is>
      </c>
      <c r="E8"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?x WHERE {
  # Competitors
  SELECT (COUNT(?p) AS ?count)
   WHERE {
     VALUES ?x { Agents_of_S.H.I.E.L.D. Luke_Cage Inhumans Iron_Fist }
     ?x a ?type .
     FILTER(?type IN (Comic, Movie, WebSeries))
     ?x a P686 ?p
   }
}
SELECT COUNT(*) FROM (
  SELECT 
    CASE 
      WHEN EXISTS { ?pns P686 ?p } THEN 1
      ELSE 0
    END AS ?check
  WHERE {
    VALUES ?x { Agents_of_S.H.I.E.L.D. Luke_Cage Inhumans Iron_Fist }
    ?x a ?type .
    ?pns a ?ty2 .
    OPTIONAL {?pns P686 ?p}
    FILTER(?ty2 IN (Comic, Movie))
  }
)</t>
        </is>
      </c>
      <c r="F8" t="inlineStr">
        <is>
          <t>ERROR: QueryBadFormed: A bad request has been sent to the endpoint: probably the SPARQL query is badly formed. 
Response:
b'Parse error: Lexical error at line 17, column 40.  Encountered: \'32\' (32), after prefix "Agents_of_S.H.I.E.L.D."\n'</t>
        </is>
      </c>
      <c r="G8" t="b">
        <v>0</v>
      </c>
      <c r="H8" t="b">
        <v>0</v>
      </c>
      <c r="I8" t="b">
        <v>0</v>
      </c>
      <c r="U8" t="inlineStr">
        <is>
          <t>simple</t>
        </is>
      </c>
      <c r="V8" t="n">
        <v>1</v>
      </c>
      <c r="W8" t="n">
        <v>1</v>
      </c>
      <c r="X8" t="n">
        <v>1</v>
      </c>
      <c r="Y8" t="n">
        <v>0.5</v>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is>
      </c>
      <c r="C9" t="inlineStr">
        <is>
          <t>```sparql
SELECT ?competency WHERE {
  SELECT DISTINCT ?comp WHERE {
    SELECT ?comp WHERE { ?comp a competency }
  } UNION {
    SELECT ?comp WHERE {
      SELECT ?comp WHERE {
        ?comp rdfs:label "Powers and Abilities"@en .
      }
    }
  }
}
```</t>
        </is>
      </c>
      <c r="D9" t="inlineStr">
        <is>
          <t>model='granite4:latest' created_at='2025-11-26T04:31:37.220337192Z' done=True done_reason='stop' total_duration=291238293769 load_duration=545137292 prompt_eval_count=107862 prompt_eval_duration=287855241056 eval_count=68 eval_duration=2414494147 message=Message(role='assistant', content='```sparql\nSELECT ?competency WHERE {\n  SELECT DISTINCT ?comp WHERE {\n    SELECT ?comp WHERE { ?comp a competency }\n  } UNION {\n    SELECT ?comp WHERE {\n      SELECT ?comp WHERE {\n        ?comp rdfs:label "Powers and Abilities"@en .\n      }\n    }\n  }\n}\n```', thinking=None, images=None, tool_calls=None)</t>
        </is>
      </c>
      <c r="E9"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?competency WHERE {
  SELECT DISTINCT ?comp WHERE {
    SELECT ?comp WHERE { ?comp a competency }
  } UNION {
    SELECT ?comp WHERE {
      SELECT ?comp WHERE {
        ?comp rdfs:label "Powers and Abilities"@en .
      }
    }
  }
}</t>
        </is>
      </c>
      <c r="F9" t="inlineStr">
        <is>
          <t>ERROR: QueryBadFormed: A bad request has been sent to the endpoint: probably the SPARQL query is badly formed. 
Response:
b'Parse error: Lexical error at line 15, column 44.  Encountered: \'32\' (32), after prefix "competency"\n'</t>
        </is>
      </c>
      <c r="G9" t="b">
        <v>0</v>
      </c>
      <c r="H9" t="b">
        <v>0</v>
      </c>
      <c r="I9" t="b">
        <v>0</v>
      </c>
      <c r="U9" t="inlineStr">
        <is>
          <t>simple</t>
        </is>
      </c>
      <c r="V9" t="n">
        <v>1</v>
      </c>
      <c r="W9" t="n">
        <v>1</v>
      </c>
      <c r="X9" t="n">
        <v>1</v>
      </c>
      <c r="Y9" t="n">
        <v>0.5</v>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is>
      </c>
      <c r="C10" t="inlineStr">
        <is>
          <t>```sparql
SELECT ?competency WHERE {
  SELECT ?competency WHERE { GRAPH ?g { ?a schema:about ?competency . }} .
}
```</t>
        </is>
      </c>
      <c r="D10" t="inlineStr">
        <is>
          <t>model='granite4:latest' created_at='2025-11-26T04:36:27.632557619Z' done=True done_reason='stop' total_duration=290111729632 load_duration=552821846 prompt_eval_count=107863 prompt_eval_duration=287953518013 eval_count=35 eval_duration=1211899007 message=Message(role='assistant', content='```sparql\nSELECT ?competency WHERE {\n  SELECT ?competency WHERE { GRAPH ?g { ?a schema:about ?competency . }} .\n}\n```', thinking=None, images=None, tool_calls=None)</t>
        </is>
      </c>
      <c r="E10"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?competency WHERE {
  SELECT ?competency WHERE { GRAPH ?g { ?a schema:about ?competency . }} .
}</t>
        </is>
      </c>
      <c r="F10" t="inlineStr">
        <is>
          <t>ERROR: QueryBadFormed: A bad request has been sent to the endpoint: probably the SPARQL query is badly formed. 
Response:
b'Parse error: Line 14, column 44: Unresolved prefixed name: schema:about\n'</t>
        </is>
      </c>
      <c r="G10" t="b">
        <v>0</v>
      </c>
      <c r="H10" t="b">
        <v>0</v>
      </c>
      <c r="I10" t="b">
        <v>0</v>
      </c>
      <c r="U10" t="inlineStr">
        <is>
          <t>simple</t>
        </is>
      </c>
      <c r="V10" t="n">
        <v>1</v>
      </c>
      <c r="W10" t="n">
        <v>1</v>
      </c>
      <c r="X10" t="n">
        <v>1</v>
      </c>
      <c r="Y10" t="n">
        <v>0.5</v>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is>
      </c>
      <c r="C11" t="inlineStr">
        <is>
          <t>```sparql
SELECT * WHERE {
   ?competency a &lt;http://dbkwik.webdatacommons.org/marvelcinematicuniverse.wikia.com/class/competition&gt; .
}
```</t>
        </is>
      </c>
      <c r="D11" t="inlineStr">
        <is>
          <t>model='granite4:latest' created_at='2025-11-26T04:41:18.143934118Z' done=True done_reason='stop' total_duration=290167043130 load_duration=574424028 prompt_eval_count=107858 prompt_eval_duration=287772009867 eval_count=41 eval_duration=1416603031 message=Message(role='assistant', content='```sparql\nSELECT * WHERE {\n   ?competency a &lt;http://dbkwik.webdatacommons.org/marvelcinematicuniverse.wikia.com/class/competition&gt; .\n}\n```', thinking=None, images=None, tool_calls=None)</t>
        </is>
      </c>
      <c r="E11"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 WHERE {
   ?competency a &lt;http://dbkwik.webdatacommons.org/marvelcinematicuniverse.wikia.com/class/competition&gt; .
}</t>
        </is>
      </c>
      <c r="F11" t="inlineStr">
        <is>
          <t>{
  "cq_text": "What are all the locations (places) available?",
  "syntax_ok": true,
  "satisfiable": false,
  "deterministic": true,
  "latency": {
    "p50_ms": 8.39,
    "p95_ms": 9.49,
    "mean_ms": 8.53
  },
  "rows": 0,
  "vars": 1,
  "always_unbound_vars": [
    "competency"
  ],
  "lexical_query_overlap": 0.0,
  "semantic_similarity_to_CQ": 0.56,
  "semantic_soft_coverage_to_CQ": 0.66,
  "tuple_cohesion": null,
  "variables": [
    {
      "var": "competency",
      "rows": 0,
      "distinct": 0,
      "null_rate": 1.0,
      "label_resolution_rate": 0.0,
      "diversity_entropy_norm": 0.0,
      "semantic_cohesion": 1.0,
      "dup_ratio": 0.0,
      "bound_rate": 0.0
    }
  ]
}</t>
        </is>
      </c>
      <c r="G11" t="b">
        <v>1</v>
      </c>
      <c r="H11" t="b">
        <v>0</v>
      </c>
      <c r="I11" t="b">
        <v>1</v>
      </c>
      <c r="J11" t="n">
        <v>0</v>
      </c>
      <c r="K11" t="n">
        <v>1</v>
      </c>
      <c r="L11" t="n">
        <v>8.390000000000001</v>
      </c>
      <c r="M11" t="n">
        <v>9.49</v>
      </c>
      <c r="N11" t="n">
        <v>8.529999999999999</v>
      </c>
      <c r="O11" t="n">
        <v>0</v>
      </c>
      <c r="P11" t="n">
        <v>0.5600000000000001</v>
      </c>
      <c r="Q11" t="n">
        <v>0.66</v>
      </c>
      <c r="S11" t="inlineStr">
        <is>
          <t>["competency"]</t>
        </is>
      </c>
      <c r="T11" t="inlineStr">
        <is>
          <t>[{"var": "competency", "rows": 0, "distinct": 0, "null_rate": 1.0, "label_resolution_rate": 0.0, "diversity_entropy_norm": 0.0, "semantic_cohesion": 1.0, "dup_ratio": 0.0, "bound_rate": 0.0}]</t>
        </is>
      </c>
      <c r="U11" t="inlineStr">
        <is>
          <t>simple</t>
        </is>
      </c>
      <c r="V11" t="n">
        <v>1</v>
      </c>
      <c r="W11" t="n">
        <v>0</v>
      </c>
      <c r="X11" t="n">
        <v>0.5</v>
      </c>
      <c r="Y11" t="n">
        <v>0.3333333333333333</v>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is>
      </c>
      <c r="C12" t="inlineStr">
        <is>
          <t>```sparql
SELECT ?p ?name WHERE {
  VALUES ?p { &lt;http://marvelcinematicuniverse.wikia.com/wiki/Category:Galleries&gt; }
  ?p rdfs:label ?name .
}
```</t>
        </is>
      </c>
      <c r="D12" t="inlineStr">
        <is>
          <t>model='granite4:latest' created_at='2025-11-26T04:46:08.921378262Z' done=True done_reason='stop' total_duration=290497328942 load_duration=557359189 prompt_eval_count=107858 prompt_eval_duration=287828771657 eval_count=49 eval_duration=1705158443 message=Message(role='assistant', content='```sparql\nSELECT ?p ?name WHERE {\n  VALUES ?p { &lt;http://marvelcinematicuniverse.wikia.com/wiki/Category:Galleries&gt; }\n  ?p rdfs:label ?name .\n}\n```', thinking=None, images=None, tool_calls=None)</t>
        </is>
      </c>
      <c r="E1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?p ?name WHERE {
  VALUES ?p { &lt;http://marvelcinematicuniverse.wikia.com/wiki/Category:Galleries&gt; }
  ?p rdfs:label ?name .
}</t>
        </is>
      </c>
      <c r="F12" t="inlineStr">
        <is>
          <t>{
  "cq_text": "What are all the available movies and their directors?",
  "syntax_ok": true,
  "satisfiable": false,
  "deterministic": true,
  "latency": {
    "p50_ms": 8.35,
    "p95_ms": 9.55,
    "mean_ms": 7.89
  },
  "rows": 0,
  "vars": 1,
  "always_unbound_vars": [
    "name"
  ],
  "lexical_query_overlap": 0.0,
  "semantic_similarity_to_CQ": 0.63,
  "semantic_soft_coverage_to_CQ": 0.68,
  "tuple_cohesion": null,
  "variables": [
    {
      "var": "name",
      "rows": 0,
      "distinct": 0,
      "null_rate": 1.0,
      "label_resolution_rate": 0.0,
      "diversity_entropy_norm": 0.0,
      "semantic_cohesion": 1.0,
      "dup_ratio": 0.0,
      "bound_rate": 0.0
    }
  ]
}</t>
        </is>
      </c>
      <c r="G12" t="b">
        <v>1</v>
      </c>
      <c r="H12" t="b">
        <v>0</v>
      </c>
      <c r="I12" t="b">
        <v>1</v>
      </c>
      <c r="J12" t="n">
        <v>0</v>
      </c>
      <c r="K12" t="n">
        <v>1</v>
      </c>
      <c r="L12" t="n">
        <v>8.35</v>
      </c>
      <c r="M12" t="n">
        <v>9.550000000000001</v>
      </c>
      <c r="N12" t="n">
        <v>7.89</v>
      </c>
      <c r="O12" t="n">
        <v>0</v>
      </c>
      <c r="P12" t="n">
        <v>0.63</v>
      </c>
      <c r="Q12" t="n">
        <v>0.68</v>
      </c>
      <c r="S12" t="inlineStr">
        <is>
          <t>["name"]</t>
        </is>
      </c>
      <c r="T12" t="inlineStr">
        <is>
          <t>[{"var": "name", "rows": 0, "distinct": 0, "null_rate": 1.0, "label_resolution_rate": 0.0, "diversity_entropy_norm": 0.0, "semantic_cohesion": 1.0, "dup_ratio": 0.0, "bound_rate": 0.0}]</t>
        </is>
      </c>
      <c r="U12" t="inlineStr">
        <is>
          <t>simple</t>
        </is>
      </c>
      <c r="V12" t="n">
        <v>1</v>
      </c>
      <c r="W12" t="n">
        <v>0</v>
      </c>
      <c r="X12" t="n">
        <v>0.5</v>
      </c>
      <c r="Y12" t="n">
        <v>0.3333333333333333</v>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is>
      </c>
      <c r="C13" t="inlineStr">
        <is>
          <t>```sparql
SELECT ?name WHERE {
  VALUES ?x { &lt;Agents_of_S.H.I.E.L.D._(TV_series)&gt; }
  ?x a wikibase:WikimediaEntity .
  OPTIONAL { ?x rdfs:label ?name . FILTER(LANG(?name) = "en") }
}
```</t>
        </is>
      </c>
      <c r="D13" t="inlineStr">
        <is>
          <t>model='granite4:latest' created_at='2025-11-26T04:51:00.227937137Z' done=True done_reason='stop' total_duration=291001326105 load_duration=565920630 prompt_eval_count=107862 prompt_eval_duration=287707767547 eval_count=66 eval_duration=2305474699 message=Message(role='assistant', content='```sparql\nSELECT ?name WHERE {\n  VALUES ?x { &lt;Agents_of_S.H.I.E.L.D._(TV_series)&gt; }\n  ?x a wikibase:WikimediaEntity .\n  OPTIONAL { ?x rdfs:label ?name . FILTER(LANG(?name) = "en") }\n}\n```', thinking=None, images=None, tool_calls=None)</t>
        </is>
      </c>
      <c r="E13"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?name WHERE {
  VALUES ?x { &lt;Agents_of_S.H.I.E.L.D._(TV_series)&gt; }
  ?x a wikibase:WikimediaEntity .
  OPTIONAL { ?x rdfs:label ?name . FILTER(LANG(?name) = "en") }
}</t>
        </is>
      </c>
      <c r="F13" t="inlineStr">
        <is>
          <t>ERROR: QueryBadFormed: A bad request has been sent to the endpoint: probably the SPARQL query is badly formed. 
Response:
b'Parse error: Line 15, column 8: Unresolved prefixed name: wikibase:WikimediaEntity\n'</t>
        </is>
      </c>
      <c r="G13" t="b">
        <v>0</v>
      </c>
      <c r="H13" t="b">
        <v>0</v>
      </c>
      <c r="I13" t="b">
        <v>0</v>
      </c>
      <c r="U13" t="inlineStr">
        <is>
          <t>simple</t>
        </is>
      </c>
      <c r="V13" t="n">
        <v>1</v>
      </c>
      <c r="W13" t="n">
        <v>1</v>
      </c>
      <c r="X13" t="n">
        <v>1</v>
      </c>
      <c r="Y13" t="n">
        <v>0.5</v>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is>
      </c>
      <c r="C14" t="inlineStr">
        <is>
          <t>```sparql
SELECT ?x WHERE {
  VALUES ?y {0-8-4}
  ?x ns3:abstract ?y .
}
```</t>
        </is>
      </c>
      <c r="D14" t="inlineStr">
        <is>
          <t>model='granite4:latest' created_at='2025-11-26T04:55:50.550603435Z' done=True done_reason='stop' total_duration=290033724565 load_duration=559283308 prompt_eval_count=107867 prompt_eval_duration=287939343431 eval_count=33 eval_duration=1139070224 message=Message(role='assistant', content='```sparql\nSELECT ?x WHERE {\n  VALUES ?y {0-8-4}\n  ?x ns3:abstract ?y .\n}\n```', thinking=None, images=None, tool_calls=None)</t>
        </is>
      </c>
      <c r="E14"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?x WHERE {
  VALUES ?y {0-8-4}
  ?x ns3:abstract ?y .
}</t>
        </is>
      </c>
      <c r="F14" t="inlineStr">
        <is>
          <t>{
  "cq_text": "What are all the character\u2013movie appearance pairs (which characters appear in which movies) available?",
  "syntax_ok": true,
  "satisfiable": false,
  "deterministic": true,
  "latency": {
    "p50_ms": 11.49,
    "p95_ms": 18.92,
    "mean_ms": 12.72
  },
  "rows": 0,
  "vars": 0,
  "always_unbound_vars": [],
  "lexical_query_overlap": 0.0,
  "semantic_similarity_to_CQ": 0.54,
  "semantic_soft_coverage_to_CQ": 0.65,
  "tuple_cohesion": null,
  "variables": []
}</t>
        </is>
      </c>
      <c r="G14" t="b">
        <v>1</v>
      </c>
      <c r="H14" t="b">
        <v>0</v>
      </c>
      <c r="I14" t="b">
        <v>1</v>
      </c>
      <c r="J14" t="n">
        <v>0</v>
      </c>
      <c r="K14" t="n">
        <v>0</v>
      </c>
      <c r="L14" t="n">
        <v>11.49</v>
      </c>
      <c r="M14" t="n">
        <v>18.92</v>
      </c>
      <c r="N14" t="n">
        <v>12.72</v>
      </c>
      <c r="O14" t="n">
        <v>0</v>
      </c>
      <c r="P14" t="n">
        <v>0.54</v>
      </c>
      <c r="Q14" t="n">
        <v>0.65</v>
      </c>
      <c r="S14" t="inlineStr">
        <is>
          <t>[]</t>
        </is>
      </c>
      <c r="T14" t="inlineStr">
        <is>
          <t>[]</t>
        </is>
      </c>
      <c r="U14" t="inlineStr">
        <is>
          <t>moderate</t>
        </is>
      </c>
      <c r="V14" t="n">
        <v>1</v>
      </c>
      <c r="W14" t="n">
        <v>0</v>
      </c>
      <c r="X14" t="n">
        <v>0.5</v>
      </c>
      <c r="Y14" t="n">
        <v>0.5</v>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15" t="inlineStr">
        <is>
          <t>```sparql
SELECT ?x WHERE {
  ?x &lt;http://dbkwik.webdatacommons.org/marvelcinematicuniverse.wikia.com/resource/class&gt; "Phase".
}
```</t>
        </is>
      </c>
      <c r="D15" t="inlineStr">
        <is>
          <t>model='granite4:latest' created_at='2025-11-26T05:00:41.168551392Z' done=True done_reason='stop' total_duration=290334874520 load_duration=551124393 prompt_eval_count=107865 prompt_eval_duration=287957107378 eval_count=41 eval_duration=1422455870 message=Message(role='assistant', content='```sparql\nSELECT ?x WHERE {\n  ?x &lt;http://dbkwik.webdatacommons.org/marvelcinematicuniverse.wikia.com/resource/class&gt; "Phase".\n}\n```', thinking=None, images=None, tool_calls=None)</t>
        </is>
      </c>
      <c r="E15"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?x WHERE {
  ?x &lt;http://dbkwik.webdatacommons.org/marvelcinematicuniverse.wikia.com/resource/class&gt; "Phase".
}</t>
        </is>
      </c>
      <c r="F15" t="inlineStr">
        <is>
          <t>{
  "cq_text": "What are all the actor\u2013character pairs (which actors portray which characters) available?",
  "syntax_ok": true,
  "satisfiable": false,
  "deterministic": true,
  "latency": {
    "p50_ms": 8.6,
    "p95_ms": 10.81,
    "mean_ms": 9.23
  },
  "rows": 0,
  "vars": 0,
  "always_unbound_vars": [],
  "lexical_query_overlap": 0.0,
  "semantic_similarity_to_CQ": 0.53,
  "semantic_soft_coverage_to_CQ": 0.66,
  "tuple_cohesion": null,
  "variables": []
}</t>
        </is>
      </c>
      <c r="G15" t="b">
        <v>1</v>
      </c>
      <c r="H15" t="b">
        <v>0</v>
      </c>
      <c r="I15" t="b">
        <v>1</v>
      </c>
      <c r="J15" t="n">
        <v>0</v>
      </c>
      <c r="K15" t="n">
        <v>0</v>
      </c>
      <c r="L15" t="n">
        <v>8.6</v>
      </c>
      <c r="M15" t="n">
        <v>10.81</v>
      </c>
      <c r="N15" t="n">
        <v>9.23</v>
      </c>
      <c r="O15" t="n">
        <v>0</v>
      </c>
      <c r="P15" t="n">
        <v>0.53</v>
      </c>
      <c r="Q15" t="n">
        <v>0.66</v>
      </c>
      <c r="S15" t="inlineStr">
        <is>
          <t>[]</t>
        </is>
      </c>
      <c r="T15" t="inlineStr">
        <is>
          <t>[]</t>
        </is>
      </c>
      <c r="U15" t="inlineStr">
        <is>
          <t>moderate</t>
        </is>
      </c>
      <c r="V15" t="n">
        <v>1</v>
      </c>
      <c r="W15" t="n">
        <v>0</v>
      </c>
      <c r="X15" t="n">
        <v>0.5</v>
      </c>
      <c r="Y15" t="n">
        <v>0.5</v>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is>
      </c>
      <c r="C16" t="inlineStr">
        <is>
          <t>```sparql
SELECT ?competency WHERE {
   VALUES ?class {"Competition"} .
	MBOX:hasCompetency ?competency .
}
```</t>
        </is>
      </c>
      <c r="D16" t="inlineStr">
        <is>
          <t>model='granite4:latest' created_at='2025-11-26T05:05:31.431924496Z' done=True done_reason='stop' total_duration=289966094903 load_duration=548328577 prompt_eval_count=107874 prompt_eval_duration=287872087432 eval_count=32 eval_duration=1142259113 message=Message(role='assistant', content='```sparql\nSELECT ?competency WHERE {\n   VALUES ?class {"Competition"} .\n\tMBOX:hasCompetency ?competency .\n}\n```', thinking=None, images=None, tool_calls=None)</t>
        </is>
      </c>
      <c r="E16"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?competency WHERE {
   VALUES ?class {"Competition"} .
	MBOX:hasCompetency ?competency .
}</t>
        </is>
      </c>
      <c r="F16" t="inlineStr">
        <is>
          <t>ERROR: QueryBadFormed: A bad request has been sent to the endpoint: probably the SPARQL query is badly formed. 
Response:
b'Parse error: Line 15, column 2: Unresolved prefixed name: MBOX:hasCompetency\n'</t>
        </is>
      </c>
      <c r="G16" t="b">
        <v>0</v>
      </c>
      <c r="H16" t="b">
        <v>0</v>
      </c>
      <c r="I16" t="b">
        <v>0</v>
      </c>
      <c r="U16" t="inlineStr">
        <is>
          <t>moderate</t>
        </is>
      </c>
      <c r="V16" t="n">
        <v>1</v>
      </c>
      <c r="W16" t="n">
        <v>1</v>
      </c>
      <c r="X16" t="n">
        <v>1</v>
      </c>
      <c r="Y16" t="n">
        <v>0.5</v>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is>
      </c>
      <c r="C17" t="inlineStr">
        <is>
          <t>```sparql
SELECT ?x WHERE {
  ?x a ?type .
  ?x &lt;http://dbkwik.webdatacommons.org/label&gt; ?label .
}
```</t>
        </is>
      </c>
      <c r="D17" t="inlineStr">
        <is>
          <t>model='granite4:latest' created_at='2025-11-26T05:10:21.918395373Z' done=True done_reason='stop' total_duration=290192684536 load_duration=561249020 prompt_eval_count=107873 prompt_eval_duration=287908175554 eval_count=38 eval_duration=1307030098 message=Message(role='assistant', content='```sparql\nSELECT ?x WHERE {\n  ?x a ?type .\n  ?x &lt;http://dbkwik.webdatacommons.org/label&gt; ?label .\n}\n```', thinking=None, images=None, tool_calls=None)</t>
        </is>
      </c>
      <c r="E17"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?x WHERE {
  ?x a ?type .
  ?x &lt;http://dbkwik.webdatacommons.org/label&gt; ?label .
}</t>
        </is>
      </c>
      <c r="F17" t="inlineStr">
        <is>
          <t>{
  "cq_text": "What are all the character\u2013power\u2013movie triples available with respect to characters with specific powers and the movies they appear in?",
  "syntax_ok": true,
  "satisfiable": false,
  "deterministic": true,
  "latency": {
    "p50_ms": 8.23,
    "p95_ms": 10.01,
    "mean_ms": 8.55
  },
  "rows": 0,
  "vars": 2,
  "always_unbound_vars": [
    "label",
    "type"
  ],
  "lexical_query_overlap": 0.0,
  "semantic_similarity_to_CQ": 0.55,
  "semantic_soft_coverage_to_CQ": 0.66,
  "tuple_cohesion": null,
  "variables": [
    {
      "var": "label",
      "rows": 0,
      "distinct": 0,
      "null_rate": 1.0,
      "label_resolution_rate": 0.0,
      "diversity_entropy_norm": 0.0,
      "semantic_cohesion": 1.0,
      "dup_ratio": 0.0,
      "bound_rate": 0.0
    },
    {
      "var": "type",
      "rows": 0,
      "distinct": 0,
      "null_rate": 1.0,
      "label_resolution_rate": 0.0,
      "diversity_entropy_norm": 0.0,
      "semantic_cohesion": 1.0,
      "dup_ratio": 0.0,
      "bound_rate": 0.0
    }
  ]
}</t>
        </is>
      </c>
      <c r="G17" t="b">
        <v>1</v>
      </c>
      <c r="H17" t="b">
        <v>0</v>
      </c>
      <c r="I17" t="b">
        <v>1</v>
      </c>
      <c r="J17" t="n">
        <v>0</v>
      </c>
      <c r="K17" t="n">
        <v>2</v>
      </c>
      <c r="L17" t="n">
        <v>8.23</v>
      </c>
      <c r="M17" t="n">
        <v>10.01</v>
      </c>
      <c r="N17" t="n">
        <v>8.550000000000001</v>
      </c>
      <c r="O17" t="n">
        <v>0</v>
      </c>
      <c r="P17" t="n">
        <v>0.55</v>
      </c>
      <c r="Q17" t="n">
        <v>0.66</v>
      </c>
      <c r="S17" t="inlineStr">
        <is>
          <t>["label", "type"]</t>
        </is>
      </c>
      <c r="T17" t="inlineStr">
        <is>
          <t>[{"var": "label", "rows": 0, "distinct": 0, "null_rate": 1.0, "label_resolution_rate": 0.0, "diversity_entropy_norm": 0.0, "semantic_cohesion": 1.0, "dup_ratio": 0.0, "bound_rate": 0.0}, {"var": "type", "rows": 0, "distinct": 0, "null_rate": 1.0, "label_resolution_rate": 0.0, "diversity_entropy_norm": 0.0, "semantic_cohesion": 1.0, "dup_ratio": 0.0, "bound_rate": 0.0}]</t>
        </is>
      </c>
      <c r="U17" t="inlineStr">
        <is>
          <t>moderate</t>
        </is>
      </c>
      <c r="V17" t="n">
        <v>1</v>
      </c>
      <c r="W17" t="n">
        <v>0</v>
      </c>
      <c r="X17" t="n">
        <v>0.5</v>
      </c>
      <c r="Y17" t="n">
        <v>0.3333333333333333</v>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is>
      </c>
      <c r="C18" t="inlineStr">
        <is>
          <t>```sparql
SELECT ?q WHERE {
  VALUES ?t { ns3:web_series ns1:movie }
  # Retrieve the names and types of all elements
  ?q rdfs:label ?label .
  ?q rdf:type ?type .
  FILTER(?type IN (ns4:glossary, ns1:game, ns2:one-shot,
                   ns4:comic, ns3:web_series, ns1:movie))
}
```</t>
        </is>
      </c>
      <c r="D18" t="inlineStr">
        <is>
          <t>model='granite4:latest' created_at='2025-11-26T05:15:14.485604238Z' done=True done_reason='stop' total_duration=292286369724 load_duration=563986555 prompt_eval_count=107870 prompt_eval_duration=287777288033 eval_count=97 eval_duration=3492181471 message=Message(role='assistant', content='```sparql\nSELECT ?q WHERE {\n  VALUES ?t { ns3:web_series ns1:movie }\n  \n  # Retrieve the names and types of all elements\n  ?q rdfs:label ?label .\n  ?q rdf:type ?type .\n\n  FILTER(?type IN (ns4:glossary, ns1:game, ns2:one-shot,\n                   ns4:comic, ns3:web_series, ns1:movie))\n}\n```', thinking=None, images=None, tool_calls=None)</t>
        </is>
      </c>
      <c r="E18"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?q WHERE {
  VALUES ?t { ns3:web_series ns1:movie }
  # Retrieve the names and types of all elements
  ?q rdfs:label ?label .
  ?q rdf:type ?type .
  FILTER(?type IN (ns4:glossary, ns1:game, ns2:one-shot,
                   ns4:comic, ns3:web_series, ns1:movie))
}</t>
        </is>
      </c>
      <c r="F18" t="inlineStr">
        <is>
          <t>ERROR: QueryBadFormed: A bad request has been sent to the endpoint: probably the SPARQL query is badly formed. 
Response:
b'Parse error: Line 20, column 20: Unresolved prefixed name: ns4:glossary\n'</t>
        </is>
      </c>
      <c r="G18" t="b">
        <v>0</v>
      </c>
      <c r="H18" t="b">
        <v>0</v>
      </c>
      <c r="I18" t="b">
        <v>0</v>
      </c>
      <c r="U18" t="inlineStr">
        <is>
          <t>moderate</t>
        </is>
      </c>
      <c r="V18" t="n">
        <v>1</v>
      </c>
      <c r="W18" t="n">
        <v>1</v>
      </c>
      <c r="X18" t="n">
        <v>1</v>
      </c>
      <c r="Y18" t="n">
        <v>0.5</v>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19" t="inlineStr">
        <is>
          <t>```sparql
SELECT ?x WHERE { ?x &lt;http://dbkwik.webdatacommons.org/marvelcinematicuniverse.wikia.com/resource/Class&gt; &lt;http://dbkwik.webdatacommons.org/marvelcinematicuniverse.wikia.com/resource/class&gt;. } 
```</t>
        </is>
      </c>
      <c r="D19" t="inlineStr">
        <is>
          <t>model='granite4:latest' created_at='2025-11-26T05:20:05.824296633Z' done=True done_reason='stop' total_duration=291035685752 load_duration=564850488 prompt_eval_count=107863 prompt_eval_duration=287874105371 eval_count=62 eval_duration=2163545312 message=Message(role='assistant', content='```sparql\nSELECT ?x WHERE { ?x &lt;http://dbkwik.webdatacommons.org/marvelcinematicuniverse.wikia.com/resource/Class&gt; &lt;http://dbkwik.webdatacommons.org/marvelcinematicuniverse.wikia.com/resource/class&gt;. } \n```', thinking=None, images=None, tool_calls=None)</t>
        </is>
      </c>
      <c r="E19"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?x WHERE { ?x &lt;http://dbkwik.webdatacommons.org/marvelcinematicuniverse.wikia.com/resource/Class&gt; &lt;http://dbkwik.webdatacommons.org/marvelcinematicuniverse.wikia.com/resource/class&gt;. }</t>
        </is>
      </c>
      <c r="F19" t="inlineStr">
        <is>
          <t>{
  "cq_text": "What are all the teams and the set of members for each team available?",
  "syntax_ok": true,
  "satisfiable": false,
  "deterministic": true,
  "latency": {
    "p50_ms": 14.48,
    "p95_ms": 20.47,
    "mean_ms": 14.25
  },
  "rows": 0,
  "vars": 0,
  "always_unbound_vars": [],
  "lexical_query_overlap": 0.0,
  "semantic_similarity_to_CQ": 0.64,
  "semantic_soft_coverage_to_CQ": 0.67,
  "tuple_cohesion": null,
  "variables": []
}</t>
        </is>
      </c>
      <c r="G19" t="b">
        <v>1</v>
      </c>
      <c r="H19" t="b">
        <v>0</v>
      </c>
      <c r="I19" t="b">
        <v>1</v>
      </c>
      <c r="J19" t="n">
        <v>0</v>
      </c>
      <c r="K19" t="n">
        <v>0</v>
      </c>
      <c r="L19" t="n">
        <v>14.48</v>
      </c>
      <c r="M19" t="n">
        <v>20.47</v>
      </c>
      <c r="N19" t="n">
        <v>14.25</v>
      </c>
      <c r="O19" t="n">
        <v>0</v>
      </c>
      <c r="P19" t="n">
        <v>0.64</v>
      </c>
      <c r="Q19" t="n">
        <v>0.67</v>
      </c>
      <c r="S19" t="inlineStr">
        <is>
          <t>[]</t>
        </is>
      </c>
      <c r="T19" t="inlineStr">
        <is>
          <t>[]</t>
        </is>
      </c>
      <c r="U19" t="inlineStr">
        <is>
          <t>moderate</t>
        </is>
      </c>
      <c r="V19" t="n">
        <v>1</v>
      </c>
      <c r="W19" t="n">
        <v>0</v>
      </c>
      <c r="X19" t="n">
        <v>0.5</v>
      </c>
      <c r="Y19" t="n">
        <v>0.5</v>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20" t="inlineStr">
        <is>
          <t>```sparql
SELECT ?q WHERE {
   ?q rdfs:label ?label .
}
```</t>
        </is>
      </c>
      <c r="D20" t="inlineStr">
        <is>
          <t>model='granite4:latest' created_at='2025-11-26T05:24:55.64973275Z' done=True done_reason='stop' total_duration=289483738281 load_duration=573153587 prompt_eval_count=107868 prompt_eval_duration=287753639290 eval_count=22 eval_duration=752549671 message=Message(role='assistant', content='```sparql\nSELECT ?q WHERE {\n   ?q rdfs:label ?label .\n}\n```', thinking=None, images=None, tool_calls=None)</t>
        </is>
      </c>
      <c r="E20"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?q WHERE {
   ?q rdfs:label ?label .
}</t>
        </is>
      </c>
      <c r="F20" t="inlineStr">
        <is>
          <t>{
  "cq_text": "What are all the movies and the set of teams that have at least one member appearing in them?",
  "syntax_ok": true,
  "satisfiable": true,
  "deterministic": true,
  "latency": {
    "p50_ms": 264.68,
    "p95_ms": 275.25,
    "mean_ms": 267.89
  },
  "rows": 18905,
  "vars": 1,
  "always_unbound_vars": [
    "label"
  ],
  "lexical_query_overlap": 0.0,
  "semantic_similarity_to_CQ": 0.61,
  "semantic_soft_coverage_to_CQ": 0.65,
  "tuple_cohesion": 1.0,
  "variables": [
    {
      "var": "label",
      "rows": 18905,
      "distinct": 0,
      "null_rate": 1.0,
      "label_resolution_rate": 0.0,
      "diversity_entropy_norm": 0.0,
      "semantic_cohesion": 1.0,
      "dup_ratio": 0.0,
      "bound_rate": 0.0
    }
  ]
}</t>
        </is>
      </c>
      <c r="G20" t="b">
        <v>1</v>
      </c>
      <c r="H20" t="b">
        <v>1</v>
      </c>
      <c r="I20" t="b">
        <v>1</v>
      </c>
      <c r="J20" t="n">
        <v>18905</v>
      </c>
      <c r="K20" t="n">
        <v>1</v>
      </c>
      <c r="L20" t="n">
        <v>264.68</v>
      </c>
      <c r="M20" t="n">
        <v>275.25</v>
      </c>
      <c r="N20" t="n">
        <v>267.89</v>
      </c>
      <c r="O20" t="n">
        <v>0</v>
      </c>
      <c r="P20" t="n">
        <v>0.61</v>
      </c>
      <c r="Q20" t="n">
        <v>0.65</v>
      </c>
      <c r="R20" t="n">
        <v>1</v>
      </c>
      <c r="S20" t="inlineStr">
        <is>
          <t>["label"]</t>
        </is>
      </c>
      <c r="T20" t="inlineStr">
        <is>
          <t>[{"var": "label", "rows": 18905, "distinct": 0, "null_rate": 1.0, "label_resolution_rate": 0.0, "diversity_entropy_norm": 0.0, "semantic_cohesion": 1.0, "dup_ratio": 0.0, "bound_rate": 0.0}]</t>
        </is>
      </c>
      <c r="U20" t="inlineStr">
        <is>
          <t>moderate</t>
        </is>
      </c>
      <c r="V20" t="n">
        <v>1</v>
      </c>
      <c r="W20" t="n">
        <v>0</v>
      </c>
      <c r="X20" t="n">
        <v>0.5</v>
      </c>
      <c r="Y20" t="n">
        <v>0.3333333333333333</v>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is>
      </c>
      <c r="C21" t="inlineStr">
        <is>
          <t>```sparql
SELECT ?x WHERE {
  ?x schema:name ?name .
}
```</t>
        </is>
      </c>
      <c r="D21" t="inlineStr">
        <is>
          <t>model='granite4:latest' created_at='2025-11-26T05:29:45.564217462Z' done=True done_reason='stop' total_duration=289587110547 load_duration=573381663 prompt_eval_count=107870 prompt_eval_duration=287931282362 eval_count=20 eval_duration=683361926 message=Message(role='assistant', content='```sparql\nSELECT ?x WHERE {\n  ?x schema:name ?name .\n}\n```', thinking=None, images=None, tool_calls=None)</t>
        </is>
      </c>
      <c r="E21"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?x WHERE {
  ?x schema:name ?name .
}</t>
        </is>
      </c>
      <c r="F21" t="inlineStr">
        <is>
          <t>ERROR: QueryBadFormed: A bad request has been sent to the endpoint: probably the SPARQL query is badly formed. 
Response:
b'Parse error: Line 14, column 6: Unresolved prefixed name: schema:name\n'</t>
        </is>
      </c>
      <c r="G21" t="b">
        <v>0</v>
      </c>
      <c r="H21" t="b">
        <v>0</v>
      </c>
      <c r="I21" t="b">
        <v>0</v>
      </c>
      <c r="U21" t="inlineStr">
        <is>
          <t>moderate</t>
        </is>
      </c>
      <c r="V21" t="n">
        <v>1</v>
      </c>
      <c r="W21" t="n">
        <v>1</v>
      </c>
      <c r="X21" t="n">
        <v>1</v>
      </c>
      <c r="Y21" t="n">
        <v>0.5</v>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22" t="inlineStr">
        <is>
          <t>```sparql
SELECT ?competency WHERE {
  SELECT DISTINCT ?competency, ?query WHERE {
    VALUES ?query { "SPARQL" }
    ?competency a ?query .
  }
  FILTER (?competency IN (
    # Competencies
    # ------------------------------------------------
    wd:Competence,
    # Classes
    # --------------------------------------------
    wd:Actor,
    wd:Athlete,
    wd:Biochemical_compound,
    wd:Celebrity,
    wd:Chemical_compound,
    wd:Comic,
    wd:Company,
    wd:Computer_system,
    wd:Database,
    wd:Demonstration,
    wd:Diplomat,
    wd:Director,
    wd:DVD,
    wd:Educational_institution,
    wd:Executive,
    wd:Fictional_universe,
    wd:Film,
    wd:Government,
    wd:Healthcare,
    wd:Historical_person,
    wd:Human,
    wd:Inauguration,
    wd:Instrument,
    wd:Language,
    wd:Linguist,
    wd:Military_unit,
    wd:Museums_and_collections,
    wd:Musician,
    wd:Navy,
    wd:Nobel_prize_recipient,
    wd:Novelist,
    wd:Official_language_of_the_United_Nations,
    wd:Organized_crime,
    wd:Political_figure,
    wd:Publisher,
    wd:Religion,
    wd:Science,
    wd:Scientist,
    wd:Songwriter,
    wd:Stage_name,
    wd:Theater_company,
    wd:Theater_director,
    wd:Video_game,
    wd:Website,
    # ----------------------------------------------
    wd:Web_series,
    # Organizations
    # -------------------------------------------------
    wd:Broadcast_network,
    wd:Chemical_weapon_convention,
    wd:Clinic,
    wd:Coding_language,
    wd:Congress,
    wd:Court,
    wd:Criminal_organization,
    wd:Demonstration,
    wd:Development_company,
    wd:Developer,
    wd:Disambiguation,
    wd:Educational_institution,
    wd:Energy_source,
    wd:Film_production_company,
    wd:Fleet,
    wd:Force,
    wd:Funding,
    wd:Government,
    wd:Group,
    wd:Iceberg,
    wd:Institute,
    wd:Internet_service_provider,
    wd:Journalism,
    wd:Labor_union,
    wd:Legal_document,
    wd:Library_services,
    wd:Magazine,
    wd:Medical_center,
    wd:Military,
    wd:Military_personnel,
    wd:Museum,
    wd:Navy,
    wd:News_channel,
    wd:Online_service,
    wd:Organisation,
    wd:Organization,
    wd:Performance_artists,
    wd:Piloting_technique,
    wd:Physics,
    wd:Producer,
    wd:Public_relations_agency,
    wd:Quotations,
    wd:Radio_program,
    wd:Record_label,
    wd:Researcher,
    wd:Scientific_conference,
    wd:Scientific_institution,
    wd:Section_of_the_Congress,
    wd:Shipping_company,
    wd:Shooting_location,
    wd:Short_film,
    wd:Skateboarding_trick,
    wd:Society_for_international_criminal_justice,
    wd:Songwriter,
    wd:Theater_company,
    wd:Tournament,
    wd:Truck,
    wd:Video_game_production_company,
    wd:Video_conference,
    wd:Website,
    wd:Wind_power
  ))
  OPTIONAL {
    # Query Parameters
    ?competency rdfs:label ?label .
  }
  FILTER (isLiteral(?label))
}
```</t>
        </is>
      </c>
      <c r="D22" t="inlineStr">
        <is>
          <t>model='granite4:latest' created_at='2025-11-26T05:35:02.382168581Z' done=True done_reason='stop' total_duration=316540294990 load_duration=547180044 prompt_eval_count=107861 prompt_eval_duration=287872407421 eval_count=786 eval_duration=27255670556 message=Message(role='assistant', content='```sparql\nSELECT ?competency WHERE {\n  SELECT DISTINCT ?competency, ?query WHERE {\n    VALUES ?query { "SPARQL" }\n    ?competency a ?query .\n  }\n\n  FILTER (?competency IN (\n    # Competencies\n    # ------------------------------------------------\n    wd:Competence,\n\n    # Classes\n    # --------------------------------------------\n    wd:Actor,\n    wd:Athlete,\n    wd:Biochemical_compound,\n    wd:Celebrity,\n    wd:Chemical_compound,\n    wd:Comic,\n    wd:Company,\n    wd:Computer_system,\n    wd:Database,\n    wd:Demonstration,\n    wd:Diplomat,\n    wd:Director,\n    wd:DVD,\n    wd:Educational_institution,\n    wd:Executive,\n    wd:Fictional_universe,\n    wd:Film,\n    wd:Government,\n    wd:Healthcare,\n    wd:Historical_person,\n    wd:Human,\n    wd:Inauguration,\n    wd:Instrument,\n    wd:Language,\n    wd:Linguist,\n    wd:Military_unit,\n    wd:Museums_and_collections,\n    wd:Musician,\n    wd:Navy,\n    wd:Nobel_prize_recipient,\n    wd:Novelist,\n    wd:Official_language_of_the_United_Nations,\n    wd:Organized_crime,\n    wd:Political_figure,\n    wd:Publisher,\n    wd:Religion,\n    wd:Science,\n    wd:Scientist,\n    wd:Songwriter,\n    wd:Stage_name,\n    wd:Theater_company,\n    wd:Theater_director,\n    wd:Video_game,\n    wd:Website,\n    # ----------------------------------------------\n    wd:Web_series,\n\n    # Organizations\n    # -------------------------------------------------\n    wd:Broadcast_network,\n    wd:Chemical_weapon_convention,\n    wd:Clinic,\n    wd:Coding_language,\n    wd:Congress,\n    wd:Court,\n    wd:Criminal_organization,\n    wd:Demonstration,\n    wd:Development_company,\n    wd:Developer,\n    wd:Disambiguation,\n    wd:Educational_institution,\n    wd:Energy_source,\n    wd:Film_production_company,\n    wd:Fleet,\n    wd:Force,\n    wd:Funding,\n    wd:Government,\n    wd:Group,\n    wd:Iceberg,\n    wd:Institute,\n    wd:Internet_service_provider,\n    wd:Journalism,\n    wd:Labor_union,\n    wd:Legal_document,\n    wd:Library_services,\n    wd:Magazine,\n    wd:Medical_center,\n    wd:Military,\n    wd:Military_personnel,\n    wd:Museum,\n    wd:Navy,\n    wd:News_channel,\n    wd:Online_service,\n    wd:Organisation,\n    wd:Organization,\n    wd:Performance_artists,\n    wd:Piloting_technique,\n    wd:Physics,\n    wd:Producer,\n    wd:Public_relations_agency,\n    wd:Quotations,\n    wd:Radio_program,\n    wd:Record_label,\n    wd:Researcher,\n    wd:Scientific_conference,\n    wd:Scientific_institution,\n    wd:Section_of_the_Congress,\n    wd:Shipping_company,\n    wd:Shooting_location,\n    wd:Short_film,\n    wd:Skateboarding_trick,\n    wd:Society_for_international_criminal_justice,\n    wd:Songwriter,\n    wd:Theater_company,\n    wd:Tournament,\n    wd:Truck,\n    wd:Video_game_production_company,\n    wd:Video_conference,\n    wd:Website,\n    wd:Wind_power\n  ))\n\n  OPTIONAL {\n    # Query Parameters\n    ?competency rdfs:label ?label .\n  }\n\n  FILTER (isLiteral(?label))\n}\n```', thinking=None, images=None, tool_calls=None)</t>
        </is>
      </c>
      <c r="E2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?competency WHERE {
  SELECT DISTINCT ?competency, ?query WHERE {
    VALUES ?query { "SPARQL" }
    ?competency a ?query .
  }
  FILTER (?competency IN (
    # Competencies
    # ------------------------------------------------
    wd:Competence,
    # Classes
    # --------------------------------------------
    wd:Actor,
    wd:Athlete,
    wd:Biochemical_compound,
    wd:Celebrity,
    wd:Chemical_compound,
    wd:Comic,
    wd:Company,
    wd:Computer_system,
    wd:Database,
    wd:Demonstration,
    wd:Diplomat,
    wd:Director,
    wd:DVD,
    wd:Educational_institution,
    wd:Executive,
    wd:Fictional_universe,
    wd:Film,
    wd:Government,
    wd:Healthcare,
    wd:Historical_person,
    wd:Human,
    wd:Inauguration,
    wd:Instrument,
    wd:Language,
    wd:Linguist,
    wd:Military_unit,
    wd:Museums_and_collections,
    wd:Musician,
    wd:Navy,
    wd:Nobel_prize_recipient,
    wd:Novelist,
    wd:Official_language_of_the_United_Nations,
    wd:Organized_crime,
    wd:Political_figure,
    wd:Publisher,
    wd:Religion,
    wd:Science,
    wd:Scientist,
    wd:Songwriter,
    wd:Stage_name,
    wd:Theater_company,
    wd:Theater_director,
    wd:Video_game,
    wd:Website,
    # ----------------------------------------------
    wd:Web_series,
    # Organizations
    # -------------------------------------------------
    wd:Broadcast_network,
    wd:Chemical_weapon_convention,
    wd:Clinic,
    wd:Coding_language,
    wd:Congress,
    wd:Court,
    wd:Criminal_organization,
    wd:Demonstration,
    wd:Development_company,
    wd:Developer,
    wd:Disambiguation,
    wd:Educational_institution,
    wd:Energy_source,
    wd:Film_production_company,
    wd:Fleet,
    wd:Force,
    wd:Funding,
    wd:Government,
    wd:Group,
    wd:Iceberg,
    wd:Institute,
    wd:Internet_service_provider,
    wd:Journalism,
    wd:Labor_union,
    wd:Legal_document,
    wd:Library_services,
    wd:Magazine,
    wd:Medical_center,
    wd:Military,
    wd:Military_personnel,
    wd:Museum,
    wd:Navy,
    wd:News_channel,
    wd:Online_service,
    wd:Organisation,
    wd:Organization,
    wd:Performance_artists,
    wd:Piloting_technique,
    wd:Physics,
    wd:Producer,
    wd:Public_relations_agency,
    wd:Quotations,
    wd:Radio_program,
    wd:Record_label,
    wd:Researcher,
    wd:Scientific_conference,
    wd:Scientific_institution,
    wd:Section_of_the_Congress,
    wd:Shipping_company,
    wd:Shooting_location,
    wd:Short_film,
    wd:Skateboarding_trick,
    wd:Society_for_international_criminal_justice,
    wd:Songwriter,
    wd:Theater_company,
    wd:Tournament,
    wd:Truck,
    wd:Video_game_production_company,
    wd:Video_conference,
    wd:Website,
    wd:Wind_power
  ))
  OPTIONAL {
    # Query Parameters
    ?competency rdfs:label ?label .
  }
  FILTER (isLiteral(?label))
}</t>
        </is>
      </c>
      <c r="F22" t="inlineStr">
        <is>
          <t>ERROR: QueryBadFormed: A bad request has been sent to the endpoint: probably the SPARQL query is badly formed. 
Response:
b'Parse error: Encountered " "," ", "" at line 14, column 30.\n'</t>
        </is>
      </c>
      <c r="G22" t="b">
        <v>0</v>
      </c>
      <c r="H22" t="b">
        <v>0</v>
      </c>
      <c r="I22" t="b">
        <v>0</v>
      </c>
      <c r="U22" t="inlineStr">
        <is>
          <t>moderate</t>
        </is>
      </c>
      <c r="V22" t="n">
        <v>1</v>
      </c>
      <c r="W22" t="n">
        <v>1</v>
      </c>
      <c r="X22" t="n">
        <v>1</v>
      </c>
      <c r="Y22" t="n">
        <v>0.5</v>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is>
      </c>
      <c r="C23" t="inlineStr">
        <is>
          <t>```sparql
SELECT ?q WHERE {
   # Retrieve the competencies and classes with labels from their definitions
   ?class (schema:description|dct:title) "Captain America" .
   ?competency (schema:description|dct:title) "Captain America" .
   SELECT DISTINCT ?q WHERE {
      # Get the names of all resources that are either directly or indirectly related to Captain America
      SELECT ?relatedResource
        (
          ?class wdt:P31/wdt:P279* wd:Q10426 .
          UNION
          ?competency (schema:description|dct:title) "Captain America"
       )
      VALUES ?q { ?class ?competency }
      # Exclude the directly related Captain America resource itself
      FILTER (?relatedResource != ?q)
   }
}
```</t>
        </is>
      </c>
      <c r="D23" t="inlineStr">
        <is>
          <t>model='granite4:latest' created_at='2025-11-26T05:39:57.381211244Z' done=True done_reason='stop' total_duration=294572468463 load_duration=585575963 prompt_eval_count=107865 prompt_eval_duration=287664357773 eval_count=166 eval_duration=5837968235 message=Message(role='assistant', content='```sparql\nSELECT ?q WHERE {\n   # Retrieve the competencies and classes with labels from their definitions\n   ?class (schema:description|dct:title) "Captain America" .\n   ?competency (schema:description|dct:title) "Captain America" .\n\n   SELECT DISTINCT ?q WHERE {\n      # Get the names of all resources that are either directly or indirectly related to Captain America\n      SELECT ?relatedResource\n        (\n          ?class wdt:P31/wdt:P279* wd:Q10426 .\n          UNION\n          ?competency (schema:description|dct:title) "Captain America"\n       )\n      VALUES ?q { ?class ?competency }\n     \n      # Exclude the directly related Captain America resource itself\n      FILTER (?relatedResource != ?q)\n   }\n\n}\n```', thinking=None, images=None, tool_calls=None)</t>
        </is>
      </c>
      <c r="E23"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?q WHERE {
   # Retrieve the competencies and classes with labels from their definitions
   ?class (schema:description|dct:title) "Captain America" .
   ?competency (schema:description|dct:title) "Captain America" .
   SELECT DISTINCT ?q WHERE {
      # Get the names of all resources that are either directly or indirectly related to Captain America
      SELECT ?relatedResource
        (
          ?class wdt:P31/wdt:P279* wd:Q10426 .
          UNION
          ?competency (schema:description|dct:title) "Captain America"
       )
      VALUES ?q { ?class ?competency }
      # Exclude the directly related Captain America resource itself
      FILTER (?relatedResource != ?q)
   }
}</t>
        </is>
      </c>
      <c r="F23" t="inlineStr">
        <is>
          <t>ERROR: QueryBadFormed: A bad request has been sent to the endpoint: probably the SPARQL query is badly formed. 
Response:
b'Parse error: Line 15, column 12: Unresolved prefixed name: schema:description\n'</t>
        </is>
      </c>
      <c r="G23" t="b">
        <v>0</v>
      </c>
      <c r="H23" t="b">
        <v>0</v>
      </c>
      <c r="I23" t="b">
        <v>0</v>
      </c>
      <c r="U23" t="inlineStr">
        <is>
          <t>moderate</t>
        </is>
      </c>
      <c r="V23" t="n">
        <v>1</v>
      </c>
      <c r="W23" t="n">
        <v>1</v>
      </c>
      <c r="X23" t="n">
        <v>1</v>
      </c>
      <c r="Y23" t="n">
        <v>0.5</v>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24" t="inlineStr">
        <is>
          <t>```sparql
SELECT ?comics ?title WHERE {
  VALUES ?type { comic }
  ?comics mondiferentiatedFrom ?tvseries .
  ?comics dcterms:title ?title .
  ?type a ?typeclass .
}
```</t>
        </is>
      </c>
      <c r="D24" t="inlineStr">
        <is>
          <t>model='granite4:latest' created_at='2025-11-26T05:44:48.168931761Z' done=True done_reason='stop' total_duration=290507014559 load_duration=539986089 prompt_eval_count=107865 prompt_eval_duration=287669814637 eval_count=55 eval_duration=1875278333 message=Message(role='assistant', content='```sparql\nSELECT ?comics ?title WHERE {\n  VALUES ?type { comic }\n  ?comics mondiferentiatedFrom ?tvseries .\n  ?comics dcterms:title ?title .\n  ?type a ?typeclass .\n}\n```', thinking=None, images=None, tool_calls=None)</t>
        </is>
      </c>
      <c r="E24"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?comics ?title WHERE {
  VALUES ?type { comic }
  ?comics mondiferentiatedFrom ?tvseries .
  ?comics dcterms:title ?title .
  ?type a ?typeclass .
}</t>
        </is>
      </c>
      <c r="F24" t="inlineStr">
        <is>
          <t>ERROR: QueryBadFormed: A bad request has been sent to the endpoint: probably the SPARQL query is badly formed. 
Response:
b'Parse error: Lexical error at line 14, column 23.  Encountered: \'32\' (32), after prefix "comic"\n'</t>
        </is>
      </c>
      <c r="G24" t="b">
        <v>0</v>
      </c>
      <c r="H24" t="b">
        <v>0</v>
      </c>
      <c r="I24" t="b">
        <v>0</v>
      </c>
      <c r="U24" t="inlineStr">
        <is>
          <t>moderate</t>
        </is>
      </c>
      <c r="V24" t="n">
        <v>1</v>
      </c>
      <c r="W24" t="n">
        <v>1</v>
      </c>
      <c r="X24" t="n">
        <v>1</v>
      </c>
      <c r="Y24" t="n">
        <v>0.5</v>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25" t="inlineStr">
        <is>
          <t>```sparql
SELECT ?competency WHERE {
  SELECT DISTINCT ?comp WHERE { ?comp schema:topic ?competency } UNION SELECT DISTINCT ?competency WHERE { ?competency schema:topic ?comp }
}
```</t>
        </is>
      </c>
      <c r="D25" t="inlineStr">
        <is>
          <t>model='granite4:latest' created_at='2025-11-26T05:49:38.83002436Z' done=True done_reason='stop' total_duration=290373171042 load_duration=545549389 prompt_eval_count=107861 prompt_eval_duration=287836311501 eval_count=46 eval_duration=1585166692 message=Message(role='assistant', content='```sparql\nSELECT ?competency WHERE {\n  SELECT DISTINCT ?comp WHERE { ?comp schema:topic ?competency } UNION SELECT DISTINCT ?competency WHERE { ?competency schema:topic ?comp }\n}\n```', thinking=None, images=None, tool_calls=None)</t>
        </is>
      </c>
      <c r="E25"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?competency WHERE {
  SELECT DISTINCT ?comp WHERE { ?comp schema:topic ?competency } UNION SELECT DISTINCT ?competency WHERE { ?competency schema:topic ?comp }
}</t>
        </is>
      </c>
      <c r="F25" t="inlineStr">
        <is>
          <t>ERROR: QueryBadFormed: A bad request has been sent to the endpoint: probably the SPARQL query is badly formed. 
Response:
b'Parse error: Line 14, column 39: Unresolved prefixed name: schema:topic\n'</t>
        </is>
      </c>
      <c r="G25" t="b">
        <v>0</v>
      </c>
      <c r="H25" t="b">
        <v>0</v>
      </c>
      <c r="I25" t="b">
        <v>0</v>
      </c>
      <c r="U25" t="inlineStr">
        <is>
          <t>complex</t>
        </is>
      </c>
      <c r="V25" t="n">
        <v>1</v>
      </c>
      <c r="W25" t="n">
        <v>1</v>
      </c>
      <c r="X25" t="n">
        <v>1</v>
      </c>
      <c r="Y25" t="n">
        <v>0.5</v>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is>
      </c>
      <c r="C26" t="inlineStr">
        <is>
          <t>```sparql
SELECT ?comp WHERE {
    ?comp wdt:P31 wd:Q1306501.
}
```</t>
        </is>
      </c>
      <c r="D26" t="inlineStr">
        <is>
          <t>model='granite4:latest' created_at='2025-11-26T05:54:28.843407207Z' done=True done_reason='stop' total_duration=289716462196 load_duration=570126846 prompt_eval_count=107869 prompt_eval_duration=287864053936 eval_count=26 eval_duration=877915215 message=Message(role='assistant', content='```sparql\nSELECT ?comp WHERE {\n    ?comp wdt:P31 wd:Q1306501.\n}\n```', thinking=None, images=None, tool_calls=None)</t>
        </is>
      </c>
      <c r="E26"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?comp WHERE {
    ?comp wdt:P31 wd:Q1306501.
}</t>
        </is>
      </c>
      <c r="F26" t="inlineStr">
        <is>
          <t>ERROR: QueryBadFormed: A bad request has been sent to the endpoint: probably the SPARQL query is badly formed. 
Response:
b'Parse error: Line 14, column 11: Unresolved prefixed name: wdt:P31\n'</t>
        </is>
      </c>
      <c r="G26" t="b">
        <v>0</v>
      </c>
      <c r="H26" t="b">
        <v>0</v>
      </c>
      <c r="I26" t="b">
        <v>0</v>
      </c>
      <c r="U26" t="inlineStr">
        <is>
          <t>complex</t>
        </is>
      </c>
      <c r="V26" t="n">
        <v>1</v>
      </c>
      <c r="W26" t="n">
        <v>1</v>
      </c>
      <c r="X26" t="n">
        <v>1</v>
      </c>
      <c r="Y26" t="n">
        <v>0.5</v>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is>
      </c>
      <c r="C27" t="inlineStr">
        <is>
          <t>```sparql
SELECT ?competency ?name WHERE {
  SELECT DISTINCT ?competency, ?name WHERE {
    SELECT DISTINCT ?competency, ?name WHERE {
      SELECT DISTINCT ?competency, ?name WHERE {
        SELECT DISTINCT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
Note: The above SPARQL query attempts to retrieve all levels of the competency tree down to the most specific level. However, due to the depth and complexity of the Marvel Cinematic Universe (MCU) structure, a fully exhaustive query may not be feasible within this format. This approach demonstrates how one might theoretically query for each level, but in practice, such a deep nesting would likely require a more structured or hierarchical database representation to effectively manage all levels from top-level categories down to very specific competencies like those listed.</t>
        </is>
      </c>
      <c r="D27" t="inlineStr">
        <is>
          <t>model='granite4:latest' created_at='2025-11-26T05:59:43.065549419Z' done=True done_reason='stop' total_duration=313907428042 load_duration=573690995 prompt_eval_count=107873 prompt_eval_duration=287914625810 eval_count=711 eval_duration=24628044217 message=Message(role='assistant', content='```sparql\nSELECT ?competency ?name WHERE {\n  SELECT DISTINCT ?competency, ?name WHERE {\n    SELECT DISTINCT ?competency, ?name WHERE {\n      SELECT DISTINCT ?competency, ?name WHERE {\n        SELECT DISTINCT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?name\n```\nNote: The above SPARQL query attempts to retrieve all levels of the competency tree down to the most specific level. However, due to the depth and complexity of the Marvel Cinematic Universe (MCU) structure, a fully exhaustive query may not be feasible within this format. This approach demonstrates how one might theoretically query for each level, but in practice, such a deep nesting would likely require a more structured or hierarchical database representation to effectively manage all levels from top-level categories down to very specific competencies like those listed.', thinking=None, images=None, tool_calls=None)</t>
        </is>
      </c>
      <c r="E27"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?competency ?name WHERE {
  SELECT DISTINCT ?competency, ?name WHERE {
    SELECT DISTINCT ?competency, ?name WHERE {
      SELECT DISTINCT ?competency, ?name WHERE {
        SELECT DISTINCT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t>
        </is>
      </c>
      <c r="F27" t="inlineStr">
        <is>
          <t>{
  "cq_text": "What are all the unions of movies for each of the teams in which any of their members appear (team-level filmography)?",
  "syntax_ok": false,
  "syntax_msg": "Unbalanced braces"
}</t>
        </is>
      </c>
      <c r="G27" t="b">
        <v>0</v>
      </c>
      <c r="H27" t="b">
        <v>0</v>
      </c>
      <c r="I27" t="b">
        <v>0</v>
      </c>
      <c r="J27" t="n">
        <v>0</v>
      </c>
      <c r="K27" t="n">
        <v>0</v>
      </c>
      <c r="O27" t="n">
        <v>0</v>
      </c>
      <c r="P27" t="n">
        <v>0</v>
      </c>
      <c r="Q27" t="n">
        <v>0</v>
      </c>
      <c r="R27" t="n">
        <v>0</v>
      </c>
      <c r="S27" t="inlineStr">
        <is>
          <t>[]</t>
        </is>
      </c>
      <c r="T27" t="inlineStr">
        <is>
          <t>[]</t>
        </is>
      </c>
      <c r="U27" t="inlineStr">
        <is>
          <t>complex</t>
        </is>
      </c>
      <c r="V27" t="n">
        <v>0</v>
      </c>
      <c r="W27" t="n">
        <v>0</v>
      </c>
      <c r="X27" t="n">
        <v>0</v>
      </c>
      <c r="Y27" t="n">
        <v>0</v>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is>
      </c>
      <c r="C28" t="inlineStr">
        <is>
          <t>```sparql
SELECT ?competency WHERE {
  SELECT DISTINCT ?competency ?type1 WHERE {
     ?competency rdfs:label ?label .
     OPTIONAL { ?competency schema:about ?type1 }
     FILTER(STRSTARTS(
               ?label, "List of"
               )
           )
   }
}
```</t>
        </is>
      </c>
      <c r="D28" t="inlineStr">
        <is>
          <t>model='granite4:latest' created_at='2025-11-26T06:04:34.601276592Z' done=True done_reason='stop' total_duration=291203074738 load_duration=574442118 prompt_eval_count=107868 prompt_eval_duration=287832988251 eval_count=69 eval_duration=2374481193 message=Message(role='assistant', content='```sparql\nSELECT ?competency WHERE {\n  SELECT DISTINCT ?competency ?type1 WHERE {\n     ?competency rdfs:label ?label .\n     OPTIONAL { ?competency schema:about ?type1 }\n     FILTER(STRSTARTS(\n               ?label, "List of"\n               )\n           )\n   }\n}\n```', thinking=None, images=None, tool_calls=None)</t>
        </is>
      </c>
      <c r="E28"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?competency WHERE {
  SELECT DISTINCT ?competency ?type1 WHERE {
     ?competency rdfs:label ?label .
     OPTIONAL { ?competency schema:about ?type1 }
     FILTER(STRSTARTS(
               ?label, "List of"
               )
           )
   }
}</t>
        </is>
      </c>
      <c r="F28" t="inlineStr">
        <is>
          <t>ERROR: QueryBadFormed: A bad request has been sent to the endpoint: probably the SPARQL query is badly formed. 
Response:
b'Parse error: Line 16, column 29: Unresolved prefixed name: schema:about\n'</t>
        </is>
      </c>
      <c r="G28" t="b">
        <v>0</v>
      </c>
      <c r="H28" t="b">
        <v>0</v>
      </c>
      <c r="I28" t="b">
        <v>0</v>
      </c>
      <c r="U28" t="inlineStr">
        <is>
          <t>complex</t>
        </is>
      </c>
      <c r="V28" t="n">
        <v>1</v>
      </c>
      <c r="W28" t="n">
        <v>1</v>
      </c>
      <c r="X28" t="n">
        <v>1</v>
      </c>
      <c r="Y28" t="n">
        <v>0.5</v>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is>
      </c>
      <c r="C29" t="inlineStr">
        <is>
          <t>```sparql
SELECT ?q WHERE {
  ?q wdt:P31 wd:Q24200 .
  OPTIONAL { ?q schema:description ?desc . FILTER(REGEX(STR(?desc), "Comics|T.V. Series")) }
}
```</t>
        </is>
      </c>
      <c r="D29" t="inlineStr">
        <is>
          <t>model='granite4:latest' created_at='2025-11-26T06:09:25.599972991Z' done=True done_reason='stop' total_duration=290721190092 load_duration=583525979 prompt_eval_count=107870 prompt_eval_duration=287907750086 eval_count=53 eval_duration=1822054944 message=Message(role='assistant', content='```sparql\nSELECT ?q WHERE {\n  ?q wdt:P31 wd:Q24200 .\n  OPTIONAL { ?q schema:description ?desc . FILTER(REGEX(STR(?desc), "Comics|T.V. Series")) }\n}\n```', thinking=None, images=None, tool_calls=None)</t>
        </is>
      </c>
      <c r="E29"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?q WHERE {
  ?q wdt:P31 wd:Q24200 .
  OPTIONAL { ?q schema:description ?desc . FILTER(REGEX(STR(?desc), "Comics|T.V. Series")) }
}</t>
        </is>
      </c>
      <c r="F29" t="inlineStr">
        <is>
          <t>ERROR: QueryBadFormed: A bad request has been sent to the endpoint: probably the SPARQL query is badly formed. 
Response:
b'Parse error: Line 14, column 6: Unresolved prefixed name: wdt:P31\n'</t>
        </is>
      </c>
      <c r="G29" t="b">
        <v>0</v>
      </c>
      <c r="H29" t="b">
        <v>0</v>
      </c>
      <c r="I29" t="b">
        <v>0</v>
      </c>
      <c r="U29" t="inlineStr">
        <is>
          <t>complex</t>
        </is>
      </c>
      <c r="V29" t="n">
        <v>1</v>
      </c>
      <c r="W29" t="n">
        <v>1</v>
      </c>
      <c r="X29" t="n">
        <v>1</v>
      </c>
      <c r="Y29" t="n">
        <v>0.5</v>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30" t="inlineStr">
        <is>
          <t>```sparql
SELECT ?comp WHERE {
  VALUES ?comp {Iron_Man_2_(video_game) Iron_Man_(video_game) }
  ?comp wdt:P31 wd:Q11674 .
}
```</t>
        </is>
      </c>
      <c r="D30" t="inlineStr">
        <is>
          <t>model='granite4:latest' created_at='2025-11-26T06:14:16.349179956Z' done=True done_reason='stop' total_duration=290456161241 load_duration=544959917 prompt_eval_count=107868 prompt_eval_duration=287924690796 eval_count=46 eval_duration=1578830131 message=Message(role='assistant', content='```sparql\nSELECT ?comp WHERE {\n  VALUES ?comp {Iron_Man_2_(video_game) Iron_Man_(video_game) }\n  \n  ?comp wdt:P31 wd:Q11674 .\n}\n```', thinking=None, images=None, tool_calls=None)</t>
        </is>
      </c>
      <c r="E30"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?comp WHERE {
  VALUES ?comp {Iron_Man_2_(video_game) Iron_Man_(video_game) }
  ?comp wdt:P31 wd:Q11674 .
}</t>
        </is>
      </c>
      <c r="F30" t="inlineStr">
        <is>
          <t>ERROR: QueryBadFormed: A bad request has been sent to the endpoint: probably the SPARQL query is badly formed. 
Response:
b'Parse error: Lexical error at line 14, column 28.  Encountered: \'40\' (40), after prefix "Iron_Man_2_"\n'</t>
        </is>
      </c>
      <c r="G30" t="b">
        <v>0</v>
      </c>
      <c r="H30" t="b">
        <v>0</v>
      </c>
      <c r="I30" t="b">
        <v>0</v>
      </c>
      <c r="U30" t="inlineStr">
        <is>
          <t>complex</t>
        </is>
      </c>
      <c r="V30" t="n">
        <v>1</v>
      </c>
      <c r="W30" t="n">
        <v>1</v>
      </c>
      <c r="X30" t="n">
        <v>1</v>
      </c>
      <c r="Y30" t="n">
        <v>0.5</v>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is>
      </c>
      <c r="C31" t="inlineStr">
        <is>
          <t>```sparql
SELECT ?competency ?competencyLabel ?character WHERE {
   VALUES ?type { movie web_series tv }
   ?object ?type .
   ?object a competency:Competency ;
            competency:name ?competency ;
            rdfs:label ?competencyLabel .
   ?object a :Character ;
            competency:belongsToCompetition ?competency;
            rdf:type competency:Character ;
            rdfs:label ?character
}
ORDER BY ?character
```</t>
        </is>
      </c>
      <c r="D31" t="inlineStr">
        <is>
          <t>model='granite4:latest' created_at='2025-11-26T06:19:09.085287195Z' done=True done_reason='stop' total_duration=292434118383 load_duration=562241471 prompt_eval_count=107872 prompt_eval_duration=288016998339 eval_count=99 eval_duration=3419547775 message=Message(role='assistant', content='```sparql\nSELECT ?competency ?competencyLabel ?character WHERE {\n   VALUES ?type { movie web_series tv }\n   ?object ?type .\n   ?object a competency:Competency ;\n            competency:name ?competency ;\n            rdfs:label ?competencyLabel .\n\n   ?object a :Character ;\n            competency:belongsToCompetition ?competency;\n            rdf:type competency:Character ;\n            rdfs:label ?character\n}\nORDER BY ?character\n```', thinking=None, images=None, tool_calls=None)</t>
        </is>
      </c>
      <c r="E31"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?competency ?competencyLabel ?character WHERE {
   VALUES ?type { movie web_series tv }
   ?object ?type .
   ?object a competency:Competency ;
            competency:name ?competency ;
            rdfs:label ?competencyLabel .
   ?object a :Character ;
            competency:belongsToCompetition ?competency;
            rdf:type competency:Character ;
            rdfs:label ?character
}
ORDER BY ?character</t>
        </is>
      </c>
      <c r="F31" t="inlineStr">
        <is>
          <t>ERROR: QueryBadFormed: A bad request has been sent to the endpoint: probably the SPARQL query is badly formed. 
Response:
b'Parse error: Lexical error at line 14, column 24.  Encountered: \'32\' (32), after prefix "movie"\n'</t>
        </is>
      </c>
      <c r="G31" t="b">
        <v>0</v>
      </c>
      <c r="H31" t="b">
        <v>0</v>
      </c>
      <c r="I31" t="b">
        <v>0</v>
      </c>
      <c r="U31" t="inlineStr">
        <is>
          <t>complex</t>
        </is>
      </c>
      <c r="V31" t="n">
        <v>1</v>
      </c>
      <c r="W31" t="n">
        <v>1</v>
      </c>
      <c r="X31" t="n">
        <v>1</v>
      </c>
      <c r="Y31" t="n">
        <v>0.5</v>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is>
      </c>
      <c r="C32" t="inlineStr">
        <is>
          <t>```sparql
SELECT ?competency WHERE {
  VALUES ?x { &lt;http://dbkwik.webdatacommons.org/marvelcinematicuniverse.wikia.com/resource/Clearance_Level&gt; }
  SELECT DISTINCT ?competency (COUNT(?c) as ?count)
    WHERE {
      VALUES ?x {&lt;http://dbkwik.webdatacommons.org/marvelcinematicuniverse.wikia.com/resource/Clearance_Level&gt;}
      ?c a ?competency ;
         ?x ?value .
      }
  GROUP BY ?competency
}
```</t>
        </is>
      </c>
      <c r="D32" t="inlineStr">
        <is>
          <t>model='granite4:latest' created_at='2025-11-26T06:24:02.562241321Z' done=True done_reason='stop' total_duration=293059658218 load_duration=547460686 prompt_eval_count=107872 prompt_eval_duration=287903757491 eval_count=117 eval_duration=4133326616 message=Message(role='assistant', content='```sparql\nSELECT ?competency WHERE {\n  VALUES ?x { &lt;http://dbkwik.webdatacommons.org/marvelcinematicuniverse.wikia.com/resource/Clearance_Level&gt; }\n  SELECT DISTINCT ?competency (COUNT(?c) as ?count)\n    WHERE {\n      VALUES ?x {&lt;http://dbkwik.webdatacommons.org/marvelcinematicuniverse.wikia.com/resource/Clearance_Level&gt;}\n      ?c a ?competency ;\n         ?x ?value .\n      }\n  GROUP BY ?competency\n}\n```', thinking=None, images=None, tool_calls=None)</t>
        </is>
      </c>
      <c r="E3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?competency WHERE {
  VALUES ?x { &lt;http://dbkwik.webdatacommons.org/marvelcinematicuniverse.wikia.com/resource/Clearance_Level&gt; }
  SELECT DISTINCT ?competency (COUNT(?c) as ?count)
    WHERE {
      VALUES ?x {&lt;http://dbkwik.webdatacommons.org/marvelcinematicuniverse.wikia.com/resource/Clearance_Level&gt;}
      ?c a ?competency ;
         ?x ?value .
      }
  GROUP BY ?competency
}</t>
        </is>
      </c>
      <c r="F32" t="inlineStr">
        <is>
          <t>ERROR: QueryBadFormed: A bad request has been sent to the endpoint: probably the SPARQL query is badly formed. 
Response:
b'Parse error: Encountered " "select" "SELECT "" at line 15, column 3.\n'</t>
        </is>
      </c>
      <c r="G32" t="b">
        <v>0</v>
      </c>
      <c r="H32" t="b">
        <v>0</v>
      </c>
      <c r="I32" t="b">
        <v>0</v>
      </c>
      <c r="U32" t="inlineStr">
        <is>
          <t>complex</t>
        </is>
      </c>
      <c r="V32" t="n">
        <v>1</v>
      </c>
      <c r="W32" t="n">
        <v>1</v>
      </c>
      <c r="X32" t="n">
        <v>1</v>
      </c>
      <c r="Y32" t="n">
        <v>0.5</v>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is>
      </c>
      <c r="C33" t="inlineStr">
        <is>
          <t>```sparql
SELECT ?name WHERE {
  VALUES ?type { film movie comic web_series one_shot season }
  # Marvel Cinematic Universe Timeline
  ?timeline ns1:date ?date .
  # The Avengers Prelude: Fury's Big Week
  ?timeline dct:references ?movie .
  ?movie dct:title ?title .
  FILTER(?type = film AND contains(?title, "The Avengers Prelude"))
  UNION
  FILTER(?type = movie AND contains(?title, "The Avengers Prelude"))
  UNION
  FILTER(?type = comic AND (contains(?name, "The Avengers Prelude") OR contains(?name, "Prelude")))
  UNION
  FILTER(?type = web_series AND contains(?name, "The Avengers Prelude"))
  UNION
  FILTER(?type = one_shot AND contains(?title, "The Avengers Prelude"))
  UNION
  FILTER(?type = season AND contains(?title, "The Avengers Prelude"))
}
```</t>
        </is>
      </c>
      <c r="D33" t="inlineStr">
        <is>
          <t>model='granite4:latest' created_at='2025-11-26T06:28:58.725144835Z' done=True done_reason='stop' total_duration=295830889479 load_duration=566397083 prompt_eval_count=107871 prompt_eval_duration=287950967802 eval_count=197 eval_duration=6818083522 message=Message(role='assistant', content='```sparql\nSELECT ?name WHERE {\n  VALUES ?type { film movie comic web_series one_shot season }\n  \n  # Marvel Cinematic Universe Timeline\n  ?timeline ns1:date ?date .\n  \n  # The Avengers Prelude: Fury\'s Big Week\n  ?timeline dct:references ?movie .\n  ?movie dct:title ?title .\n\n  FILTER(?type = film AND contains(?title, "The Avengers Prelude"))\n\n  UNION\n  FILTER(?type = movie AND contains(?title, "The Avengers Prelude"))\n\n  UNION\n  FILTER(?type = comic AND (contains(?name, "The Avengers Prelude") OR contains(?name, "Prelude")))\n\n  UNION\n  FILTER(?type = web_series AND contains(?name, "The Avengers Prelude"))\n\n  UNION\n  FILTER(?type = one_shot AND contains(?title, "The Avengers Prelude"))\n\n  UNION\n  FILTER(?type = season AND contains(?title, "The Avengers Prelude"))\n}\n```', thinking=None, images=None, tool_calls=None)</t>
        </is>
      </c>
      <c r="E33"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?name WHERE {
  VALUES ?type { film movie comic web_series one_shot season }
  # Marvel Cinematic Universe Timeline
  ?timeline ns1:date ?date .
  # The Avengers Prelude: Fury's Big Week
  ?timeline dct:references ?movie .
  ?movie dct:title ?title .
  FILTER(?type = film AND contains(?title, "The Avengers Prelude"))
  UNION
  FILTER(?type = movie AND contains(?title, "The Avengers Prelude"))
  UNION
  FILTER(?type = comic AND (contains(?name, "The Avengers Prelude") OR contains(?name, "Prelude")))
  UNION
  FILTER(?type = web_series AND contains(?name, "The Avengers Prelude"))
  UNION
  FILTER(?type = one_shot AND contains(?title, "The Avengers Prelude"))
  UNION
  FILTER(?type = season AND contains(?title, "The Avengers Prelude"))
}</t>
        </is>
      </c>
      <c r="F33" t="inlineStr">
        <is>
          <t>ERROR: QueryBadFormed: A bad request has been sent to the endpoint: probably the SPARQL query is badly formed. 
Response:
b'Parse error: Lexical error at line 14, column 22.  Encountered: \'32\' (32), after prefix "film"\n'</t>
        </is>
      </c>
      <c r="G33" t="b">
        <v>0</v>
      </c>
      <c r="H33" t="b">
        <v>0</v>
      </c>
      <c r="I33" t="b">
        <v>0</v>
      </c>
      <c r="U33" t="inlineStr">
        <is>
          <t>complex</t>
        </is>
      </c>
      <c r="V33" t="n">
        <v>1</v>
      </c>
      <c r="W33" t="n">
        <v>1</v>
      </c>
      <c r="X33" t="n">
        <v>1</v>
      </c>
      <c r="Y33" t="n">
        <v>0.5</v>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is>
      </c>
      <c r="C34" t="inlineStr">
        <is>
          <t>```sparql
SELECT ?p ?o WHERE {
  VALUES ?p {ns3:abstract ns3:thumbnail}
  ?c ?p ?o .
  ?c rdfs:label "Punisher"@en .
  VALUES ?q {Ant-Man_(film) Iron_Man_(film) Iron_Man_2_(video_game)
            Avengers:_Infinity_War Agents_of_S.H.I.E.L.D. Inhumans}
  ?c rdfs:comment ?o .
  VALUES ?r {episode season film movie comic book novel one-shot game}
  ?c a &lt;http://dbkwik.webdatacommons.org/marvelcinematicuniverse.wikia.com/class/quote&gt; ;
      ns3:abstract ?o .
}
```</t>
        </is>
      </c>
      <c r="D34" t="inlineStr">
        <is>
          <t>model='granite4:latest' created_at='2025-11-26T06:33:53.61672863Z' done=True done_reason='stop' total_duration=294589689971 load_duration=572453576 prompt_eval_count=107885 prompt_eval_duration=288029186395 eval_count=158 eval_duration=5512260031 message=Message(role='assistant', content='```sparql\nSELECT ?p ?o WHERE {\n  VALUES ?p {ns3:abstract ns3:thumbnail}\n  ?c ?p ?o .\n  \n  ?c rdfs:label "Punisher"@en .\n\n  VALUES ?q {Ant-Man_(film) Iron_Man_(film) Iron_Man_2_(video_game)\n            Avengers:_Infinity_War Agents_of_S.H.I.E.L.D. Inhumans}\n  \n  ?c rdfs:comment ?o .\n  \n  VALUES ?r {episode season film movie comic book novel one-shot game}\n\n  ?c a &lt;http://dbkwik.webdatacommons.org/marvelcinematicuniverse.wikia.com/class/quote&gt; ;\n      ns3:abstract ?o .\n}\n```', thinking=None, images=None, tool_calls=None)</t>
        </is>
      </c>
      <c r="E34"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?p ?o WHERE {
  VALUES ?p {ns3:abstract ns3:thumbnail}
  ?c ?p ?o .
  ?c rdfs:label "Punisher"@en .
  VALUES ?q {Ant-Man_(film) Iron_Man_(film) Iron_Man_2_(video_game)
            Avengers:_Infinity_War Agents_of_S.H.I.E.L.D. Inhumans}
  ?c rdfs:comment ?o .
  VALUES ?r {episode season film movie comic book novel one-shot game}
  ?c a &lt;http://dbkwik.webdatacommons.org/marvelcinematicuniverse.wikia.com/class/quote&gt; ;
      ns3:abstract ?o .
}</t>
        </is>
      </c>
      <c r="F34" t="inlineStr">
        <is>
          <t>ERROR: QueryBadFormed: A bad request has been sent to the endpoint: probably the SPARQL query is badly formed. 
Response:
b'Parse error: Lexical error at line 19, column 22.  Encountered: \'40\' (40), after prefix "Ant-Man_"\n'</t>
        </is>
      </c>
      <c r="G34" t="b">
        <v>0</v>
      </c>
      <c r="H34" t="b">
        <v>0</v>
      </c>
      <c r="I34" t="b">
        <v>0</v>
      </c>
      <c r="U34" t="inlineStr">
        <is>
          <t>complex</t>
        </is>
      </c>
      <c r="V34" t="n">
        <v>1</v>
      </c>
      <c r="W34" t="n">
        <v>1</v>
      </c>
      <c r="X34" t="n">
        <v>1</v>
      </c>
      <c r="Y34"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2025-11-25T21:05:31Z</dcterms:created>
  <dcterms:modified xsi:type="dcterms:W3CDTF">2025-11-27T20:07:38Z</dcterms:modified>
  <cp:lastModifiedBy>Jaldi, Chris Davis</cp:lastModifiedBy>
</cp:coreProperties>
</file>