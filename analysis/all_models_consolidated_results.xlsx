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davisj/Downloads/thesis_consolidated_results/"/>
    </mc:Choice>
  </mc:AlternateContent>
  <xr:revisionPtr revIDLastSave="0" documentId="13_ncr:1_{9B2670F3-F1E7-9E40-BA23-12429FD16A7F}" xr6:coauthVersionLast="47" xr6:coauthVersionMax="47" xr10:uidLastSave="{00000000-0000-0000-0000-000000000000}"/>
  <bookViews>
    <workbookView xWindow="0" yWindow="680" windowWidth="29400" windowHeight="17160" xr2:uid="{7A8068D3-CF3B-1441-8180-6B54D6D6496B}"/>
  </bookViews>
  <sheets>
    <sheet name="Screen" sheetId="5" r:id="rId1"/>
    <sheet name="Screen with C" sheetId="6" r:id="rId2"/>
    <sheet name="H1-AM" sheetId="1" r:id="rId3"/>
    <sheet name="H1-AM&amp;C" sheetId="2" r:id="rId4"/>
    <sheet name="H2-AM" sheetId="7" r:id="rId5"/>
    <sheet name="H2-AM&amp;C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C24" i="5"/>
  <c r="D12" i="5"/>
  <c r="C12" i="5"/>
  <c r="C13" i="5"/>
  <c r="D13" i="5"/>
  <c r="D5" i="5"/>
  <c r="D6" i="5"/>
  <c r="D7" i="5"/>
  <c r="D8" i="5"/>
  <c r="D9" i="5"/>
  <c r="D10" i="5"/>
  <c r="D11" i="5"/>
  <c r="D14" i="5"/>
  <c r="D15" i="5"/>
  <c r="D16" i="5"/>
  <c r="D17" i="5"/>
  <c r="D18" i="5"/>
  <c r="D19" i="5"/>
  <c r="D20" i="5"/>
  <c r="D21" i="5"/>
  <c r="D22" i="5"/>
  <c r="D23" i="5"/>
  <c r="D25" i="5"/>
  <c r="D3" i="5"/>
  <c r="D4" i="5"/>
  <c r="D2" i="5"/>
  <c r="C5" i="5"/>
  <c r="C6" i="5"/>
  <c r="C7" i="5"/>
  <c r="C8" i="5"/>
  <c r="C9" i="5"/>
  <c r="C10" i="5"/>
  <c r="C11" i="5"/>
  <c r="C14" i="5"/>
  <c r="C15" i="5"/>
  <c r="C16" i="5"/>
  <c r="C17" i="5"/>
  <c r="C18" i="5"/>
  <c r="C19" i="5"/>
  <c r="C20" i="5"/>
  <c r="C21" i="5"/>
  <c r="C22" i="5"/>
  <c r="C23" i="5"/>
  <c r="C25" i="5"/>
  <c r="C3" i="5"/>
  <c r="C4" i="5"/>
  <c r="C2" i="5"/>
</calcChain>
</file>

<file path=xl/sharedStrings.xml><?xml version="1.0" encoding="utf-8"?>
<sst xmlns="http://schemas.openxmlformats.org/spreadsheetml/2006/main" count="455" uniqueCount="40">
  <si>
    <t>Model</t>
  </si>
  <si>
    <t>Complexity</t>
  </si>
  <si>
    <t>KG</t>
  </si>
  <si>
    <t>Claude</t>
  </si>
  <si>
    <t>Big</t>
  </si>
  <si>
    <t>latency_p50_ms</t>
  </si>
  <si>
    <t>latency_p95_ms</t>
  </si>
  <si>
    <t>latency_mean_ms</t>
  </si>
  <si>
    <t>rows</t>
  </si>
  <si>
    <t>vars</t>
  </si>
  <si>
    <t>lexical_query_overlap</t>
  </si>
  <si>
    <t>semantic_similarity_to_CQ</t>
  </si>
  <si>
    <t>semantic_soft_coverage_to_CQ</t>
  </si>
  <si>
    <t>tuple_cohesion</t>
  </si>
  <si>
    <t>determinism_score</t>
  </si>
  <si>
    <t>satisfiability_binding_score</t>
  </si>
  <si>
    <t>h1_overall</t>
  </si>
  <si>
    <t>semantic_diversity_score</t>
  </si>
  <si>
    <t>syntax_ok_rate</t>
  </si>
  <si>
    <t>satisfiable_rate</t>
  </si>
  <si>
    <t>deterministic_rate</t>
  </si>
  <si>
    <t>Small</t>
  </si>
  <si>
    <t>Deepseek R1</t>
  </si>
  <si>
    <t>GPT OSS</t>
  </si>
  <si>
    <t>GPT5</t>
  </si>
  <si>
    <t>Granite 3.3</t>
  </si>
  <si>
    <t>Llama 3.2</t>
  </si>
  <si>
    <t>Phi4 mini</t>
  </si>
  <si>
    <t>Simple</t>
  </si>
  <si>
    <t>Moderate</t>
  </si>
  <si>
    <t>Complex</t>
  </si>
  <si>
    <t>Valid Syntax recognized</t>
  </si>
  <si>
    <t>Full Validity</t>
  </si>
  <si>
    <t>Granite4</t>
  </si>
  <si>
    <t>Granite 4</t>
  </si>
  <si>
    <t>Mistral Small 3.2</t>
  </si>
  <si>
    <t>Phi4 reasoning</t>
  </si>
  <si>
    <t>Phi4</t>
  </si>
  <si>
    <t>Phi4 reasining</t>
  </si>
  <si>
    <t>Gemma3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</si>
</sst>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765A-0D96-F444-924E-F5BC669E0C76}">
  <dimension ref="A1:D25"/>
  <sheetViews>
    <sheetView tabSelected="1" workbookViewId="0">
      <selection activeCell="C14" sqref="C14"/>
    </sheetView>
  </sheetViews>
  <sheetFormatPr baseColWidth="10" defaultRowHeight="16" x14ac:dyDescent="0.2"/>
  <cols>
    <col min="1" max="1" width="5.83203125" bestFit="1" customWidth="1"/>
    <col min="2" max="2" width="14.83203125" bestFit="1" customWidth="1"/>
    <col min="3" max="3" width="20.5" bestFit="1" customWidth="1"/>
    <col min="4" max="4" width="10.6640625" bestFit="1" customWidth="1"/>
  </cols>
  <sheetData>
    <row r="1" spans="1:4" x14ac:dyDescent="0.2">
      <c r="A1" s="4" t="s">
        <v>2</v>
      </c>
      <c r="B1" s="4" t="s">
        <v>0</v>
      </c>
      <c r="C1" s="11" t="s">
        <v>31</v>
      </c>
      <c r="D1" s="11" t="s">
        <v>32</v>
      </c>
    </row>
    <row r="2" spans="1:4" x14ac:dyDescent="0.2">
      <c r="A2" s="18" t="s">
        <v>4</v>
      </c>
      <c r="B2" s="4" t="s">
        <v>3</v>
      </c>
      <c r="C2" s="12">
        <f ca="1">SUM(OFFSET('Screen with C'!$D$2, (ROW() - ROW($A$2)) * 3, 0, 3, 1))</f>
        <v>30</v>
      </c>
      <c r="D2" s="12">
        <f ca="1">SUM(OFFSET('Screen with C'!$E$2, (ROW() - ROW($A$2)) * 3, 0, 3, 1))</f>
        <v>26</v>
      </c>
    </row>
    <row r="3" spans="1:4" x14ac:dyDescent="0.2">
      <c r="A3" s="18"/>
      <c r="B3" s="4" t="s">
        <v>24</v>
      </c>
      <c r="C3" s="12">
        <f ca="1">SUM(OFFSET('Screen with C'!$D$2, (ROW() - ROW($A$2)) * 3, 0, 3, 1))</f>
        <v>27</v>
      </c>
      <c r="D3" s="12">
        <f ca="1">SUM(OFFSET('Screen with C'!$E$2, (ROW() - ROW($A$2)) * 3, 0, 3, 1))</f>
        <v>26</v>
      </c>
    </row>
    <row r="4" spans="1:4" x14ac:dyDescent="0.2">
      <c r="A4" s="18"/>
      <c r="B4" s="4" t="s">
        <v>22</v>
      </c>
      <c r="C4" s="12">
        <f ca="1">SUM(OFFSET('Screen with C'!$D$2, (ROW() - ROW($A$2)) * 3, 0, 3, 1))</f>
        <v>6</v>
      </c>
      <c r="D4" s="12">
        <f ca="1">SUM(OFFSET('Screen with C'!$E$2, (ROW() - ROW($A$2)) * 3, 0, 3, 1))</f>
        <v>4</v>
      </c>
    </row>
    <row r="5" spans="1:4" x14ac:dyDescent="0.2">
      <c r="A5" s="18"/>
      <c r="B5" s="4" t="s">
        <v>23</v>
      </c>
      <c r="C5" s="12">
        <f ca="1">SUM(OFFSET('Screen with C'!$D$2, (ROW() - ROW($A$2)) * 3, 0, 3, 1))</f>
        <v>31</v>
      </c>
      <c r="D5" s="12">
        <f ca="1">SUM(OFFSET('Screen with C'!$E$2, (ROW() - ROW($A$2)) * 3, 0, 3, 1))</f>
        <v>25</v>
      </c>
    </row>
    <row r="6" spans="1:4" x14ac:dyDescent="0.2">
      <c r="A6" s="18"/>
      <c r="B6" s="4" t="s">
        <v>25</v>
      </c>
      <c r="C6" s="12">
        <f ca="1">SUM(OFFSET('Screen with C'!$D$2, (ROW() - ROW($A$2)) * 3, 0, 3, 1))</f>
        <v>14</v>
      </c>
      <c r="D6" s="12">
        <f ca="1">SUM(OFFSET('Screen with C'!$E$2, (ROW() - ROW($A$2)) * 3, 0, 3, 1))</f>
        <v>2</v>
      </c>
    </row>
    <row r="7" spans="1:4" x14ac:dyDescent="0.2">
      <c r="A7" s="18"/>
      <c r="B7" s="4" t="s">
        <v>34</v>
      </c>
      <c r="C7" s="12">
        <f ca="1">SUM(OFFSET('Screen with C'!$D$2, (ROW() - ROW($A$2)) * 3, 0, 3, 1))</f>
        <v>4</v>
      </c>
      <c r="D7" s="12">
        <f ca="1">SUM(OFFSET('Screen with C'!$E$2, (ROW() - ROW($A$2)) * 3, 0, 3, 1))</f>
        <v>0</v>
      </c>
    </row>
    <row r="8" spans="1:4" x14ac:dyDescent="0.2">
      <c r="A8" s="18"/>
      <c r="B8" s="4" t="s">
        <v>26</v>
      </c>
      <c r="C8" s="12">
        <f ca="1">SUM(OFFSET('Screen with C'!$D$2, (ROW() - ROW($A$2)) * 3, 0, 3, 1))</f>
        <v>5</v>
      </c>
      <c r="D8" s="12">
        <f ca="1">SUM(OFFSET('Screen with C'!$E$2, (ROW() - ROW($A$2)) * 3, 0, 3, 1))</f>
        <v>1</v>
      </c>
    </row>
    <row r="9" spans="1:4" x14ac:dyDescent="0.2">
      <c r="A9" s="18"/>
      <c r="B9" s="4" t="s">
        <v>35</v>
      </c>
      <c r="C9" s="12">
        <f ca="1">SUM(OFFSET('Screen with C'!$D$2, (ROW() - ROW($A$2)) * 3, 0, 3, 1))</f>
        <v>19</v>
      </c>
      <c r="D9" s="12">
        <f ca="1">SUM(OFFSET('Screen with C'!$E$2, (ROW() - ROW($A$2)) * 3, 0, 3, 1))</f>
        <v>4</v>
      </c>
    </row>
    <row r="10" spans="1:4" x14ac:dyDescent="0.2">
      <c r="A10" s="18"/>
      <c r="B10" s="4" t="s">
        <v>27</v>
      </c>
      <c r="C10" s="12">
        <f ca="1">SUM(OFFSET('Screen with C'!$D$2, (ROW() - ROW($A$2)) * 3, 0, 3, 1))</f>
        <v>1</v>
      </c>
      <c r="D10" s="12">
        <f ca="1">SUM(OFFSET('Screen with C'!$E$2, (ROW() - ROW($A$2)) * 3, 0, 3, 1))</f>
        <v>0</v>
      </c>
    </row>
    <row r="11" spans="1:4" x14ac:dyDescent="0.2">
      <c r="A11" s="18"/>
      <c r="B11" s="4" t="s">
        <v>36</v>
      </c>
      <c r="C11" s="12">
        <f ca="1">SUM(OFFSET('Screen with C'!$D$2, (ROW() - ROW($A$2)) * 3, 0, 3, 1))</f>
        <v>1</v>
      </c>
      <c r="D11" s="12">
        <f ca="1">SUM(OFFSET('Screen with C'!$E$2, (ROW() - ROW($A$2)) * 3, 0, 3, 1))</f>
        <v>0</v>
      </c>
    </row>
    <row r="12" spans="1:4" x14ac:dyDescent="0.2">
      <c r="A12" s="18"/>
      <c r="B12" s="4" t="s">
        <v>37</v>
      </c>
      <c r="C12" s="12">
        <f ca="1">SUM(OFFSET('Screen with C'!$D$2, (ROW() - ROW($A$2)) * 3, 0, 3, 1))</f>
        <v>0</v>
      </c>
      <c r="D12" s="12">
        <f ca="1">SUM(OFFSET('Screen with C'!$E$2, (ROW() - ROW($A$2)) * 3, 0, 3, 1))</f>
        <v>0</v>
      </c>
    </row>
    <row r="13" spans="1:4" x14ac:dyDescent="0.2">
      <c r="A13" s="18"/>
      <c r="B13" s="4" t="s">
        <v>39</v>
      </c>
      <c r="C13" s="12">
        <f ca="1">SUM(OFFSET('Screen with C'!$D$2, (ROW() - ROW($A$2)) * 3, 0, 3, 1))</f>
        <v>0</v>
      </c>
      <c r="D13" s="12">
        <f ca="1">SUM(OFFSET('Screen with C'!$E$2, (ROW() - ROW($A$2)) * 3, 0, 3, 1))</f>
        <v>0</v>
      </c>
    </row>
    <row r="14" spans="1:4" x14ac:dyDescent="0.2">
      <c r="A14" s="18" t="s">
        <v>21</v>
      </c>
      <c r="B14" s="4" t="s">
        <v>3</v>
      </c>
      <c r="C14" s="12">
        <f ca="1">SUM(OFFSET('Screen with C'!$D$2, (ROW() - ROW($A$2)) * 3, 0, 3, 1))</f>
        <v>31</v>
      </c>
      <c r="D14" s="12">
        <f ca="1">SUM(OFFSET('Screen with C'!$E$2, (ROW() - ROW($A$2)) * 3, 0, 3, 1))</f>
        <v>26</v>
      </c>
    </row>
    <row r="15" spans="1:4" x14ac:dyDescent="0.2">
      <c r="A15" s="18"/>
      <c r="B15" s="4" t="s">
        <v>24</v>
      </c>
      <c r="C15" s="12">
        <f ca="1">SUM(OFFSET('Screen with C'!$D$2, (ROW() - ROW($A$2)) * 3, 0, 3, 1))</f>
        <v>29</v>
      </c>
      <c r="D15" s="12">
        <f ca="1">SUM(OFFSET('Screen with C'!$E$2, (ROW() - ROW($A$2)) * 3, 0, 3, 1))</f>
        <v>29</v>
      </c>
    </row>
    <row r="16" spans="1:4" x14ac:dyDescent="0.2">
      <c r="A16" s="18"/>
      <c r="B16" s="4" t="s">
        <v>22</v>
      </c>
      <c r="C16" s="12">
        <f ca="1">SUM(OFFSET('Screen with C'!$D$2, (ROW() - ROW($A$2)) * 3, 0, 3, 1))</f>
        <v>14</v>
      </c>
      <c r="D16" s="12">
        <f ca="1">SUM(OFFSET('Screen with C'!$E$2, (ROW() - ROW($A$2)) * 3, 0, 3, 1))</f>
        <v>6</v>
      </c>
    </row>
    <row r="17" spans="1:4" x14ac:dyDescent="0.2">
      <c r="A17" s="18"/>
      <c r="B17" s="4" t="s">
        <v>23</v>
      </c>
      <c r="C17" s="12">
        <f ca="1">SUM(OFFSET('Screen with C'!$D$2, (ROW() - ROW($A$2)) * 3, 0, 3, 1))</f>
        <v>31</v>
      </c>
      <c r="D17" s="12">
        <f ca="1">SUM(OFFSET('Screen with C'!$E$2, (ROW() - ROW($A$2)) * 3, 0, 3, 1))</f>
        <v>24</v>
      </c>
    </row>
    <row r="18" spans="1:4" x14ac:dyDescent="0.2">
      <c r="A18" s="18"/>
      <c r="B18" s="4" t="s">
        <v>25</v>
      </c>
      <c r="C18" s="12">
        <f ca="1">SUM(OFFSET('Screen with C'!$D$2, (ROW() - ROW($A$2)) * 3, 0, 3, 1))</f>
        <v>0</v>
      </c>
      <c r="D18" s="12">
        <f ca="1">SUM(OFFSET('Screen with C'!$E$2, (ROW() - ROW($A$2)) * 3, 0, 3, 1))</f>
        <v>0</v>
      </c>
    </row>
    <row r="19" spans="1:4" x14ac:dyDescent="0.2">
      <c r="A19" s="18"/>
      <c r="B19" s="4" t="s">
        <v>34</v>
      </c>
      <c r="C19" s="12">
        <f ca="1">SUM(OFFSET('Screen with C'!$D$2, (ROW() - ROW($A$2)) * 3, 0, 3, 1))</f>
        <v>7</v>
      </c>
      <c r="D19" s="12">
        <f ca="1">SUM(OFFSET('Screen with C'!$E$2, (ROW() - ROW($A$2)) * 3, 0, 3, 1))</f>
        <v>1</v>
      </c>
    </row>
    <row r="20" spans="1:4" x14ac:dyDescent="0.2">
      <c r="A20" s="18"/>
      <c r="B20" s="4" t="s">
        <v>26</v>
      </c>
      <c r="C20" s="12">
        <f ca="1">SUM(OFFSET('Screen with C'!$D$2, (ROW() - ROW($A$2)) * 3, 0, 3, 1))</f>
        <v>8</v>
      </c>
      <c r="D20" s="12">
        <f ca="1">SUM(OFFSET('Screen with C'!$E$2, (ROW() - ROW($A$2)) * 3, 0, 3, 1))</f>
        <v>6</v>
      </c>
    </row>
    <row r="21" spans="1:4" x14ac:dyDescent="0.2">
      <c r="A21" s="18"/>
      <c r="B21" s="4" t="s">
        <v>35</v>
      </c>
      <c r="C21" s="12">
        <f ca="1">SUM(OFFSET('Screen with C'!$D$2, (ROW() - ROW($A$2)) * 3, 0, 3, 1))</f>
        <v>16</v>
      </c>
      <c r="D21" s="12">
        <f ca="1">SUM(OFFSET('Screen with C'!$E$2, (ROW() - ROW($A$2)) * 3, 0, 3, 1))</f>
        <v>4</v>
      </c>
    </row>
    <row r="22" spans="1:4" x14ac:dyDescent="0.2">
      <c r="A22" s="18"/>
      <c r="B22" s="4" t="s">
        <v>27</v>
      </c>
      <c r="C22" s="12">
        <f ca="1">SUM(OFFSET('Screen with C'!$D$2, (ROW() - ROW($A$2)) * 3, 0, 3, 1))</f>
        <v>5</v>
      </c>
      <c r="D22" s="12">
        <f ca="1">SUM(OFFSET('Screen with C'!$E$2, (ROW() - ROW($A$2)) * 3, 0, 3, 1))</f>
        <v>2</v>
      </c>
    </row>
    <row r="23" spans="1:4" x14ac:dyDescent="0.2">
      <c r="A23" s="18"/>
      <c r="B23" s="4" t="s">
        <v>36</v>
      </c>
      <c r="C23" s="12">
        <f ca="1">SUM(OFFSET('Screen with C'!$D$2, (ROW() - ROW($A$2)) * 3, 0, 3, 1))</f>
        <v>0</v>
      </c>
      <c r="D23" s="12">
        <f ca="1">SUM(OFFSET('Screen with C'!$E$2, (ROW() - ROW($A$2)) * 3, 0, 3, 1))</f>
        <v>0</v>
      </c>
    </row>
    <row r="24" spans="1:4" x14ac:dyDescent="0.2">
      <c r="A24" s="18"/>
      <c r="B24" s="4" t="s">
        <v>37</v>
      </c>
      <c r="C24" s="12">
        <f ca="1">SUM(OFFSET('Screen with C'!$D$2, (ROW() - ROW($A$2)) * 3, 0, 3, 1))</f>
        <v>0</v>
      </c>
      <c r="D24" s="12">
        <f ca="1">SUM(OFFSET('Screen with C'!$E$2, (ROW() - ROW($A$2)) * 3, 0, 3, 1))</f>
        <v>0</v>
      </c>
    </row>
    <row r="25" spans="1:4" x14ac:dyDescent="0.2">
      <c r="A25" s="18"/>
      <c r="B25" s="4" t="s">
        <v>39</v>
      </c>
      <c r="C25" s="12">
        <f ca="1">SUM(OFFSET('Screen with C'!$D$2, (ROW() - ROW($A$2)) * 3, 0, 3, 1))</f>
        <v>3</v>
      </c>
      <c r="D25" s="12">
        <f ca="1">SUM(OFFSET('Screen with C'!$E$2, (ROW() - ROW($A$2)) * 3, 0, 3, 1))</f>
        <v>0</v>
      </c>
    </row>
  </sheetData>
  <mergeCells count="2">
    <mergeCell ref="A2:A13"/>
    <mergeCell ref="A14:A2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0586-C714-D94E-9932-2BF6E9D7FE07}">
  <dimension ref="A1:E73"/>
  <sheetViews>
    <sheetView topLeftCell="A31" zoomScale="101" workbookViewId="0">
      <selection activeCell="D38" sqref="D38"/>
    </sheetView>
  </sheetViews>
  <sheetFormatPr baseColWidth="10" defaultRowHeight="16" x14ac:dyDescent="0.2"/>
  <cols>
    <col min="1" max="1" width="5.83203125" bestFit="1" customWidth="1"/>
    <col min="2" max="2" width="14.83203125" bestFit="1" customWidth="1"/>
    <col min="3" max="3" width="10.5" bestFit="1" customWidth="1"/>
    <col min="4" max="4" width="20.5" bestFit="1" customWidth="1"/>
    <col min="5" max="5" width="10.6640625" bestFit="1" customWidth="1"/>
  </cols>
  <sheetData>
    <row r="1" spans="1:5" x14ac:dyDescent="0.2">
      <c r="A1" s="4" t="s">
        <v>2</v>
      </c>
      <c r="B1" s="4" t="s">
        <v>0</v>
      </c>
      <c r="C1" s="4" t="s">
        <v>1</v>
      </c>
      <c r="D1" s="11" t="s">
        <v>31</v>
      </c>
      <c r="E1" s="11" t="s">
        <v>32</v>
      </c>
    </row>
    <row r="2" spans="1:5" x14ac:dyDescent="0.2">
      <c r="A2" s="18" t="s">
        <v>4</v>
      </c>
      <c r="B2" s="18" t="s">
        <v>3</v>
      </c>
      <c r="C2" s="4" t="s">
        <v>28</v>
      </c>
      <c r="D2" s="12">
        <v>12</v>
      </c>
      <c r="E2" s="12">
        <v>11</v>
      </c>
    </row>
    <row r="3" spans="1:5" x14ac:dyDescent="0.2">
      <c r="A3" s="18"/>
      <c r="B3" s="18"/>
      <c r="C3" s="4" t="s">
        <v>29</v>
      </c>
      <c r="D3" s="12">
        <v>10</v>
      </c>
      <c r="E3" s="12">
        <v>8</v>
      </c>
    </row>
    <row r="4" spans="1:5" x14ac:dyDescent="0.2">
      <c r="A4" s="18"/>
      <c r="B4" s="18"/>
      <c r="C4" s="4" t="s">
        <v>30</v>
      </c>
      <c r="D4" s="12">
        <v>8</v>
      </c>
      <c r="E4" s="12">
        <v>7</v>
      </c>
    </row>
    <row r="5" spans="1:5" x14ac:dyDescent="0.2">
      <c r="A5" s="18"/>
      <c r="B5" s="18" t="s">
        <v>24</v>
      </c>
      <c r="C5" s="4" t="s">
        <v>28</v>
      </c>
      <c r="D5" s="12">
        <v>10</v>
      </c>
      <c r="E5" s="12">
        <v>10</v>
      </c>
    </row>
    <row r="6" spans="1:5" x14ac:dyDescent="0.2">
      <c r="A6" s="18"/>
      <c r="B6" s="18"/>
      <c r="C6" s="4" t="s">
        <v>29</v>
      </c>
      <c r="D6" s="12">
        <v>9</v>
      </c>
      <c r="E6" s="12">
        <v>8</v>
      </c>
    </row>
    <row r="7" spans="1:5" x14ac:dyDescent="0.2">
      <c r="A7" s="18"/>
      <c r="B7" s="18"/>
      <c r="C7" s="4" t="s">
        <v>30</v>
      </c>
      <c r="D7" s="12">
        <v>8</v>
      </c>
      <c r="E7" s="12">
        <v>8</v>
      </c>
    </row>
    <row r="8" spans="1:5" x14ac:dyDescent="0.2">
      <c r="A8" s="18"/>
      <c r="B8" s="18" t="s">
        <v>22</v>
      </c>
      <c r="C8" s="4" t="s">
        <v>28</v>
      </c>
      <c r="D8" s="12">
        <v>3</v>
      </c>
      <c r="E8" s="12">
        <v>2</v>
      </c>
    </row>
    <row r="9" spans="1:5" x14ac:dyDescent="0.2">
      <c r="A9" s="18"/>
      <c r="B9" s="18"/>
      <c r="C9" s="4" t="s">
        <v>29</v>
      </c>
      <c r="D9" s="12">
        <v>0</v>
      </c>
      <c r="E9" s="12">
        <v>0</v>
      </c>
    </row>
    <row r="10" spans="1:5" x14ac:dyDescent="0.2">
      <c r="A10" s="18"/>
      <c r="B10" s="18"/>
      <c r="C10" s="4" t="s">
        <v>30</v>
      </c>
      <c r="D10" s="12">
        <v>3</v>
      </c>
      <c r="E10" s="12">
        <v>2</v>
      </c>
    </row>
    <row r="11" spans="1:5" x14ac:dyDescent="0.2">
      <c r="A11" s="18"/>
      <c r="B11" s="18" t="s">
        <v>23</v>
      </c>
      <c r="C11" s="4" t="s">
        <v>28</v>
      </c>
      <c r="D11" s="12">
        <v>11</v>
      </c>
      <c r="E11" s="12">
        <v>7</v>
      </c>
    </row>
    <row r="12" spans="1:5" x14ac:dyDescent="0.2">
      <c r="A12" s="18"/>
      <c r="B12" s="18"/>
      <c r="C12" s="4" t="s">
        <v>29</v>
      </c>
      <c r="D12" s="12">
        <v>10</v>
      </c>
      <c r="E12" s="12">
        <v>9</v>
      </c>
    </row>
    <row r="13" spans="1:5" x14ac:dyDescent="0.2">
      <c r="A13" s="18"/>
      <c r="B13" s="18"/>
      <c r="C13" s="4" t="s">
        <v>30</v>
      </c>
      <c r="D13" s="12">
        <v>10</v>
      </c>
      <c r="E13" s="12">
        <v>9</v>
      </c>
    </row>
    <row r="14" spans="1:5" x14ac:dyDescent="0.2">
      <c r="A14" s="18"/>
      <c r="B14" s="18" t="s">
        <v>25</v>
      </c>
      <c r="C14" s="4" t="s">
        <v>28</v>
      </c>
      <c r="D14" s="12">
        <v>5</v>
      </c>
      <c r="E14" s="12">
        <v>1</v>
      </c>
    </row>
    <row r="15" spans="1:5" x14ac:dyDescent="0.2">
      <c r="A15" s="18"/>
      <c r="B15" s="18"/>
      <c r="C15" s="4" t="s">
        <v>29</v>
      </c>
      <c r="D15" s="12">
        <v>5</v>
      </c>
      <c r="E15" s="12">
        <v>0</v>
      </c>
    </row>
    <row r="16" spans="1:5" x14ac:dyDescent="0.2">
      <c r="A16" s="18"/>
      <c r="B16" s="18"/>
      <c r="C16" s="4" t="s">
        <v>30</v>
      </c>
      <c r="D16" s="12">
        <v>4</v>
      </c>
      <c r="E16" s="12">
        <v>1</v>
      </c>
    </row>
    <row r="17" spans="1:5" x14ac:dyDescent="0.2">
      <c r="A17" s="18"/>
      <c r="B17" s="18" t="s">
        <v>33</v>
      </c>
      <c r="C17" s="4" t="s">
        <v>28</v>
      </c>
      <c r="D17" s="12">
        <v>2</v>
      </c>
      <c r="E17" s="12">
        <v>0</v>
      </c>
    </row>
    <row r="18" spans="1:5" x14ac:dyDescent="0.2">
      <c r="A18" s="18"/>
      <c r="B18" s="18"/>
      <c r="C18" s="4" t="s">
        <v>29</v>
      </c>
      <c r="D18" s="12">
        <v>1</v>
      </c>
      <c r="E18" s="12">
        <v>0</v>
      </c>
    </row>
    <row r="19" spans="1:5" x14ac:dyDescent="0.2">
      <c r="A19" s="18"/>
      <c r="B19" s="18"/>
      <c r="C19" s="4" t="s">
        <v>30</v>
      </c>
      <c r="D19" s="12">
        <v>1</v>
      </c>
      <c r="E19" s="12">
        <v>0</v>
      </c>
    </row>
    <row r="20" spans="1:5" x14ac:dyDescent="0.2">
      <c r="A20" s="18"/>
      <c r="B20" s="18" t="s">
        <v>26</v>
      </c>
      <c r="C20" s="4" t="s">
        <v>28</v>
      </c>
      <c r="D20" s="12">
        <v>4</v>
      </c>
      <c r="E20" s="12">
        <v>1</v>
      </c>
    </row>
    <row r="21" spans="1:5" x14ac:dyDescent="0.2">
      <c r="A21" s="18"/>
      <c r="B21" s="18"/>
      <c r="C21" s="4" t="s">
        <v>29</v>
      </c>
      <c r="D21" s="12">
        <v>0</v>
      </c>
      <c r="E21" s="12">
        <v>0</v>
      </c>
    </row>
    <row r="22" spans="1:5" x14ac:dyDescent="0.2">
      <c r="A22" s="18"/>
      <c r="B22" s="18"/>
      <c r="C22" s="4" t="s">
        <v>30</v>
      </c>
      <c r="D22" s="12">
        <v>1</v>
      </c>
      <c r="E22" s="12">
        <v>0</v>
      </c>
    </row>
    <row r="23" spans="1:5" x14ac:dyDescent="0.2">
      <c r="A23" s="18"/>
      <c r="B23" s="18" t="s">
        <v>35</v>
      </c>
      <c r="C23" s="4" t="s">
        <v>28</v>
      </c>
      <c r="D23" s="12">
        <v>7</v>
      </c>
      <c r="E23" s="12">
        <v>4</v>
      </c>
    </row>
    <row r="24" spans="1:5" x14ac:dyDescent="0.2">
      <c r="A24" s="18"/>
      <c r="B24" s="18"/>
      <c r="C24" s="4" t="s">
        <v>29</v>
      </c>
      <c r="D24" s="12">
        <v>6</v>
      </c>
      <c r="E24" s="12">
        <v>0</v>
      </c>
    </row>
    <row r="25" spans="1:5" x14ac:dyDescent="0.2">
      <c r="A25" s="18"/>
      <c r="B25" s="18"/>
      <c r="C25" s="4" t="s">
        <v>30</v>
      </c>
      <c r="D25" s="12">
        <v>6</v>
      </c>
      <c r="E25" s="12">
        <v>0</v>
      </c>
    </row>
    <row r="26" spans="1:5" x14ac:dyDescent="0.2">
      <c r="A26" s="18"/>
      <c r="B26" s="18" t="s">
        <v>27</v>
      </c>
      <c r="C26" s="4" t="s">
        <v>28</v>
      </c>
      <c r="D26" s="12">
        <v>0</v>
      </c>
      <c r="E26" s="12">
        <v>0</v>
      </c>
    </row>
    <row r="27" spans="1:5" x14ac:dyDescent="0.2">
      <c r="A27" s="18"/>
      <c r="B27" s="18"/>
      <c r="C27" s="4" t="s">
        <v>29</v>
      </c>
      <c r="D27" s="12">
        <v>1</v>
      </c>
      <c r="E27" s="12">
        <v>0</v>
      </c>
    </row>
    <row r="28" spans="1:5" x14ac:dyDescent="0.2">
      <c r="A28" s="18"/>
      <c r="B28" s="18"/>
      <c r="C28" s="4" t="s">
        <v>30</v>
      </c>
      <c r="D28" s="12">
        <v>0</v>
      </c>
      <c r="E28" s="12">
        <v>0</v>
      </c>
    </row>
    <row r="29" spans="1:5" x14ac:dyDescent="0.2">
      <c r="A29" s="18"/>
      <c r="B29" s="18" t="s">
        <v>36</v>
      </c>
      <c r="C29" s="4" t="s">
        <v>28</v>
      </c>
      <c r="D29" s="12">
        <v>1</v>
      </c>
      <c r="E29" s="12">
        <v>0</v>
      </c>
    </row>
    <row r="30" spans="1:5" x14ac:dyDescent="0.2">
      <c r="A30" s="18"/>
      <c r="B30" s="18"/>
      <c r="C30" s="4" t="s">
        <v>29</v>
      </c>
      <c r="D30" s="12">
        <v>0</v>
      </c>
      <c r="E30" s="12">
        <v>0</v>
      </c>
    </row>
    <row r="31" spans="1:5" x14ac:dyDescent="0.2">
      <c r="A31" s="18"/>
      <c r="B31" s="18"/>
      <c r="C31" s="4" t="s">
        <v>30</v>
      </c>
      <c r="D31" s="12">
        <v>0</v>
      </c>
      <c r="E31" s="12">
        <v>0</v>
      </c>
    </row>
    <row r="32" spans="1:5" x14ac:dyDescent="0.2">
      <c r="A32" s="18"/>
      <c r="B32" s="18" t="s">
        <v>37</v>
      </c>
      <c r="C32" s="4" t="s">
        <v>28</v>
      </c>
      <c r="D32" s="12">
        <v>0</v>
      </c>
      <c r="E32" s="12">
        <v>0</v>
      </c>
    </row>
    <row r="33" spans="1:5" x14ac:dyDescent="0.2">
      <c r="A33" s="18"/>
      <c r="B33" s="18"/>
      <c r="C33" s="4" t="s">
        <v>29</v>
      </c>
      <c r="D33" s="12">
        <v>0</v>
      </c>
      <c r="E33" s="12">
        <v>0</v>
      </c>
    </row>
    <row r="34" spans="1:5" x14ac:dyDescent="0.2">
      <c r="A34" s="18"/>
      <c r="B34" s="18"/>
      <c r="C34" s="4" t="s">
        <v>30</v>
      </c>
      <c r="D34" s="12">
        <v>0</v>
      </c>
      <c r="E34" s="12">
        <v>0</v>
      </c>
    </row>
    <row r="35" spans="1:5" x14ac:dyDescent="0.2">
      <c r="A35" s="18"/>
      <c r="B35" s="18" t="s">
        <v>39</v>
      </c>
      <c r="C35" s="4" t="s">
        <v>28</v>
      </c>
      <c r="D35" s="12">
        <v>0</v>
      </c>
      <c r="E35" s="12">
        <v>0</v>
      </c>
    </row>
    <row r="36" spans="1:5" x14ac:dyDescent="0.2">
      <c r="A36" s="18"/>
      <c r="B36" s="18"/>
      <c r="C36" s="4" t="s">
        <v>29</v>
      </c>
      <c r="D36" s="12">
        <v>0</v>
      </c>
      <c r="E36" s="12">
        <v>0</v>
      </c>
    </row>
    <row r="37" spans="1:5" x14ac:dyDescent="0.2">
      <c r="A37" s="18"/>
      <c r="B37" s="18"/>
      <c r="C37" s="4" t="s">
        <v>30</v>
      </c>
      <c r="D37" s="12">
        <v>0</v>
      </c>
      <c r="E37" s="12">
        <v>0</v>
      </c>
    </row>
    <row r="38" spans="1:5" x14ac:dyDescent="0.2">
      <c r="A38" s="18" t="s">
        <v>21</v>
      </c>
      <c r="B38" s="18" t="s">
        <v>3</v>
      </c>
      <c r="C38" s="4" t="s">
        <v>28</v>
      </c>
      <c r="D38" s="12">
        <v>12</v>
      </c>
      <c r="E38" s="12">
        <v>11</v>
      </c>
    </row>
    <row r="39" spans="1:5" x14ac:dyDescent="0.2">
      <c r="A39" s="18"/>
      <c r="B39" s="18"/>
      <c r="C39" s="4" t="s">
        <v>29</v>
      </c>
      <c r="D39" s="12">
        <v>10</v>
      </c>
      <c r="E39" s="12">
        <v>8</v>
      </c>
    </row>
    <row r="40" spans="1:5" x14ac:dyDescent="0.2">
      <c r="A40" s="18"/>
      <c r="B40" s="18"/>
      <c r="C40" s="4" t="s">
        <v>30</v>
      </c>
      <c r="D40" s="12">
        <v>9</v>
      </c>
      <c r="E40" s="12">
        <v>7</v>
      </c>
    </row>
    <row r="41" spans="1:5" x14ac:dyDescent="0.2">
      <c r="A41" s="18"/>
      <c r="B41" s="18" t="s">
        <v>24</v>
      </c>
      <c r="C41" s="4" t="s">
        <v>28</v>
      </c>
      <c r="D41" s="12">
        <v>12</v>
      </c>
      <c r="E41" s="12">
        <v>12</v>
      </c>
    </row>
    <row r="42" spans="1:5" x14ac:dyDescent="0.2">
      <c r="A42" s="18"/>
      <c r="B42" s="18"/>
      <c r="C42" s="4" t="s">
        <v>29</v>
      </c>
      <c r="D42" s="12">
        <v>9</v>
      </c>
      <c r="E42" s="12">
        <v>9</v>
      </c>
    </row>
    <row r="43" spans="1:5" x14ac:dyDescent="0.2">
      <c r="A43" s="18"/>
      <c r="B43" s="18"/>
      <c r="C43" s="4" t="s">
        <v>30</v>
      </c>
      <c r="D43" s="12">
        <v>8</v>
      </c>
      <c r="E43" s="12">
        <v>8</v>
      </c>
    </row>
    <row r="44" spans="1:5" x14ac:dyDescent="0.2">
      <c r="A44" s="18"/>
      <c r="B44" s="18" t="s">
        <v>22</v>
      </c>
      <c r="C44" s="4" t="s">
        <v>28</v>
      </c>
      <c r="D44" s="12">
        <v>6</v>
      </c>
      <c r="E44" s="12">
        <v>3</v>
      </c>
    </row>
    <row r="45" spans="1:5" x14ac:dyDescent="0.2">
      <c r="A45" s="18"/>
      <c r="B45" s="18"/>
      <c r="C45" s="4" t="s">
        <v>29</v>
      </c>
      <c r="D45" s="12">
        <v>5</v>
      </c>
      <c r="E45" s="12">
        <v>2</v>
      </c>
    </row>
    <row r="46" spans="1:5" x14ac:dyDescent="0.2">
      <c r="A46" s="18"/>
      <c r="B46" s="18"/>
      <c r="C46" s="4" t="s">
        <v>30</v>
      </c>
      <c r="D46" s="12">
        <v>3</v>
      </c>
      <c r="E46" s="12">
        <v>1</v>
      </c>
    </row>
    <row r="47" spans="1:5" x14ac:dyDescent="0.2">
      <c r="A47" s="18"/>
      <c r="B47" s="18" t="s">
        <v>23</v>
      </c>
      <c r="C47" s="4" t="s">
        <v>28</v>
      </c>
      <c r="D47" s="12">
        <v>12</v>
      </c>
      <c r="E47" s="12">
        <v>12</v>
      </c>
    </row>
    <row r="48" spans="1:5" x14ac:dyDescent="0.2">
      <c r="A48" s="18"/>
      <c r="B48" s="18"/>
      <c r="C48" s="4" t="s">
        <v>29</v>
      </c>
      <c r="D48" s="12">
        <v>11</v>
      </c>
      <c r="E48" s="12">
        <v>7</v>
      </c>
    </row>
    <row r="49" spans="1:5" x14ac:dyDescent="0.2">
      <c r="A49" s="18"/>
      <c r="B49" s="18"/>
      <c r="C49" s="4" t="s">
        <v>30</v>
      </c>
      <c r="D49" s="12">
        <v>8</v>
      </c>
      <c r="E49" s="12">
        <v>5</v>
      </c>
    </row>
    <row r="50" spans="1:5" x14ac:dyDescent="0.2">
      <c r="A50" s="18"/>
      <c r="B50" s="18" t="s">
        <v>25</v>
      </c>
      <c r="C50" s="4" t="s">
        <v>28</v>
      </c>
      <c r="D50" s="12">
        <v>0</v>
      </c>
      <c r="E50" s="12">
        <v>0</v>
      </c>
    </row>
    <row r="51" spans="1:5" x14ac:dyDescent="0.2">
      <c r="A51" s="18"/>
      <c r="B51" s="18"/>
      <c r="C51" s="4" t="s">
        <v>29</v>
      </c>
      <c r="D51" s="12">
        <v>0</v>
      </c>
      <c r="E51" s="12">
        <v>0</v>
      </c>
    </row>
    <row r="52" spans="1:5" x14ac:dyDescent="0.2">
      <c r="A52" s="18"/>
      <c r="B52" s="18"/>
      <c r="C52" s="4" t="s">
        <v>30</v>
      </c>
      <c r="D52" s="12">
        <v>0</v>
      </c>
      <c r="E52" s="12">
        <v>0</v>
      </c>
    </row>
    <row r="53" spans="1:5" x14ac:dyDescent="0.2">
      <c r="A53" s="18"/>
      <c r="B53" s="18" t="s">
        <v>33</v>
      </c>
      <c r="C53" s="4" t="s">
        <v>28</v>
      </c>
      <c r="D53" s="12">
        <v>2</v>
      </c>
      <c r="E53" s="12">
        <v>0</v>
      </c>
    </row>
    <row r="54" spans="1:5" x14ac:dyDescent="0.2">
      <c r="A54" s="18"/>
      <c r="B54" s="18"/>
      <c r="C54" s="4" t="s">
        <v>29</v>
      </c>
      <c r="D54" s="12">
        <v>5</v>
      </c>
      <c r="E54" s="12">
        <v>1</v>
      </c>
    </row>
    <row r="55" spans="1:5" x14ac:dyDescent="0.2">
      <c r="A55" s="18"/>
      <c r="B55" s="18"/>
      <c r="C55" s="4" t="s">
        <v>30</v>
      </c>
      <c r="D55" s="12">
        <v>0</v>
      </c>
      <c r="E55" s="12">
        <v>0</v>
      </c>
    </row>
    <row r="56" spans="1:5" x14ac:dyDescent="0.2">
      <c r="A56" s="18"/>
      <c r="B56" s="18" t="s">
        <v>26</v>
      </c>
      <c r="C56" s="4" t="s">
        <v>28</v>
      </c>
      <c r="D56" s="12">
        <v>3</v>
      </c>
      <c r="E56" s="12">
        <v>3</v>
      </c>
    </row>
    <row r="57" spans="1:5" x14ac:dyDescent="0.2">
      <c r="A57" s="18"/>
      <c r="B57" s="18"/>
      <c r="C57" s="4" t="s">
        <v>29</v>
      </c>
      <c r="D57" s="12">
        <v>4</v>
      </c>
      <c r="E57" s="12">
        <v>2</v>
      </c>
    </row>
    <row r="58" spans="1:5" x14ac:dyDescent="0.2">
      <c r="A58" s="18"/>
      <c r="B58" s="18"/>
      <c r="C58" s="4" t="s">
        <v>30</v>
      </c>
      <c r="D58" s="12">
        <v>1</v>
      </c>
      <c r="E58" s="12">
        <v>1</v>
      </c>
    </row>
    <row r="59" spans="1:5" x14ac:dyDescent="0.2">
      <c r="A59" s="18"/>
      <c r="B59" s="18" t="s">
        <v>35</v>
      </c>
      <c r="C59" s="4" t="s">
        <v>28</v>
      </c>
      <c r="D59" s="12">
        <v>9</v>
      </c>
      <c r="E59" s="12">
        <v>3</v>
      </c>
    </row>
    <row r="60" spans="1:5" x14ac:dyDescent="0.2">
      <c r="A60" s="18"/>
      <c r="B60" s="18"/>
      <c r="C60" s="4" t="s">
        <v>29</v>
      </c>
      <c r="D60" s="12">
        <v>4</v>
      </c>
      <c r="E60" s="12">
        <v>0</v>
      </c>
    </row>
    <row r="61" spans="1:5" x14ac:dyDescent="0.2">
      <c r="A61" s="18"/>
      <c r="B61" s="18"/>
      <c r="C61" s="4" t="s">
        <v>30</v>
      </c>
      <c r="D61" s="12">
        <v>3</v>
      </c>
      <c r="E61" s="12">
        <v>1</v>
      </c>
    </row>
    <row r="62" spans="1:5" x14ac:dyDescent="0.2">
      <c r="A62" s="18"/>
      <c r="B62" s="18" t="s">
        <v>27</v>
      </c>
      <c r="C62" s="4" t="s">
        <v>28</v>
      </c>
      <c r="D62" s="12">
        <v>4</v>
      </c>
      <c r="E62" s="12">
        <v>2</v>
      </c>
    </row>
    <row r="63" spans="1:5" x14ac:dyDescent="0.2">
      <c r="A63" s="18"/>
      <c r="B63" s="18"/>
      <c r="C63" s="4" t="s">
        <v>29</v>
      </c>
      <c r="D63" s="12">
        <v>1</v>
      </c>
      <c r="E63" s="12">
        <v>0</v>
      </c>
    </row>
    <row r="64" spans="1:5" x14ac:dyDescent="0.2">
      <c r="A64" s="18"/>
      <c r="B64" s="18"/>
      <c r="C64" s="4" t="s">
        <v>30</v>
      </c>
      <c r="D64" s="12">
        <v>0</v>
      </c>
      <c r="E64" s="12">
        <v>0</v>
      </c>
    </row>
    <row r="65" spans="1:5" x14ac:dyDescent="0.2">
      <c r="A65" s="18"/>
      <c r="B65" s="18" t="s">
        <v>36</v>
      </c>
      <c r="C65" s="4" t="s">
        <v>28</v>
      </c>
      <c r="D65" s="12">
        <v>0</v>
      </c>
      <c r="E65" s="12">
        <v>0</v>
      </c>
    </row>
    <row r="66" spans="1:5" x14ac:dyDescent="0.2">
      <c r="A66" s="18"/>
      <c r="B66" s="18"/>
      <c r="C66" s="4" t="s">
        <v>29</v>
      </c>
      <c r="D66" s="12">
        <v>0</v>
      </c>
      <c r="E66" s="12">
        <v>0</v>
      </c>
    </row>
    <row r="67" spans="1:5" x14ac:dyDescent="0.2">
      <c r="A67" s="18"/>
      <c r="B67" s="18"/>
      <c r="C67" s="4" t="s">
        <v>30</v>
      </c>
      <c r="D67" s="12">
        <v>0</v>
      </c>
      <c r="E67" s="12">
        <v>0</v>
      </c>
    </row>
    <row r="68" spans="1:5" x14ac:dyDescent="0.2">
      <c r="A68" s="18"/>
      <c r="B68" s="18" t="s">
        <v>37</v>
      </c>
      <c r="C68" s="4" t="s">
        <v>28</v>
      </c>
      <c r="D68" s="12">
        <v>0</v>
      </c>
      <c r="E68" s="12">
        <v>0</v>
      </c>
    </row>
    <row r="69" spans="1:5" x14ac:dyDescent="0.2">
      <c r="A69" s="18"/>
      <c r="B69" s="18"/>
      <c r="C69" s="4" t="s">
        <v>29</v>
      </c>
      <c r="D69" s="12">
        <v>0</v>
      </c>
      <c r="E69" s="12">
        <v>0</v>
      </c>
    </row>
    <row r="70" spans="1:5" x14ac:dyDescent="0.2">
      <c r="A70" s="18"/>
      <c r="B70" s="18"/>
      <c r="C70" s="4" t="s">
        <v>30</v>
      </c>
      <c r="D70" s="12">
        <v>0</v>
      </c>
      <c r="E70" s="12">
        <v>0</v>
      </c>
    </row>
    <row r="71" spans="1:5" x14ac:dyDescent="0.2">
      <c r="A71" s="18"/>
      <c r="B71" s="18" t="s">
        <v>39</v>
      </c>
      <c r="C71" s="4" t="s">
        <v>28</v>
      </c>
      <c r="D71" s="12">
        <v>1</v>
      </c>
      <c r="E71" s="12">
        <v>0</v>
      </c>
    </row>
    <row r="72" spans="1:5" x14ac:dyDescent="0.2">
      <c r="A72" s="18"/>
      <c r="B72" s="18"/>
      <c r="C72" s="4" t="s">
        <v>29</v>
      </c>
      <c r="D72" s="12">
        <v>1</v>
      </c>
      <c r="E72" s="12">
        <v>0</v>
      </c>
    </row>
    <row r="73" spans="1:5" x14ac:dyDescent="0.2">
      <c r="A73" s="18"/>
      <c r="B73" s="18"/>
      <c r="C73" s="4" t="s">
        <v>30</v>
      </c>
      <c r="D73" s="12">
        <v>1</v>
      </c>
      <c r="E73" s="12">
        <v>0</v>
      </c>
    </row>
  </sheetData>
  <mergeCells count="26">
    <mergeCell ref="B53:B55"/>
    <mergeCell ref="B56:B58"/>
    <mergeCell ref="B71:B73"/>
    <mergeCell ref="B32:B34"/>
    <mergeCell ref="B68:B70"/>
    <mergeCell ref="B20:B22"/>
    <mergeCell ref="B38:B40"/>
    <mergeCell ref="B41:B43"/>
    <mergeCell ref="B44:B46"/>
    <mergeCell ref="B47:B49"/>
    <mergeCell ref="A38:A73"/>
    <mergeCell ref="B35:B37"/>
    <mergeCell ref="B14:B16"/>
    <mergeCell ref="B50:B52"/>
    <mergeCell ref="B23:B25"/>
    <mergeCell ref="B59:B61"/>
    <mergeCell ref="B65:B67"/>
    <mergeCell ref="B62:B64"/>
    <mergeCell ref="B29:B31"/>
    <mergeCell ref="B26:B28"/>
    <mergeCell ref="A2:A37"/>
    <mergeCell ref="B2:B4"/>
    <mergeCell ref="B5:B7"/>
    <mergeCell ref="B8:B10"/>
    <mergeCell ref="B11:B13"/>
    <mergeCell ref="B17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4E68-F1E8-CB4B-B75B-9B8D6C7378AD}">
  <dimension ref="A1:R25"/>
  <sheetViews>
    <sheetView zoomScale="114" zoomScaleNormal="134" workbookViewId="0">
      <selection activeCell="P25" sqref="P25:R25"/>
    </sheetView>
  </sheetViews>
  <sheetFormatPr baseColWidth="10" defaultRowHeight="16" x14ac:dyDescent="0.2"/>
  <cols>
    <col min="1" max="1" width="6" style="3" bestFit="1" customWidth="1"/>
    <col min="2" max="2" width="15" style="3" bestFit="1" customWidth="1"/>
    <col min="3" max="3" width="10.83203125" style="2" hidden="1" customWidth="1"/>
    <col min="4" max="4" width="5.33203125" style="2" hidden="1" customWidth="1"/>
    <col min="5" max="6" width="13.6640625" style="2" hidden="1" customWidth="1"/>
    <col min="7" max="7" width="15" style="2" hidden="1" customWidth="1"/>
    <col min="8" max="8" width="18.33203125" style="2" hidden="1" customWidth="1"/>
    <col min="9" max="9" width="22.1640625" style="2" hidden="1" customWidth="1"/>
    <col min="10" max="10" width="25.6640625" style="2" hidden="1" customWidth="1"/>
    <col min="11" max="11" width="13.1640625" style="2" bestFit="1" customWidth="1"/>
    <col min="12" max="12" width="15.1640625" style="2" hidden="1" customWidth="1"/>
    <col min="13" max="13" width="16.33203125" style="2" bestFit="1" customWidth="1"/>
    <col min="14" max="14" width="9.33203125" style="2" bestFit="1" customWidth="1"/>
    <col min="15" max="15" width="15.6640625" style="2" hidden="1" customWidth="1"/>
    <col min="16" max="16" width="12.6640625" style="2" bestFit="1" customWidth="1"/>
    <col min="17" max="17" width="12.83203125" style="2" bestFit="1" customWidth="1"/>
    <col min="18" max="18" width="15.6640625" style="2" bestFit="1" customWidth="1"/>
    <col min="19" max="16384" width="10.83203125" style="2"/>
  </cols>
  <sheetData>
    <row r="1" spans="1:18" ht="95" customHeight="1" x14ac:dyDescent="0.2">
      <c r="A1" s="13" t="s">
        <v>2</v>
      </c>
      <c r="B1" s="13" t="s">
        <v>0</v>
      </c>
      <c r="C1" s="14" t="s">
        <v>8</v>
      </c>
      <c r="D1" s="14" t="s">
        <v>9</v>
      </c>
      <c r="E1" s="14" t="s">
        <v>5</v>
      </c>
      <c r="F1" s="14" t="s">
        <v>6</v>
      </c>
      <c r="G1" s="14" t="s">
        <v>7</v>
      </c>
      <c r="H1" s="14" t="s">
        <v>10</v>
      </c>
      <c r="I1" s="14" t="s">
        <v>11</v>
      </c>
      <c r="J1" s="14" t="s">
        <v>12</v>
      </c>
      <c r="K1" s="15" t="s">
        <v>13</v>
      </c>
      <c r="L1" s="15" t="s">
        <v>14</v>
      </c>
      <c r="M1" s="15" t="s">
        <v>15</v>
      </c>
      <c r="N1" s="15" t="s">
        <v>16</v>
      </c>
      <c r="O1" s="15" t="s">
        <v>17</v>
      </c>
      <c r="P1" s="15" t="s">
        <v>18</v>
      </c>
      <c r="Q1" s="15" t="s">
        <v>19</v>
      </c>
      <c r="R1" s="15" t="s">
        <v>20</v>
      </c>
    </row>
    <row r="2" spans="1:18" x14ac:dyDescent="0.2">
      <c r="A2" s="19" t="s">
        <v>4</v>
      </c>
      <c r="B2" s="13" t="s">
        <v>3</v>
      </c>
      <c r="C2" s="7">
        <v>11628.192307692309</v>
      </c>
      <c r="D2" s="7">
        <v>2.6538461538461537</v>
      </c>
      <c r="E2" s="7">
        <v>2146.5711538461542</v>
      </c>
      <c r="F2" s="7">
        <v>2293.5069230769232</v>
      </c>
      <c r="G2" s="7">
        <v>2128.4807692307691</v>
      </c>
      <c r="H2" s="7">
        <v>4.4615384615384626E-2</v>
      </c>
      <c r="I2" s="7">
        <v>0.70807692307692294</v>
      </c>
      <c r="J2" s="7">
        <v>0.77038461538461545</v>
      </c>
      <c r="K2" s="7">
        <v>0.88961538461538481</v>
      </c>
      <c r="L2" s="7">
        <v>1</v>
      </c>
      <c r="M2" s="7">
        <v>0.93543956043956067</v>
      </c>
      <c r="N2" s="7">
        <v>0.96771978021978</v>
      </c>
      <c r="O2" s="7">
        <v>0.3525763125763125</v>
      </c>
      <c r="P2" s="7">
        <v>0.90909090909090906</v>
      </c>
      <c r="Q2" s="7">
        <v>0.78787878787878785</v>
      </c>
      <c r="R2" s="7">
        <v>0.90909090909090906</v>
      </c>
    </row>
    <row r="3" spans="1:18" x14ac:dyDescent="0.2">
      <c r="A3" s="19"/>
      <c r="B3" s="13" t="s">
        <v>24</v>
      </c>
      <c r="C3" s="7">
        <v>3629.3076923076924</v>
      </c>
      <c r="D3" s="7">
        <v>4.2692307692307692</v>
      </c>
      <c r="E3" s="7">
        <v>901.50115384615378</v>
      </c>
      <c r="F3" s="7">
        <v>994.53846153846121</v>
      </c>
      <c r="G3" s="7">
        <v>911.37999999999988</v>
      </c>
      <c r="H3" s="7">
        <v>4.0384615384615394E-2</v>
      </c>
      <c r="I3" s="7">
        <v>0.71269230769230774</v>
      </c>
      <c r="J3" s="7">
        <v>0.77307692307692311</v>
      </c>
      <c r="K3" s="7">
        <v>0.87360000000000004</v>
      </c>
      <c r="L3" s="7">
        <v>1</v>
      </c>
      <c r="M3" s="7">
        <v>0.84903846153846163</v>
      </c>
      <c r="N3" s="7">
        <v>0.92451923076923082</v>
      </c>
      <c r="O3" s="7">
        <v>0.34639316239316248</v>
      </c>
      <c r="P3" s="7">
        <v>0.81818181818181823</v>
      </c>
      <c r="Q3" s="7">
        <v>0.78787878787878785</v>
      </c>
      <c r="R3" s="7">
        <v>0.81818181818181823</v>
      </c>
    </row>
    <row r="4" spans="1:18" x14ac:dyDescent="0.2">
      <c r="A4" s="19"/>
      <c r="B4" s="13" t="s">
        <v>22</v>
      </c>
      <c r="C4" s="7">
        <v>495</v>
      </c>
      <c r="D4" s="7">
        <v>2.75</v>
      </c>
      <c r="E4" s="7">
        <v>660.84</v>
      </c>
      <c r="F4" s="7">
        <v>695.40750000000003</v>
      </c>
      <c r="G4" s="7">
        <v>670.34249999999997</v>
      </c>
      <c r="H4" s="7">
        <v>0.04</v>
      </c>
      <c r="I4" s="7">
        <v>0.7</v>
      </c>
      <c r="J4" s="7">
        <v>0.77</v>
      </c>
      <c r="K4" s="7">
        <v>0.91749999999999998</v>
      </c>
      <c r="L4" s="7">
        <v>1</v>
      </c>
      <c r="M4" s="7">
        <v>0.9375</v>
      </c>
      <c r="N4" s="7">
        <v>0.96875</v>
      </c>
      <c r="O4" s="7">
        <v>0.37784722222222217</v>
      </c>
      <c r="P4" s="7">
        <v>0.18181818181818182</v>
      </c>
      <c r="Q4" s="7">
        <v>0.12121212121212122</v>
      </c>
      <c r="R4" s="7">
        <v>0.18181818181818182</v>
      </c>
    </row>
    <row r="5" spans="1:18" x14ac:dyDescent="0.2">
      <c r="A5" s="19"/>
      <c r="B5" s="13" t="s">
        <v>23</v>
      </c>
      <c r="C5" s="7">
        <v>8120.08</v>
      </c>
      <c r="D5" s="7">
        <v>2.84</v>
      </c>
      <c r="E5" s="7">
        <v>281.55200000000002</v>
      </c>
      <c r="F5" s="7">
        <v>307.95920000000001</v>
      </c>
      <c r="G5" s="7">
        <v>285.02119999999996</v>
      </c>
      <c r="H5" s="7">
        <v>4.5999999999999999E-2</v>
      </c>
      <c r="I5" s="7">
        <v>0.73480000000000001</v>
      </c>
      <c r="J5" s="7">
        <v>0.7712</v>
      </c>
      <c r="K5" s="7">
        <v>0.91086956521739126</v>
      </c>
      <c r="L5" s="7">
        <v>1</v>
      </c>
      <c r="M5" s="7">
        <v>0.77952380952380962</v>
      </c>
      <c r="N5" s="7">
        <v>0.88976190476190453</v>
      </c>
      <c r="O5" s="7">
        <v>0.30717936507936494</v>
      </c>
      <c r="P5" s="7">
        <v>0.93939393939393945</v>
      </c>
      <c r="Q5" s="7">
        <v>0.75757575757575757</v>
      </c>
      <c r="R5" s="7">
        <v>0.93939393939393945</v>
      </c>
    </row>
    <row r="6" spans="1:18" x14ac:dyDescent="0.2">
      <c r="A6" s="19"/>
      <c r="B6" s="13" t="s">
        <v>25</v>
      </c>
      <c r="C6" s="7">
        <v>18</v>
      </c>
      <c r="D6" s="7">
        <v>2</v>
      </c>
      <c r="E6" s="7">
        <v>15.219999999999999</v>
      </c>
      <c r="F6" s="7">
        <v>23.09</v>
      </c>
      <c r="G6" s="7">
        <v>16.344999999999999</v>
      </c>
      <c r="H6" s="7">
        <v>0.02</v>
      </c>
      <c r="I6" s="7">
        <v>0.66500000000000004</v>
      </c>
      <c r="J6" s="7">
        <v>0.78499999999999992</v>
      </c>
      <c r="K6" s="7">
        <v>0.91999999999999993</v>
      </c>
      <c r="L6" s="7">
        <v>1</v>
      </c>
      <c r="M6" s="7">
        <v>0.33333333333333337</v>
      </c>
      <c r="N6" s="7">
        <v>0.66666666666666674</v>
      </c>
      <c r="O6" s="7">
        <v>0.29888888888888887</v>
      </c>
      <c r="P6" s="7">
        <v>0.42424242424242425</v>
      </c>
      <c r="Q6" s="7">
        <v>6.0606060606060608E-2</v>
      </c>
      <c r="R6" s="7">
        <v>0.42424242424242425</v>
      </c>
    </row>
    <row r="7" spans="1:18" x14ac:dyDescent="0.2">
      <c r="A7" s="19"/>
      <c r="B7" s="13" t="s">
        <v>34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0.12121212121212122</v>
      </c>
      <c r="Q7" s="7">
        <v>0</v>
      </c>
      <c r="R7" s="7">
        <v>0.12121212121212122</v>
      </c>
    </row>
    <row r="8" spans="1:18" x14ac:dyDescent="0.2">
      <c r="A8" s="19"/>
      <c r="B8" s="13" t="s">
        <v>26</v>
      </c>
      <c r="C8" s="7">
        <v>186</v>
      </c>
      <c r="D8" s="7">
        <v>0</v>
      </c>
      <c r="E8" s="7">
        <v>13.67</v>
      </c>
      <c r="F8" s="7">
        <v>21.35</v>
      </c>
      <c r="G8" s="7">
        <v>16.170000000000002</v>
      </c>
      <c r="H8" s="7">
        <v>0.08</v>
      </c>
      <c r="I8" s="7">
        <v>0.6</v>
      </c>
      <c r="J8" s="7">
        <v>0.7</v>
      </c>
      <c r="K8" s="7">
        <v>0</v>
      </c>
      <c r="L8" s="7">
        <v>1</v>
      </c>
      <c r="M8" s="7">
        <v>1</v>
      </c>
      <c r="N8" s="7">
        <v>1</v>
      </c>
      <c r="O8" s="7">
        <v>0.5</v>
      </c>
      <c r="P8" s="7">
        <v>0.15151515151515152</v>
      </c>
      <c r="Q8" s="7">
        <v>3.0303030303030304E-2</v>
      </c>
      <c r="R8" s="7">
        <v>0.15151515151515152</v>
      </c>
    </row>
    <row r="9" spans="1:18" x14ac:dyDescent="0.2">
      <c r="A9" s="19"/>
      <c r="B9" s="13" t="s">
        <v>35</v>
      </c>
      <c r="C9" s="9">
        <v>6298.75</v>
      </c>
      <c r="D9" s="9">
        <v>3</v>
      </c>
      <c r="E9" s="9">
        <v>10531.74</v>
      </c>
      <c r="F9" s="9">
        <v>10965.487499999999</v>
      </c>
      <c r="G9" s="9">
        <v>10598.7925</v>
      </c>
      <c r="H9" s="9">
        <v>7.2499999999999995E-2</v>
      </c>
      <c r="I9" s="9">
        <v>0.71</v>
      </c>
      <c r="J9" s="9">
        <v>0.75499999999999989</v>
      </c>
      <c r="K9" s="9">
        <v>0.95499999999999996</v>
      </c>
      <c r="L9" s="9">
        <v>1</v>
      </c>
      <c r="M9" s="9">
        <v>0.75</v>
      </c>
      <c r="N9" s="9">
        <v>0.875</v>
      </c>
      <c r="O9" s="9">
        <v>0.19</v>
      </c>
      <c r="P9" s="9">
        <v>0.5757575757575758</v>
      </c>
      <c r="Q9" s="9">
        <v>0.12121212121212122</v>
      </c>
      <c r="R9" s="9">
        <v>0.5757575757575758</v>
      </c>
    </row>
    <row r="10" spans="1:18" x14ac:dyDescent="0.2">
      <c r="A10" s="19"/>
      <c r="B10" s="13" t="s">
        <v>27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3.0303030303030304E-2</v>
      </c>
      <c r="Q10" s="9">
        <v>0</v>
      </c>
      <c r="R10" s="9">
        <v>3.0303030303030304E-2</v>
      </c>
    </row>
    <row r="11" spans="1:18" x14ac:dyDescent="0.2">
      <c r="A11" s="19"/>
      <c r="B11" s="13" t="s">
        <v>36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3.0303030303030304E-2</v>
      </c>
      <c r="Q11" s="9">
        <v>0</v>
      </c>
      <c r="R11" s="9">
        <v>3.0303030303030304E-2</v>
      </c>
    </row>
    <row r="12" spans="1:18" x14ac:dyDescent="0.2">
      <c r="A12" s="19"/>
      <c r="B12" s="13" t="s">
        <v>37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9"/>
      <c r="B13" s="13" t="s">
        <v>39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 x14ac:dyDescent="0.2">
      <c r="A14" s="19" t="s">
        <v>21</v>
      </c>
      <c r="B14" s="13" t="s">
        <v>3</v>
      </c>
      <c r="C14" s="7">
        <v>5285.8461538461543</v>
      </c>
      <c r="D14" s="7">
        <v>2.6538461538461537</v>
      </c>
      <c r="E14" s="7">
        <v>1327.7115384615386</v>
      </c>
      <c r="F14" s="7">
        <v>1353.4303846153848</v>
      </c>
      <c r="G14" s="7">
        <v>1333.1003846153847</v>
      </c>
      <c r="H14" s="7">
        <v>4.7307692307692321E-2</v>
      </c>
      <c r="I14" s="7">
        <v>0.69807692307692315</v>
      </c>
      <c r="J14" s="7">
        <v>0.75615384615384607</v>
      </c>
      <c r="K14" s="7">
        <v>0.74730769230769245</v>
      </c>
      <c r="L14" s="7">
        <v>1</v>
      </c>
      <c r="M14" s="7">
        <v>0.93543956043956067</v>
      </c>
      <c r="N14" s="7">
        <v>0.96771978021978</v>
      </c>
      <c r="O14" s="7">
        <v>0.55804181929181929</v>
      </c>
      <c r="P14" s="7">
        <v>0.93939393939393945</v>
      </c>
      <c r="Q14" s="7">
        <v>0.78787878787878785</v>
      </c>
      <c r="R14" s="7">
        <v>0.93939393939393945</v>
      </c>
    </row>
    <row r="15" spans="1:18" x14ac:dyDescent="0.2">
      <c r="A15" s="19"/>
      <c r="B15" s="13" t="s">
        <v>24</v>
      </c>
      <c r="C15" s="9">
        <v>3670.8620689655172</v>
      </c>
      <c r="D15" s="9">
        <v>4.2413793103448274</v>
      </c>
      <c r="E15" s="9">
        <v>1728.9227586206898</v>
      </c>
      <c r="F15" s="9">
        <v>1916.6382758620693</v>
      </c>
      <c r="G15" s="9">
        <v>1784.2010344827584</v>
      </c>
      <c r="H15" s="9">
        <v>3.8620689655172423E-2</v>
      </c>
      <c r="I15" s="9">
        <v>0.70724137931034492</v>
      </c>
      <c r="J15" s="9">
        <v>0.75620689655172424</v>
      </c>
      <c r="K15" s="9">
        <v>0.74413793103448256</v>
      </c>
      <c r="L15" s="9">
        <v>1</v>
      </c>
      <c r="M15" s="9">
        <v>0.90418719211822685</v>
      </c>
      <c r="N15" s="9">
        <v>0.95209359605911337</v>
      </c>
      <c r="O15" s="9">
        <v>0.5579538405400476</v>
      </c>
      <c r="P15" s="9">
        <v>0.87878787878787878</v>
      </c>
      <c r="Q15" s="9">
        <v>0.87878787878787878</v>
      </c>
      <c r="R15" s="9">
        <v>0.87878787878787878</v>
      </c>
    </row>
    <row r="16" spans="1:18" x14ac:dyDescent="0.2">
      <c r="A16" s="19"/>
      <c r="B16" s="13" t="s">
        <v>22</v>
      </c>
      <c r="C16" s="9">
        <v>1888.3333333333333</v>
      </c>
      <c r="D16" s="9">
        <v>2.3333333333333335</v>
      </c>
      <c r="E16" s="9">
        <v>72.951666666666668</v>
      </c>
      <c r="F16" s="9">
        <v>76.720000000000013</v>
      </c>
      <c r="G16" s="9">
        <v>73.309999999999988</v>
      </c>
      <c r="H16" s="9">
        <v>5.6666666666666664E-2</v>
      </c>
      <c r="I16" s="9">
        <v>0.71333333333333326</v>
      </c>
      <c r="J16" s="9">
        <v>0.7616666666666666</v>
      </c>
      <c r="K16" s="9">
        <v>0.69833333333333336</v>
      </c>
      <c r="L16" s="9">
        <v>1</v>
      </c>
      <c r="M16" s="9">
        <v>1</v>
      </c>
      <c r="N16" s="9">
        <v>1</v>
      </c>
      <c r="O16" s="9">
        <v>0.65157407407407408</v>
      </c>
      <c r="P16" s="9">
        <v>0.42424242424242425</v>
      </c>
      <c r="Q16" s="9">
        <v>0.18181818181818182</v>
      </c>
      <c r="R16" s="9">
        <v>0.42424242424242425</v>
      </c>
    </row>
    <row r="17" spans="1:18" x14ac:dyDescent="0.2">
      <c r="A17" s="19"/>
      <c r="B17" s="13" t="s">
        <v>23</v>
      </c>
      <c r="C17" s="7">
        <v>1569.75</v>
      </c>
      <c r="D17" s="7">
        <v>2.5</v>
      </c>
      <c r="E17" s="7">
        <v>336.82541666666663</v>
      </c>
      <c r="F17" s="7">
        <v>343.20166666666665</v>
      </c>
      <c r="G17" s="7">
        <v>336.43041666666664</v>
      </c>
      <c r="H17" s="7">
        <v>6.5833333333333327E-2</v>
      </c>
      <c r="I17" s="7">
        <v>0.71708333333333352</v>
      </c>
      <c r="J17" s="7">
        <v>0.77874999999999994</v>
      </c>
      <c r="K17" s="7">
        <v>0.74227272727272731</v>
      </c>
      <c r="L17" s="7">
        <v>1</v>
      </c>
      <c r="M17" s="7">
        <v>0.82638888888888917</v>
      </c>
      <c r="N17" s="7">
        <v>0.9131944444444442</v>
      </c>
      <c r="O17" s="7">
        <v>0.57652777777777775</v>
      </c>
      <c r="P17" s="7">
        <v>0.93939393939393945</v>
      </c>
      <c r="Q17" s="7">
        <v>0.72727272727272729</v>
      </c>
      <c r="R17" s="7">
        <v>0.93939393939393945</v>
      </c>
    </row>
    <row r="18" spans="1:18" x14ac:dyDescent="0.2">
      <c r="A18" s="19"/>
      <c r="B18" s="13" t="s">
        <v>25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9"/>
      <c r="B19" s="13" t="s">
        <v>34</v>
      </c>
      <c r="C19" s="7">
        <v>18905</v>
      </c>
      <c r="D19" s="7">
        <v>1</v>
      </c>
      <c r="E19" s="7">
        <v>264.68</v>
      </c>
      <c r="F19" s="7">
        <v>275.25</v>
      </c>
      <c r="G19" s="7">
        <v>267.89</v>
      </c>
      <c r="H19" s="7">
        <v>0</v>
      </c>
      <c r="I19" s="7">
        <v>0.61</v>
      </c>
      <c r="J19" s="7">
        <v>0.65</v>
      </c>
      <c r="K19" s="7">
        <v>1</v>
      </c>
      <c r="L19" s="7">
        <v>1</v>
      </c>
      <c r="M19" s="7">
        <v>0</v>
      </c>
      <c r="N19" s="7">
        <v>0.5</v>
      </c>
      <c r="O19" s="7">
        <v>0.33333333333333331</v>
      </c>
      <c r="P19" s="7">
        <v>0.21212121212121213</v>
      </c>
      <c r="Q19" s="7">
        <v>3.0303030303030304E-2</v>
      </c>
      <c r="R19" s="7">
        <v>0.21212121212121213</v>
      </c>
    </row>
    <row r="20" spans="1:18" x14ac:dyDescent="0.2">
      <c r="A20" s="19"/>
      <c r="B20" s="13" t="s">
        <v>26</v>
      </c>
      <c r="C20" s="9">
        <v>250609.66666666666</v>
      </c>
      <c r="D20" s="9">
        <v>0.16666666666666666</v>
      </c>
      <c r="E20" s="9">
        <v>6301.0216666666665</v>
      </c>
      <c r="F20" s="9">
        <v>6549.5099999999993</v>
      </c>
      <c r="G20" s="9">
        <v>6354.7750000000005</v>
      </c>
      <c r="H20" s="9">
        <v>6.6666666666666671E-3</v>
      </c>
      <c r="I20" s="9">
        <v>0.59166666666666667</v>
      </c>
      <c r="J20" s="9">
        <v>0.68</v>
      </c>
      <c r="K20" s="9">
        <v>0.53</v>
      </c>
      <c r="L20" s="9">
        <v>1</v>
      </c>
      <c r="M20" s="9">
        <v>1</v>
      </c>
      <c r="N20" s="9">
        <v>1</v>
      </c>
      <c r="O20" s="9">
        <v>0.55388888888888888</v>
      </c>
      <c r="P20" s="9">
        <v>0.24242424242424243</v>
      </c>
      <c r="Q20" s="9">
        <v>0.18181818181818182</v>
      </c>
      <c r="R20" s="9">
        <v>0.24242424242424243</v>
      </c>
    </row>
    <row r="21" spans="1:18" x14ac:dyDescent="0.2">
      <c r="A21" s="19"/>
      <c r="B21" s="13" t="s">
        <v>35</v>
      </c>
      <c r="C21" s="9">
        <v>1067.5</v>
      </c>
      <c r="D21" s="9">
        <v>0.75</v>
      </c>
      <c r="E21" s="9">
        <v>62.447500000000005</v>
      </c>
      <c r="F21" s="9">
        <v>67.3125</v>
      </c>
      <c r="G21" s="9">
        <v>61.634999999999991</v>
      </c>
      <c r="H21" s="9">
        <v>0</v>
      </c>
      <c r="I21" s="9">
        <v>0.63</v>
      </c>
      <c r="J21" s="9">
        <v>0.7024999999999999</v>
      </c>
      <c r="K21" s="9">
        <v>0.59499999999999997</v>
      </c>
      <c r="L21" s="9">
        <v>1</v>
      </c>
      <c r="M21" s="9">
        <v>1</v>
      </c>
      <c r="N21" s="9">
        <v>1</v>
      </c>
      <c r="O21" s="9">
        <v>0.62916666666666676</v>
      </c>
      <c r="P21" s="9">
        <v>0.48484848484848486</v>
      </c>
      <c r="Q21" s="9">
        <v>0.12121212121212122</v>
      </c>
      <c r="R21" s="9">
        <v>0.48484848484848486</v>
      </c>
    </row>
    <row r="22" spans="1:18" x14ac:dyDescent="0.2">
      <c r="A22" s="19"/>
      <c r="B22" s="13" t="s">
        <v>27</v>
      </c>
      <c r="C22" s="7">
        <v>5.5</v>
      </c>
      <c r="D22" s="7">
        <v>1</v>
      </c>
      <c r="E22" s="7">
        <v>17.465000000000003</v>
      </c>
      <c r="F22" s="7">
        <v>17.715</v>
      </c>
      <c r="G22" s="7">
        <v>15.975</v>
      </c>
      <c r="H22" s="7">
        <v>0</v>
      </c>
      <c r="I22" s="7">
        <v>0.68500000000000005</v>
      </c>
      <c r="J22" s="7">
        <v>0.72</v>
      </c>
      <c r="K22" s="7">
        <v>0.66500000000000004</v>
      </c>
      <c r="L22" s="7">
        <v>1</v>
      </c>
      <c r="M22" s="7">
        <v>1</v>
      </c>
      <c r="N22" s="7">
        <v>1</v>
      </c>
      <c r="O22" s="7">
        <v>0.44500000000000001</v>
      </c>
      <c r="P22" s="7">
        <v>0.15151515151515152</v>
      </c>
      <c r="Q22" s="7">
        <v>6.0606060606060608E-2</v>
      </c>
      <c r="R22" s="7">
        <v>0.15151515151515152</v>
      </c>
    </row>
    <row r="23" spans="1:18" x14ac:dyDescent="0.2">
      <c r="A23" s="19"/>
      <c r="B23" s="13" t="s">
        <v>36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</row>
    <row r="24" spans="1:18" x14ac:dyDescent="0.2">
      <c r="A24" s="19"/>
      <c r="B24" s="13" t="s">
        <v>37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</row>
    <row r="25" spans="1:18" x14ac:dyDescent="0.2">
      <c r="A25" s="19"/>
      <c r="B25" s="13" t="s">
        <v>39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9.0909090909090912E-2</v>
      </c>
      <c r="Q25" s="7">
        <v>0</v>
      </c>
      <c r="R25" s="7">
        <v>9.0909090909090912E-2</v>
      </c>
    </row>
  </sheetData>
  <mergeCells count="2">
    <mergeCell ref="A2:A13"/>
    <mergeCell ref="A14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614D-86FE-4542-9380-6C50054CB18B}">
  <dimension ref="A1:S73"/>
  <sheetViews>
    <sheetView topLeftCell="A37" zoomScale="85" workbookViewId="0">
      <selection activeCell="T68" sqref="T68"/>
    </sheetView>
  </sheetViews>
  <sheetFormatPr baseColWidth="10" defaultRowHeight="16" x14ac:dyDescent="0.2"/>
  <cols>
    <col min="1" max="1" width="5.6640625" style="3" bestFit="1" customWidth="1"/>
    <col min="2" max="2" width="11.6640625" style="3" bestFit="1" customWidth="1"/>
    <col min="3" max="3" width="10.83203125" style="2"/>
    <col min="4" max="5" width="13.6640625" style="2" hidden="1" customWidth="1"/>
    <col min="6" max="6" width="15" style="2" hidden="1" customWidth="1"/>
    <col min="7" max="8" width="12.1640625" style="2" hidden="1" customWidth="1"/>
    <col min="9" max="9" width="18.33203125" style="2" hidden="1" customWidth="1"/>
    <col min="10" max="10" width="22.1640625" style="2" hidden="1" customWidth="1"/>
    <col min="11" max="11" width="25.6640625" style="2" hidden="1" customWidth="1"/>
    <col min="12" max="12" width="13.1640625" style="2" bestFit="1" customWidth="1"/>
    <col min="13" max="13" width="16.33203125" style="2" hidden="1" customWidth="1"/>
    <col min="14" max="14" width="22.33203125" style="2" bestFit="1" customWidth="1"/>
    <col min="15" max="15" width="9.33203125" style="2" customWidth="1"/>
    <col min="16" max="16" width="20.83203125" style="2" hidden="1" customWidth="1"/>
    <col min="17" max="17" width="12.6640625" style="2" bestFit="1" customWidth="1"/>
    <col min="18" max="18" width="12.83203125" style="2" bestFit="1" customWidth="1"/>
    <col min="19" max="19" width="15.6640625" style="2" bestFit="1" customWidth="1"/>
    <col min="20" max="16384" width="10.83203125" style="2"/>
  </cols>
  <sheetData>
    <row r="1" spans="1:19" x14ac:dyDescent="0.2">
      <c r="A1" s="13" t="s">
        <v>2</v>
      </c>
      <c r="B1" s="13" t="s">
        <v>0</v>
      </c>
      <c r="C1" s="13" t="s">
        <v>1</v>
      </c>
      <c r="D1" s="14" t="s">
        <v>8</v>
      </c>
      <c r="E1" s="14" t="s">
        <v>9</v>
      </c>
      <c r="F1" s="14" t="s">
        <v>5</v>
      </c>
      <c r="G1" s="14" t="s">
        <v>6</v>
      </c>
      <c r="H1" s="14" t="s">
        <v>7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</row>
    <row r="2" spans="1:19" x14ac:dyDescent="0.2">
      <c r="A2" s="19" t="s">
        <v>4</v>
      </c>
      <c r="B2" s="19" t="s">
        <v>3</v>
      </c>
      <c r="C2" s="13" t="s">
        <v>28</v>
      </c>
      <c r="D2" s="9">
        <v>10956.363636363636</v>
      </c>
      <c r="E2" s="9">
        <v>2.1818181818181817</v>
      </c>
      <c r="F2" s="9">
        <v>3876.9081818181821</v>
      </c>
      <c r="G2" s="9">
        <v>4024.6172727272728</v>
      </c>
      <c r="H2" s="9">
        <v>3776.4345454545455</v>
      </c>
      <c r="I2" s="9">
        <v>3.2727272727272723E-2</v>
      </c>
      <c r="J2" s="9">
        <v>0.70909090909090911</v>
      </c>
      <c r="K2" s="9">
        <v>0.76727272727272722</v>
      </c>
      <c r="L2" s="9">
        <v>0.88818181818181818</v>
      </c>
      <c r="M2" s="9">
        <v>1</v>
      </c>
      <c r="N2" s="9">
        <v>1</v>
      </c>
      <c r="O2" s="9">
        <v>1</v>
      </c>
      <c r="P2" s="9">
        <v>0.29128787878787876</v>
      </c>
      <c r="Q2" s="9">
        <v>1</v>
      </c>
      <c r="R2" s="9">
        <v>0.91666666666666663</v>
      </c>
      <c r="S2" s="9">
        <v>1</v>
      </c>
    </row>
    <row r="3" spans="1:19" x14ac:dyDescent="0.2">
      <c r="A3" s="19"/>
      <c r="B3" s="19"/>
      <c r="C3" s="13" t="s">
        <v>29</v>
      </c>
      <c r="D3" s="9">
        <v>21981</v>
      </c>
      <c r="E3" s="9">
        <v>2.25</v>
      </c>
      <c r="F3" s="9">
        <v>1343.0237500000001</v>
      </c>
      <c r="G3" s="9">
        <v>1600.7087500000002</v>
      </c>
      <c r="H3" s="9">
        <v>1419.0475000000001</v>
      </c>
      <c r="I3" s="9">
        <v>7.8750000000000014E-2</v>
      </c>
      <c r="J3" s="9">
        <v>0.69375000000000009</v>
      </c>
      <c r="K3" s="9">
        <v>0.77374999999999994</v>
      </c>
      <c r="L3" s="9">
        <v>0.86499999999999999</v>
      </c>
      <c r="M3" s="9">
        <v>1</v>
      </c>
      <c r="N3" s="9">
        <v>0.96875</v>
      </c>
      <c r="O3" s="9">
        <v>0.984375</v>
      </c>
      <c r="P3" s="9">
        <v>0.43135416666666665</v>
      </c>
      <c r="Q3" s="9">
        <v>0.90909090909090906</v>
      </c>
      <c r="R3" s="9">
        <v>0.72727272727272729</v>
      </c>
      <c r="S3" s="9">
        <v>0.90909090909090906</v>
      </c>
    </row>
    <row r="4" spans="1:19" x14ac:dyDescent="0.2">
      <c r="A4" s="19"/>
      <c r="B4" s="19"/>
      <c r="C4" s="13" t="s">
        <v>30</v>
      </c>
      <c r="D4" s="9">
        <v>852.14285714285711</v>
      </c>
      <c r="E4" s="9">
        <v>3.8571428571428572</v>
      </c>
      <c r="F4" s="9">
        <v>345.80999999999995</v>
      </c>
      <c r="G4" s="9">
        <v>364.96</v>
      </c>
      <c r="H4" s="9">
        <v>349.62</v>
      </c>
      <c r="I4" s="9">
        <v>2.4285714285714282E-2</v>
      </c>
      <c r="J4" s="9">
        <v>0.72285714285714275</v>
      </c>
      <c r="K4" s="9">
        <v>0.77142857142857146</v>
      </c>
      <c r="L4" s="9">
        <v>0.92</v>
      </c>
      <c r="M4" s="9">
        <v>1</v>
      </c>
      <c r="N4" s="9">
        <v>0.79591836734693877</v>
      </c>
      <c r="O4" s="9">
        <v>0.89795918367346939</v>
      </c>
      <c r="P4" s="9">
        <v>0.35885487528344667</v>
      </c>
      <c r="Q4" s="9">
        <v>0.8</v>
      </c>
      <c r="R4" s="9">
        <v>0.7</v>
      </c>
      <c r="S4" s="9">
        <v>0.8</v>
      </c>
    </row>
    <row r="5" spans="1:19" x14ac:dyDescent="0.2">
      <c r="A5" s="19"/>
      <c r="B5" s="19" t="s">
        <v>24</v>
      </c>
      <c r="C5" s="13" t="s">
        <v>28</v>
      </c>
      <c r="D5" s="9">
        <v>200.8</v>
      </c>
      <c r="E5" s="9">
        <v>3.6</v>
      </c>
      <c r="F5" s="9">
        <v>86.625999999999991</v>
      </c>
      <c r="G5" s="9">
        <v>162.78599999999997</v>
      </c>
      <c r="H5" s="9">
        <v>109.748</v>
      </c>
      <c r="I5" s="9">
        <v>2.4E-2</v>
      </c>
      <c r="J5" s="9">
        <v>0.70700000000000007</v>
      </c>
      <c r="K5" s="9">
        <v>0.76600000000000013</v>
      </c>
      <c r="L5" s="9">
        <v>0.90900000000000003</v>
      </c>
      <c r="M5" s="9">
        <v>1</v>
      </c>
      <c r="N5" s="9">
        <v>0.90999999999999992</v>
      </c>
      <c r="O5" s="9">
        <v>0.95500000000000007</v>
      </c>
      <c r="P5" s="9">
        <v>0.22624444444444441</v>
      </c>
      <c r="Q5" s="9">
        <v>0.83333333333333337</v>
      </c>
      <c r="R5" s="9">
        <v>0.83333333333333337</v>
      </c>
      <c r="S5" s="9">
        <v>0.83333333333333337</v>
      </c>
    </row>
    <row r="6" spans="1:19" x14ac:dyDescent="0.2">
      <c r="A6" s="19"/>
      <c r="B6" s="19"/>
      <c r="C6" s="13" t="s">
        <v>29</v>
      </c>
      <c r="D6" s="9">
        <v>6127.25</v>
      </c>
      <c r="E6" s="9">
        <v>3.875</v>
      </c>
      <c r="F6" s="9">
        <v>792.47249999999997</v>
      </c>
      <c r="G6" s="9">
        <v>885.88625000000002</v>
      </c>
      <c r="H6" s="9">
        <v>820.02500000000009</v>
      </c>
      <c r="I6" s="9">
        <v>5.7499999999999996E-2</v>
      </c>
      <c r="J6" s="9">
        <v>0.72249999999999992</v>
      </c>
      <c r="K6" s="9">
        <v>0.77500000000000002</v>
      </c>
      <c r="L6" s="9">
        <v>0.84499999999999997</v>
      </c>
      <c r="M6" s="9">
        <v>1</v>
      </c>
      <c r="N6" s="9">
        <v>0.875</v>
      </c>
      <c r="O6" s="9">
        <v>0.9375</v>
      </c>
      <c r="P6" s="9">
        <v>0.46309027777777773</v>
      </c>
      <c r="Q6" s="9">
        <v>0.81818181818181823</v>
      </c>
      <c r="R6" s="9">
        <v>0.72727272727272729</v>
      </c>
      <c r="S6" s="9">
        <v>0.81818181818181823</v>
      </c>
    </row>
    <row r="7" spans="1:19" x14ac:dyDescent="0.2">
      <c r="A7" s="19"/>
      <c r="B7" s="19"/>
      <c r="C7" s="13" t="s">
        <v>30</v>
      </c>
      <c r="D7" s="9">
        <v>5417</v>
      </c>
      <c r="E7" s="9">
        <v>5.5</v>
      </c>
      <c r="F7" s="9">
        <v>2029.1237500000002</v>
      </c>
      <c r="G7" s="9">
        <v>2142.8812499999999</v>
      </c>
      <c r="H7" s="9">
        <v>2004.7750000000001</v>
      </c>
      <c r="I7" s="9">
        <v>4.3750000000000004E-2</v>
      </c>
      <c r="J7" s="9">
        <v>0.71</v>
      </c>
      <c r="K7" s="9">
        <v>0.78</v>
      </c>
      <c r="L7" s="9">
        <v>0.85571428571428565</v>
      </c>
      <c r="M7" s="9">
        <v>1</v>
      </c>
      <c r="N7" s="9">
        <v>0.74687499999999996</v>
      </c>
      <c r="O7" s="9">
        <v>0.87343749999999998</v>
      </c>
      <c r="P7" s="9">
        <v>0.37988194444444445</v>
      </c>
      <c r="Q7" s="9">
        <v>0.8</v>
      </c>
      <c r="R7" s="9">
        <v>0.8</v>
      </c>
      <c r="S7" s="9">
        <v>0.8</v>
      </c>
    </row>
    <row r="8" spans="1:19" x14ac:dyDescent="0.2">
      <c r="A8" s="19"/>
      <c r="B8" s="19" t="s">
        <v>22</v>
      </c>
      <c r="C8" s="13" t="s">
        <v>28</v>
      </c>
      <c r="D8" s="9">
        <v>179</v>
      </c>
      <c r="E8" s="9">
        <v>2</v>
      </c>
      <c r="F8" s="9">
        <v>1100.0550000000001</v>
      </c>
      <c r="G8" s="9">
        <v>1103.72</v>
      </c>
      <c r="H8" s="9">
        <v>1099.46</v>
      </c>
      <c r="I8" s="9">
        <v>0.08</v>
      </c>
      <c r="J8" s="9">
        <v>0.66999999999999993</v>
      </c>
      <c r="K8" s="9">
        <v>0.78500000000000003</v>
      </c>
      <c r="L8" s="9">
        <v>0.85</v>
      </c>
      <c r="M8" s="9">
        <v>1</v>
      </c>
      <c r="N8" s="9">
        <v>1</v>
      </c>
      <c r="O8" s="9">
        <v>1</v>
      </c>
      <c r="P8" s="9">
        <v>0.35583333333333328</v>
      </c>
      <c r="Q8" s="9">
        <v>0.25</v>
      </c>
      <c r="R8" s="9">
        <v>0.16666666666666666</v>
      </c>
      <c r="S8" s="9">
        <v>0.25</v>
      </c>
    </row>
    <row r="9" spans="1:19" x14ac:dyDescent="0.2">
      <c r="A9" s="19"/>
      <c r="B9" s="19"/>
      <c r="C9" s="13" t="s">
        <v>29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x14ac:dyDescent="0.2">
      <c r="A10" s="19"/>
      <c r="B10" s="19"/>
      <c r="C10" s="13" t="s">
        <v>30</v>
      </c>
      <c r="D10" s="9">
        <v>811</v>
      </c>
      <c r="E10" s="9">
        <v>3.5</v>
      </c>
      <c r="F10" s="9">
        <v>221.625</v>
      </c>
      <c r="G10" s="9">
        <v>287.09500000000003</v>
      </c>
      <c r="H10" s="9">
        <v>241.22499999999999</v>
      </c>
      <c r="I10" s="9">
        <v>0</v>
      </c>
      <c r="J10" s="9">
        <v>0.73</v>
      </c>
      <c r="K10" s="9">
        <v>0.755</v>
      </c>
      <c r="L10" s="9">
        <v>0.98499999999999999</v>
      </c>
      <c r="M10" s="9">
        <v>1</v>
      </c>
      <c r="N10" s="9">
        <v>0.875</v>
      </c>
      <c r="O10" s="9">
        <v>0.9375</v>
      </c>
      <c r="P10" s="9">
        <v>0.39986111111111106</v>
      </c>
      <c r="Q10" s="9">
        <v>0.3</v>
      </c>
      <c r="R10" s="9">
        <v>0.2</v>
      </c>
      <c r="S10" s="9">
        <v>0.3</v>
      </c>
    </row>
    <row r="11" spans="1:19" x14ac:dyDescent="0.2">
      <c r="A11" s="19"/>
      <c r="B11" s="19" t="s">
        <v>23</v>
      </c>
      <c r="C11" s="13" t="s">
        <v>28</v>
      </c>
      <c r="D11" s="9">
        <v>759.85714285714289</v>
      </c>
      <c r="E11" s="9">
        <v>1.8571428571428572</v>
      </c>
      <c r="F11" s="9">
        <v>39.57</v>
      </c>
      <c r="G11" s="9">
        <v>41.504285714285722</v>
      </c>
      <c r="H11" s="9">
        <v>39.744285714285716</v>
      </c>
      <c r="I11" s="9">
        <v>2.2857142857142857E-2</v>
      </c>
      <c r="J11" s="9">
        <v>0.73714285714285721</v>
      </c>
      <c r="K11" s="9">
        <v>0.76999999999999991</v>
      </c>
      <c r="L11" s="9">
        <v>0.90142857142857136</v>
      </c>
      <c r="M11" s="9">
        <v>1</v>
      </c>
      <c r="N11" s="9">
        <v>1</v>
      </c>
      <c r="O11" s="9">
        <v>1</v>
      </c>
      <c r="P11" s="9">
        <v>0.25523809523809521</v>
      </c>
      <c r="Q11" s="9">
        <v>0.91666666666666663</v>
      </c>
      <c r="R11" s="9">
        <v>0.58333333333333337</v>
      </c>
      <c r="S11" s="9">
        <v>0.91666666666666663</v>
      </c>
    </row>
    <row r="12" spans="1:19" x14ac:dyDescent="0.2">
      <c r="A12" s="19"/>
      <c r="B12" s="19"/>
      <c r="C12" s="13" t="s">
        <v>29</v>
      </c>
      <c r="D12" s="9">
        <v>13126</v>
      </c>
      <c r="E12" s="9">
        <v>2.6666666666666665</v>
      </c>
      <c r="F12" s="9">
        <v>348.39111111111112</v>
      </c>
      <c r="G12" s="9">
        <v>404.83333333333331</v>
      </c>
      <c r="H12" s="9">
        <v>364.63888888888891</v>
      </c>
      <c r="I12" s="9">
        <v>7.1111111111111125E-2</v>
      </c>
      <c r="J12" s="9">
        <v>0.74222222222222223</v>
      </c>
      <c r="K12" s="9">
        <v>0.77333333333333332</v>
      </c>
      <c r="L12" s="9">
        <v>0.90777777777777779</v>
      </c>
      <c r="M12" s="9">
        <v>1</v>
      </c>
      <c r="N12" s="9">
        <v>0.84259259259259267</v>
      </c>
      <c r="O12" s="9">
        <v>0.92129629629629639</v>
      </c>
      <c r="P12" s="9">
        <v>0.36435185185185193</v>
      </c>
      <c r="Q12" s="9">
        <v>0.90909090909090906</v>
      </c>
      <c r="R12" s="9">
        <v>0.81818181818181823</v>
      </c>
      <c r="S12" s="9">
        <v>0.90909090909090906</v>
      </c>
    </row>
    <row r="13" spans="1:19" x14ac:dyDescent="0.2">
      <c r="A13" s="19"/>
      <c r="B13" s="19"/>
      <c r="C13" s="13" t="s">
        <v>30</v>
      </c>
      <c r="D13" s="9">
        <v>8838.7777777777774</v>
      </c>
      <c r="E13" s="9">
        <v>3.7777777777777777</v>
      </c>
      <c r="F13" s="9">
        <v>402.92111111111109</v>
      </c>
      <c r="G13" s="9">
        <v>418.32777777777778</v>
      </c>
      <c r="H13" s="9">
        <v>396.17444444444442</v>
      </c>
      <c r="I13" s="9">
        <v>3.888888888888889E-2</v>
      </c>
      <c r="J13" s="9">
        <v>0.72555555555555562</v>
      </c>
      <c r="K13" s="9">
        <v>0.77</v>
      </c>
      <c r="L13" s="9">
        <v>0.92428571428571427</v>
      </c>
      <c r="M13" s="9">
        <v>1</v>
      </c>
      <c r="N13" s="9">
        <v>0.544973544973545</v>
      </c>
      <c r="O13" s="9">
        <v>0.77248677248677255</v>
      </c>
      <c r="P13" s="9">
        <v>0.29040564373897709</v>
      </c>
      <c r="Q13" s="9">
        <v>1</v>
      </c>
      <c r="R13" s="9">
        <v>0.9</v>
      </c>
      <c r="S13" s="9">
        <v>1</v>
      </c>
    </row>
    <row r="14" spans="1:19" x14ac:dyDescent="0.2">
      <c r="A14" s="19"/>
      <c r="B14" s="19" t="s">
        <v>25</v>
      </c>
      <c r="C14" s="13" t="s">
        <v>28</v>
      </c>
      <c r="D14" s="9">
        <v>1</v>
      </c>
      <c r="E14" s="9">
        <v>1</v>
      </c>
      <c r="F14" s="9">
        <v>9.31</v>
      </c>
      <c r="G14" s="9">
        <v>17.48</v>
      </c>
      <c r="H14" s="9">
        <v>11.88</v>
      </c>
      <c r="I14" s="9">
        <v>0</v>
      </c>
      <c r="J14" s="9">
        <v>0.68</v>
      </c>
      <c r="K14" s="9">
        <v>0.75</v>
      </c>
      <c r="L14" s="9">
        <v>1</v>
      </c>
      <c r="M14" s="9">
        <v>1</v>
      </c>
      <c r="N14" s="9">
        <v>0</v>
      </c>
      <c r="O14" s="9">
        <v>0.5</v>
      </c>
      <c r="P14" s="9">
        <v>0.33333333333333331</v>
      </c>
      <c r="Q14" s="9">
        <v>0.41666666666666669</v>
      </c>
      <c r="R14" s="9">
        <v>8.3333333333333329E-2</v>
      </c>
      <c r="S14" s="9">
        <v>0.41666666666666669</v>
      </c>
    </row>
    <row r="15" spans="1:19" x14ac:dyDescent="0.2">
      <c r="A15" s="19"/>
      <c r="B15" s="19"/>
      <c r="C15" s="13" t="s">
        <v>29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0.45454545454545453</v>
      </c>
      <c r="R15" s="9">
        <v>0</v>
      </c>
      <c r="S15" s="9">
        <v>0.45454545454545453</v>
      </c>
    </row>
    <row r="16" spans="1:19" x14ac:dyDescent="0.2">
      <c r="A16" s="19"/>
      <c r="B16" s="19"/>
      <c r="C16" s="13" t="s">
        <v>30</v>
      </c>
      <c r="D16" s="9">
        <v>35</v>
      </c>
      <c r="E16" s="9">
        <v>3</v>
      </c>
      <c r="F16" s="9">
        <v>21.13</v>
      </c>
      <c r="G16" s="9">
        <v>28.7</v>
      </c>
      <c r="H16" s="9">
        <v>20.81</v>
      </c>
      <c r="I16" s="9">
        <v>0.04</v>
      </c>
      <c r="J16" s="9">
        <v>0.65</v>
      </c>
      <c r="K16" s="9">
        <v>0.82</v>
      </c>
      <c r="L16" s="9">
        <v>0.84</v>
      </c>
      <c r="M16" s="9">
        <v>1</v>
      </c>
      <c r="N16" s="9">
        <v>0.66666666666666674</v>
      </c>
      <c r="O16" s="9">
        <v>0.83333333333333337</v>
      </c>
      <c r="P16" s="9">
        <v>0.26444444444444448</v>
      </c>
      <c r="Q16" s="9">
        <v>0.4</v>
      </c>
      <c r="R16" s="9">
        <v>0.1</v>
      </c>
      <c r="S16" s="9">
        <v>0.4</v>
      </c>
    </row>
    <row r="17" spans="1:19" x14ac:dyDescent="0.2">
      <c r="A17" s="19"/>
      <c r="B17" s="19" t="s">
        <v>34</v>
      </c>
      <c r="C17" s="13" t="s">
        <v>28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0.16666666666666666</v>
      </c>
      <c r="R17" s="9">
        <v>0</v>
      </c>
      <c r="S17" s="9">
        <v>0.16666666666666666</v>
      </c>
    </row>
    <row r="18" spans="1:19" x14ac:dyDescent="0.2">
      <c r="A18" s="19"/>
      <c r="B18" s="19"/>
      <c r="C18" s="13" t="s">
        <v>29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9.0909090909090912E-2</v>
      </c>
      <c r="R18" s="9">
        <v>0</v>
      </c>
      <c r="S18" s="9">
        <v>9.0909090909090912E-2</v>
      </c>
    </row>
    <row r="19" spans="1:19" x14ac:dyDescent="0.2">
      <c r="A19" s="19"/>
      <c r="B19" s="19"/>
      <c r="C19" s="13" t="s">
        <v>30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0.1</v>
      </c>
      <c r="R19" s="9">
        <v>0</v>
      </c>
      <c r="S19" s="9">
        <v>0.1</v>
      </c>
    </row>
    <row r="20" spans="1:19" x14ac:dyDescent="0.2">
      <c r="A20" s="19"/>
      <c r="B20" s="19" t="s">
        <v>26</v>
      </c>
      <c r="C20" s="13" t="s">
        <v>28</v>
      </c>
      <c r="D20" s="9">
        <v>186</v>
      </c>
      <c r="E20" s="9">
        <v>0</v>
      </c>
      <c r="F20" s="9">
        <v>13.67</v>
      </c>
      <c r="G20" s="9">
        <v>21.35</v>
      </c>
      <c r="H20" s="9">
        <v>16.170000000000002</v>
      </c>
      <c r="I20" s="9">
        <v>0.08</v>
      </c>
      <c r="J20" s="9">
        <v>0.6</v>
      </c>
      <c r="K20" s="9">
        <v>0.7</v>
      </c>
      <c r="L20" s="9">
        <v>0</v>
      </c>
      <c r="M20" s="9">
        <v>1</v>
      </c>
      <c r="N20" s="9">
        <v>1</v>
      </c>
      <c r="O20" s="9">
        <v>1</v>
      </c>
      <c r="P20" s="9">
        <v>0.5</v>
      </c>
      <c r="Q20" s="9">
        <v>0.33333333333333331</v>
      </c>
      <c r="R20" s="9">
        <v>8.3333333333333329E-2</v>
      </c>
      <c r="S20" s="9">
        <v>0.33333333333333331</v>
      </c>
    </row>
    <row r="21" spans="1:19" x14ac:dyDescent="0.2">
      <c r="A21" s="19"/>
      <c r="B21" s="19"/>
      <c r="C21" s="13" t="s">
        <v>29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19" x14ac:dyDescent="0.2">
      <c r="A22" s="19"/>
      <c r="B22" s="19"/>
      <c r="C22" s="13" t="s">
        <v>30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0.1</v>
      </c>
      <c r="R22" s="9">
        <v>0</v>
      </c>
      <c r="S22" s="9">
        <v>0.1</v>
      </c>
    </row>
    <row r="23" spans="1:19" x14ac:dyDescent="0.2">
      <c r="A23" s="19"/>
      <c r="B23" s="19" t="s">
        <v>35</v>
      </c>
      <c r="C23" s="13" t="s">
        <v>28</v>
      </c>
      <c r="D23" s="9">
        <v>6298.75</v>
      </c>
      <c r="E23" s="9">
        <v>3</v>
      </c>
      <c r="F23" s="9">
        <v>10531.74</v>
      </c>
      <c r="G23" s="9">
        <v>10965.487499999999</v>
      </c>
      <c r="H23" s="9">
        <v>10598.7925</v>
      </c>
      <c r="I23" s="9">
        <v>7.2499999999999995E-2</v>
      </c>
      <c r="J23" s="9">
        <v>0.71</v>
      </c>
      <c r="K23" s="9">
        <v>0.75499999999999989</v>
      </c>
      <c r="L23" s="9">
        <v>0.95499999999999996</v>
      </c>
      <c r="M23" s="9">
        <v>1</v>
      </c>
      <c r="N23" s="9">
        <v>0.75</v>
      </c>
      <c r="O23" s="9">
        <v>0.875</v>
      </c>
      <c r="P23" s="9">
        <v>0.19</v>
      </c>
      <c r="Q23" s="9">
        <v>0.58333333333333337</v>
      </c>
      <c r="R23" s="9">
        <v>0.33333333333333331</v>
      </c>
      <c r="S23" s="9">
        <v>0.58333333333333337</v>
      </c>
    </row>
    <row r="24" spans="1:19" x14ac:dyDescent="0.2">
      <c r="A24" s="19"/>
      <c r="B24" s="19"/>
      <c r="C24" s="13" t="s">
        <v>29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0.54545454545454541</v>
      </c>
      <c r="R24" s="9">
        <v>0</v>
      </c>
      <c r="S24" s="9">
        <v>0.54545454545454541</v>
      </c>
    </row>
    <row r="25" spans="1:19" x14ac:dyDescent="0.2">
      <c r="A25" s="19"/>
      <c r="B25" s="19"/>
      <c r="C25" s="13" t="s">
        <v>30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0.6</v>
      </c>
      <c r="R25" s="9">
        <v>0</v>
      </c>
      <c r="S25" s="9">
        <v>0.6</v>
      </c>
    </row>
    <row r="26" spans="1:19" x14ac:dyDescent="0.2">
      <c r="A26" s="19"/>
      <c r="B26" s="19" t="s">
        <v>27</v>
      </c>
      <c r="C26" s="13" t="s">
        <v>28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 spans="1:19" x14ac:dyDescent="0.2">
      <c r="A27" s="19"/>
      <c r="B27" s="19"/>
      <c r="C27" s="13" t="s">
        <v>29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9.0909090909090912E-2</v>
      </c>
      <c r="R27" s="9">
        <v>0</v>
      </c>
      <c r="S27" s="9">
        <v>9.0909090909090912E-2</v>
      </c>
    </row>
    <row r="28" spans="1:19" x14ac:dyDescent="0.2">
      <c r="A28" s="19"/>
      <c r="B28" s="19"/>
      <c r="C28" s="13" t="s">
        <v>30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 x14ac:dyDescent="0.2">
      <c r="A29" s="19"/>
      <c r="B29" s="19" t="s">
        <v>36</v>
      </c>
      <c r="C29" s="13" t="s">
        <v>28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8.3333333333333329E-2</v>
      </c>
      <c r="R29" s="9">
        <v>0</v>
      </c>
      <c r="S29" s="9">
        <v>8.3333333333333329E-2</v>
      </c>
    </row>
    <row r="30" spans="1:19" x14ac:dyDescent="0.2">
      <c r="A30" s="19"/>
      <c r="B30" s="19"/>
      <c r="C30" s="13" t="s">
        <v>29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1:19" x14ac:dyDescent="0.2">
      <c r="A31" s="19"/>
      <c r="B31" s="19"/>
      <c r="C31" s="13" t="s">
        <v>30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 x14ac:dyDescent="0.2">
      <c r="A32" s="19"/>
      <c r="B32" s="19" t="s">
        <v>37</v>
      </c>
      <c r="C32" s="13" t="s">
        <v>28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 x14ac:dyDescent="0.2">
      <c r="A33" s="19"/>
      <c r="B33" s="19"/>
      <c r="C33" s="13" t="s">
        <v>29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 x14ac:dyDescent="0.2">
      <c r="A34" s="19"/>
      <c r="B34" s="19"/>
      <c r="C34" s="13" t="s">
        <v>30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 x14ac:dyDescent="0.2">
      <c r="A35" s="19"/>
      <c r="B35" s="19" t="s">
        <v>39</v>
      </c>
      <c r="C35" s="13" t="s">
        <v>28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 x14ac:dyDescent="0.2">
      <c r="A36" s="19"/>
      <c r="B36" s="19"/>
      <c r="C36" s="13" t="s">
        <v>29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 x14ac:dyDescent="0.2">
      <c r="A37" s="19"/>
      <c r="B37" s="19"/>
      <c r="C37" s="13" t="s">
        <v>30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 x14ac:dyDescent="0.2">
      <c r="A38" s="19" t="s">
        <v>21</v>
      </c>
      <c r="B38" s="19" t="s">
        <v>3</v>
      </c>
      <c r="C38" s="13" t="s">
        <v>28</v>
      </c>
      <c r="D38" s="9">
        <v>1295.1818181818182</v>
      </c>
      <c r="E38" s="9">
        <v>2.3636363636363638</v>
      </c>
      <c r="F38" s="9">
        <v>64.166363636363641</v>
      </c>
      <c r="G38" s="9">
        <v>66.057272727272732</v>
      </c>
      <c r="H38" s="9">
        <v>63.701818181818183</v>
      </c>
      <c r="I38" s="9">
        <v>3.0909090909090907E-2</v>
      </c>
      <c r="J38" s="9">
        <v>0.70272727272727264</v>
      </c>
      <c r="K38" s="9">
        <v>0.74818181818181817</v>
      </c>
      <c r="L38" s="9">
        <v>0.6990909090909091</v>
      </c>
      <c r="M38" s="9">
        <v>1</v>
      </c>
      <c r="N38" s="9">
        <v>1</v>
      </c>
      <c r="O38" s="9">
        <v>1</v>
      </c>
      <c r="P38" s="9">
        <v>0.65060606060606063</v>
      </c>
      <c r="Q38" s="9">
        <v>1</v>
      </c>
      <c r="R38" s="9">
        <v>0.91666666666666663</v>
      </c>
      <c r="S38" s="9">
        <v>1</v>
      </c>
    </row>
    <row r="39" spans="1:19" x14ac:dyDescent="0.2">
      <c r="A39" s="19"/>
      <c r="B39" s="19"/>
      <c r="C39" s="13" t="s">
        <v>29</v>
      </c>
      <c r="D39" s="9">
        <v>9907.25</v>
      </c>
      <c r="E39" s="9">
        <v>2.375</v>
      </c>
      <c r="F39" s="9">
        <v>1348.3362500000001</v>
      </c>
      <c r="G39" s="9">
        <v>1357.9612500000001</v>
      </c>
      <c r="H39" s="9">
        <v>1346.3275000000001</v>
      </c>
      <c r="I39" s="9">
        <v>7.8750000000000014E-2</v>
      </c>
      <c r="J39" s="9">
        <v>0.70874999999999999</v>
      </c>
      <c r="K39" s="9">
        <v>0.75625000000000009</v>
      </c>
      <c r="L39" s="9">
        <v>0.74250000000000005</v>
      </c>
      <c r="M39" s="9">
        <v>1</v>
      </c>
      <c r="N39" s="9">
        <v>0.96875</v>
      </c>
      <c r="O39" s="9">
        <v>0.984375</v>
      </c>
      <c r="P39" s="9">
        <v>0.49600694444444449</v>
      </c>
      <c r="Q39" s="9">
        <v>0.90909090909090906</v>
      </c>
      <c r="R39" s="9">
        <v>0.72727272727272729</v>
      </c>
      <c r="S39" s="9">
        <v>0.90909090909090906</v>
      </c>
    </row>
    <row r="40" spans="1:19" x14ac:dyDescent="0.2">
      <c r="A40" s="19"/>
      <c r="B40" s="19"/>
      <c r="C40" s="13" t="s">
        <v>30</v>
      </c>
      <c r="D40" s="9">
        <v>6275.2857142857147</v>
      </c>
      <c r="E40" s="9">
        <v>3.4285714285714284</v>
      </c>
      <c r="F40" s="9">
        <v>3289.7114285714283</v>
      </c>
      <c r="G40" s="9">
        <v>3371.2671428571425</v>
      </c>
      <c r="H40" s="9">
        <v>3312.7528571428566</v>
      </c>
      <c r="I40" s="9">
        <v>3.7142857142857144E-2</v>
      </c>
      <c r="J40" s="9">
        <v>0.6785714285714286</v>
      </c>
      <c r="K40" s="9">
        <v>0.76857142857142857</v>
      </c>
      <c r="L40" s="9">
        <v>0.82857142857142863</v>
      </c>
      <c r="M40" s="9">
        <v>1</v>
      </c>
      <c r="N40" s="9">
        <v>0.79591836734693888</v>
      </c>
      <c r="O40" s="9">
        <v>0.89795918367346939</v>
      </c>
      <c r="P40" s="9">
        <v>0.48348072562358274</v>
      </c>
      <c r="Q40" s="9">
        <v>0.9</v>
      </c>
      <c r="R40" s="9">
        <v>0.7</v>
      </c>
      <c r="S40" s="9">
        <v>0.9</v>
      </c>
    </row>
    <row r="41" spans="1:19" x14ac:dyDescent="0.2">
      <c r="A41" s="19"/>
      <c r="B41" s="19" t="s">
        <v>24</v>
      </c>
      <c r="C41" s="13" t="s">
        <v>28</v>
      </c>
      <c r="D41" s="9">
        <v>2692.25</v>
      </c>
      <c r="E41" s="9">
        <v>3.75</v>
      </c>
      <c r="F41" s="9">
        <v>240.47666666666669</v>
      </c>
      <c r="G41" s="9">
        <v>269.2525</v>
      </c>
      <c r="H41" s="9">
        <v>245.29499999999999</v>
      </c>
      <c r="I41" s="9">
        <v>3.2500000000000001E-2</v>
      </c>
      <c r="J41" s="9">
        <v>0.71583333333333321</v>
      </c>
      <c r="K41" s="9">
        <v>0.75166666666666659</v>
      </c>
      <c r="L41" s="9">
        <v>0.70499999999999996</v>
      </c>
      <c r="M41" s="9">
        <v>1</v>
      </c>
      <c r="N41" s="9">
        <v>0.96666666666666667</v>
      </c>
      <c r="O41" s="9">
        <v>0.98333333333333339</v>
      </c>
      <c r="P41" s="9">
        <v>0.60862962962962974</v>
      </c>
      <c r="Q41" s="9">
        <v>1</v>
      </c>
      <c r="R41" s="9">
        <v>1</v>
      </c>
      <c r="S41" s="9">
        <v>1</v>
      </c>
    </row>
    <row r="42" spans="1:19" x14ac:dyDescent="0.2">
      <c r="A42" s="19"/>
      <c r="B42" s="19"/>
      <c r="C42" s="13" t="s">
        <v>29</v>
      </c>
      <c r="D42" s="9">
        <v>3823.2222222222222</v>
      </c>
      <c r="E42" s="9">
        <v>3.6666666666666665</v>
      </c>
      <c r="F42" s="9">
        <v>4427.7766666666666</v>
      </c>
      <c r="G42" s="9">
        <v>4955.4877777777783</v>
      </c>
      <c r="H42" s="9">
        <v>4589.03</v>
      </c>
      <c r="I42" s="9">
        <v>5.3333333333333337E-2</v>
      </c>
      <c r="J42" s="9">
        <v>0.70666666666666667</v>
      </c>
      <c r="K42" s="9">
        <v>0.7566666666666666</v>
      </c>
      <c r="L42" s="9">
        <v>0.7599999999999999</v>
      </c>
      <c r="M42" s="9">
        <v>1</v>
      </c>
      <c r="N42" s="9">
        <v>0.9277777777777777</v>
      </c>
      <c r="O42" s="9">
        <v>0.96388888888888902</v>
      </c>
      <c r="P42" s="9">
        <v>0.55727777777777765</v>
      </c>
      <c r="Q42" s="9">
        <v>0.81818181818181823</v>
      </c>
      <c r="R42" s="9">
        <v>0.81818181818181823</v>
      </c>
      <c r="S42" s="9">
        <v>0.81818181818181823</v>
      </c>
    </row>
    <row r="43" spans="1:19" x14ac:dyDescent="0.2">
      <c r="A43" s="19"/>
      <c r="B43" s="19"/>
      <c r="C43" s="13" t="s">
        <v>30</v>
      </c>
      <c r="D43" s="9">
        <v>4967.375</v>
      </c>
      <c r="E43" s="9">
        <v>5.625</v>
      </c>
      <c r="F43" s="9">
        <v>925.38125000000002</v>
      </c>
      <c r="G43" s="9">
        <v>969.01125000000002</v>
      </c>
      <c r="H43" s="9">
        <v>937.12749999999994</v>
      </c>
      <c r="I43" s="9">
        <v>3.125E-2</v>
      </c>
      <c r="J43" s="9">
        <v>0.69499999999999995</v>
      </c>
      <c r="K43" s="9">
        <v>0.76249999999999996</v>
      </c>
      <c r="L43" s="9">
        <v>0.78500000000000003</v>
      </c>
      <c r="M43" s="9">
        <v>1</v>
      </c>
      <c r="N43" s="9">
        <v>0.78392857142857142</v>
      </c>
      <c r="O43" s="9">
        <v>0.89196428571428565</v>
      </c>
      <c r="P43" s="9">
        <v>0.48270072751322751</v>
      </c>
      <c r="Q43" s="9">
        <v>0.8</v>
      </c>
      <c r="R43" s="9">
        <v>0.8</v>
      </c>
      <c r="S43" s="9">
        <v>0.8</v>
      </c>
    </row>
    <row r="44" spans="1:19" x14ac:dyDescent="0.2">
      <c r="A44" s="19"/>
      <c r="B44" s="19" t="s">
        <v>22</v>
      </c>
      <c r="C44" s="13" t="s">
        <v>28</v>
      </c>
      <c r="D44" s="9">
        <v>1483.3333333333333</v>
      </c>
      <c r="E44" s="9">
        <v>3</v>
      </c>
      <c r="F44" s="9">
        <v>73.56</v>
      </c>
      <c r="G44" s="9">
        <v>77.683333333333337</v>
      </c>
      <c r="H44" s="9">
        <v>73.673333333333332</v>
      </c>
      <c r="I44" s="9">
        <v>4.9999999999999996E-2</v>
      </c>
      <c r="J44" s="9">
        <v>0.74333333333333329</v>
      </c>
      <c r="K44" s="9">
        <v>0.78333333333333321</v>
      </c>
      <c r="L44" s="9">
        <v>0.72000000000000008</v>
      </c>
      <c r="M44" s="9">
        <v>1</v>
      </c>
      <c r="N44" s="9">
        <v>1</v>
      </c>
      <c r="O44" s="9">
        <v>1</v>
      </c>
      <c r="P44" s="9">
        <v>0.66148148148148145</v>
      </c>
      <c r="Q44" s="9">
        <v>0.5</v>
      </c>
      <c r="R44" s="9">
        <v>0.25</v>
      </c>
      <c r="S44" s="9">
        <v>0.5</v>
      </c>
    </row>
    <row r="45" spans="1:19" x14ac:dyDescent="0.2">
      <c r="A45" s="19"/>
      <c r="B45" s="19"/>
      <c r="C45" s="13" t="s">
        <v>29</v>
      </c>
      <c r="D45" s="9">
        <v>3140</v>
      </c>
      <c r="E45" s="9">
        <v>1.5</v>
      </c>
      <c r="F45" s="9">
        <v>88.85499999999999</v>
      </c>
      <c r="G45" s="9">
        <v>92.46</v>
      </c>
      <c r="H45" s="9">
        <v>89.385000000000005</v>
      </c>
      <c r="I45" s="9">
        <v>7.4999999999999997E-2</v>
      </c>
      <c r="J45" s="9">
        <v>0.66999999999999993</v>
      </c>
      <c r="K45" s="9">
        <v>0.73</v>
      </c>
      <c r="L45" s="9">
        <v>0.62</v>
      </c>
      <c r="M45" s="9">
        <v>1</v>
      </c>
      <c r="N45" s="9">
        <v>1</v>
      </c>
      <c r="O45" s="9">
        <v>1</v>
      </c>
      <c r="P45" s="9">
        <v>0.73166666666666669</v>
      </c>
      <c r="Q45" s="9">
        <v>0.45454545454545453</v>
      </c>
      <c r="R45" s="9">
        <v>0.18181818181818182</v>
      </c>
      <c r="S45" s="9">
        <v>0.45454545454545453</v>
      </c>
    </row>
    <row r="46" spans="1:19" x14ac:dyDescent="0.2">
      <c r="A46" s="19"/>
      <c r="B46" s="19"/>
      <c r="C46" s="13" t="s">
        <v>30</v>
      </c>
      <c r="D46" s="9">
        <v>600</v>
      </c>
      <c r="E46" s="9">
        <v>2</v>
      </c>
      <c r="F46" s="9">
        <v>39.32</v>
      </c>
      <c r="G46" s="9">
        <v>42.35</v>
      </c>
      <c r="H46" s="9">
        <v>40.07</v>
      </c>
      <c r="I46" s="9">
        <v>0.04</v>
      </c>
      <c r="J46" s="9">
        <v>0.71</v>
      </c>
      <c r="K46" s="9">
        <v>0.76</v>
      </c>
      <c r="L46" s="9">
        <v>0.79</v>
      </c>
      <c r="M46" s="9">
        <v>1</v>
      </c>
      <c r="N46" s="9">
        <v>1</v>
      </c>
      <c r="O46" s="9">
        <v>1</v>
      </c>
      <c r="P46" s="9">
        <v>0.46166666666666673</v>
      </c>
      <c r="Q46" s="9">
        <v>0.3</v>
      </c>
      <c r="R46" s="9">
        <v>0.1</v>
      </c>
      <c r="S46" s="9">
        <v>0.3</v>
      </c>
    </row>
    <row r="47" spans="1:19" x14ac:dyDescent="0.2">
      <c r="A47" s="19"/>
      <c r="B47" s="19" t="s">
        <v>23</v>
      </c>
      <c r="C47" s="13" t="s">
        <v>28</v>
      </c>
      <c r="D47" s="9">
        <v>1410.75</v>
      </c>
      <c r="E47" s="9">
        <v>2.5</v>
      </c>
      <c r="F47" s="9">
        <v>145.52250000000001</v>
      </c>
      <c r="G47" s="9">
        <v>154.09083333333331</v>
      </c>
      <c r="H47" s="9">
        <v>147.12416666666667</v>
      </c>
      <c r="I47" s="9">
        <v>3.9166666666666662E-2</v>
      </c>
      <c r="J47" s="9">
        <v>0.72333333333333316</v>
      </c>
      <c r="K47" s="9">
        <v>0.77333333333333332</v>
      </c>
      <c r="L47" s="9">
        <v>0.69166666666666654</v>
      </c>
      <c r="M47" s="9">
        <v>1</v>
      </c>
      <c r="N47" s="9">
        <v>0.93055555555555569</v>
      </c>
      <c r="O47" s="9">
        <v>0.96527777777777768</v>
      </c>
      <c r="P47" s="9">
        <v>0.66004629629629619</v>
      </c>
      <c r="Q47" s="9">
        <v>1</v>
      </c>
      <c r="R47" s="9">
        <v>1</v>
      </c>
      <c r="S47" s="9">
        <v>1</v>
      </c>
    </row>
    <row r="48" spans="1:19" x14ac:dyDescent="0.2">
      <c r="A48" s="19"/>
      <c r="B48" s="19"/>
      <c r="C48" s="13" t="s">
        <v>29</v>
      </c>
      <c r="D48" s="9">
        <v>2199.8571428571427</v>
      </c>
      <c r="E48" s="9">
        <v>2.1428571428571428</v>
      </c>
      <c r="F48" s="9">
        <v>91.238571428571419</v>
      </c>
      <c r="G48" s="9">
        <v>94.931428571428569</v>
      </c>
      <c r="H48" s="9">
        <v>89.76</v>
      </c>
      <c r="I48" s="9">
        <v>0.10142857142857144</v>
      </c>
      <c r="J48" s="9">
        <v>0.70714285714285707</v>
      </c>
      <c r="K48" s="9">
        <v>0.7857142857142857</v>
      </c>
      <c r="L48" s="9">
        <v>0.7599999999999999</v>
      </c>
      <c r="M48" s="9">
        <v>1</v>
      </c>
      <c r="N48" s="9">
        <v>0.95238095238095244</v>
      </c>
      <c r="O48" s="9">
        <v>0.97619047619047628</v>
      </c>
      <c r="P48" s="9">
        <v>0.52468253968253975</v>
      </c>
      <c r="Q48" s="9">
        <v>1</v>
      </c>
      <c r="R48" s="9">
        <v>0.63636363636363635</v>
      </c>
      <c r="S48" s="9">
        <v>1</v>
      </c>
    </row>
    <row r="49" spans="1:19" x14ac:dyDescent="0.2">
      <c r="A49" s="19"/>
      <c r="B49" s="19"/>
      <c r="C49" s="13" t="s">
        <v>30</v>
      </c>
      <c r="D49" s="9">
        <v>1069.2</v>
      </c>
      <c r="E49" s="9">
        <v>3</v>
      </c>
      <c r="F49" s="9">
        <v>1139.7739999999999</v>
      </c>
      <c r="G49" s="9">
        <v>1144.646</v>
      </c>
      <c r="H49" s="9">
        <v>1136.104</v>
      </c>
      <c r="I49" s="9">
        <v>7.9999999999999988E-2</v>
      </c>
      <c r="J49" s="9">
        <v>0.71599999999999997</v>
      </c>
      <c r="K49" s="9">
        <v>0.78199999999999992</v>
      </c>
      <c r="L49" s="9">
        <v>0.90333333333333332</v>
      </c>
      <c r="M49" s="9">
        <v>1</v>
      </c>
      <c r="N49" s="9">
        <v>0.4</v>
      </c>
      <c r="O49" s="9">
        <v>0.70000000000000007</v>
      </c>
      <c r="P49" s="9">
        <v>0.44866666666666666</v>
      </c>
      <c r="Q49" s="9">
        <v>0.8</v>
      </c>
      <c r="R49" s="9">
        <v>0.5</v>
      </c>
      <c r="S49" s="9">
        <v>0.8</v>
      </c>
    </row>
    <row r="50" spans="1:19" x14ac:dyDescent="0.2">
      <c r="A50" s="19"/>
      <c r="B50" s="19" t="s">
        <v>25</v>
      </c>
      <c r="C50" s="13" t="s">
        <v>28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 x14ac:dyDescent="0.2">
      <c r="A51" s="19"/>
      <c r="B51" s="19"/>
      <c r="C51" s="13" t="s">
        <v>29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 x14ac:dyDescent="0.2">
      <c r="A52" s="19"/>
      <c r="B52" s="19"/>
      <c r="C52" s="13" t="s">
        <v>30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 x14ac:dyDescent="0.2">
      <c r="A53" s="19"/>
      <c r="B53" s="19" t="s">
        <v>34</v>
      </c>
      <c r="C53" s="13" t="s">
        <v>28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0.16666666666666666</v>
      </c>
      <c r="R53" s="9">
        <v>0</v>
      </c>
      <c r="S53" s="9">
        <v>0.16666666666666666</v>
      </c>
    </row>
    <row r="54" spans="1:19" x14ac:dyDescent="0.2">
      <c r="A54" s="19"/>
      <c r="B54" s="19"/>
      <c r="C54" s="13" t="s">
        <v>29</v>
      </c>
      <c r="D54" s="9">
        <v>18905</v>
      </c>
      <c r="E54" s="9">
        <v>1</v>
      </c>
      <c r="F54" s="9">
        <v>264.68</v>
      </c>
      <c r="G54" s="9">
        <v>275.25</v>
      </c>
      <c r="H54" s="9">
        <v>267.89</v>
      </c>
      <c r="I54" s="9">
        <v>0</v>
      </c>
      <c r="J54" s="9">
        <v>0.61</v>
      </c>
      <c r="K54" s="9">
        <v>0.65</v>
      </c>
      <c r="L54" s="9">
        <v>1</v>
      </c>
      <c r="M54" s="9">
        <v>1</v>
      </c>
      <c r="N54" s="9">
        <v>0</v>
      </c>
      <c r="O54" s="9">
        <v>0.5</v>
      </c>
      <c r="P54" s="9">
        <v>0.33333333333333331</v>
      </c>
      <c r="Q54" s="9">
        <v>0.45454545454545453</v>
      </c>
      <c r="R54" s="9">
        <v>9.0909090909090912E-2</v>
      </c>
      <c r="S54" s="9">
        <v>0.45454545454545453</v>
      </c>
    </row>
    <row r="55" spans="1:19" x14ac:dyDescent="0.2">
      <c r="A55" s="19"/>
      <c r="B55" s="19"/>
      <c r="C55" s="13" t="s">
        <v>30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 x14ac:dyDescent="0.2">
      <c r="A56" s="19"/>
      <c r="B56" s="19" t="s">
        <v>26</v>
      </c>
      <c r="C56" s="13" t="s">
        <v>28</v>
      </c>
      <c r="D56" s="9">
        <v>92811</v>
      </c>
      <c r="E56" s="9">
        <v>0</v>
      </c>
      <c r="F56" s="9">
        <v>3425.1433333333334</v>
      </c>
      <c r="G56" s="9">
        <v>3532.81</v>
      </c>
      <c r="H56" s="9">
        <v>3414.0533333333333</v>
      </c>
      <c r="I56" s="9">
        <v>1.3333333333333334E-2</v>
      </c>
      <c r="J56" s="9">
        <v>0.60666666666666669</v>
      </c>
      <c r="K56" s="9">
        <v>0.68</v>
      </c>
      <c r="L56" s="9">
        <v>0</v>
      </c>
      <c r="M56" s="9">
        <v>1</v>
      </c>
      <c r="N56" s="9">
        <v>1</v>
      </c>
      <c r="O56" s="9">
        <v>1</v>
      </c>
      <c r="P56" s="9">
        <v>0.5</v>
      </c>
      <c r="Q56" s="9">
        <v>0.25</v>
      </c>
      <c r="R56" s="9">
        <v>0.25</v>
      </c>
      <c r="S56" s="9">
        <v>0.25</v>
      </c>
    </row>
    <row r="57" spans="1:19" x14ac:dyDescent="0.2">
      <c r="A57" s="19"/>
      <c r="B57" s="19"/>
      <c r="C57" s="13" t="s">
        <v>29</v>
      </c>
      <c r="D57" s="9">
        <v>612585</v>
      </c>
      <c r="E57" s="9">
        <v>0.5</v>
      </c>
      <c r="F57" s="9">
        <v>13757.425000000001</v>
      </c>
      <c r="G57" s="9">
        <v>14339.684999999999</v>
      </c>
      <c r="H57" s="9">
        <v>13935.8</v>
      </c>
      <c r="I57" s="9">
        <v>0</v>
      </c>
      <c r="J57" s="9">
        <v>0.56499999999999995</v>
      </c>
      <c r="K57" s="9">
        <v>0.68500000000000005</v>
      </c>
      <c r="L57" s="9">
        <v>0.53</v>
      </c>
      <c r="M57" s="9">
        <v>1</v>
      </c>
      <c r="N57" s="9">
        <v>1</v>
      </c>
      <c r="O57" s="9">
        <v>1</v>
      </c>
      <c r="P57" s="9">
        <v>0.66166666666666663</v>
      </c>
      <c r="Q57" s="9">
        <v>0.36363636363636365</v>
      </c>
      <c r="R57" s="9">
        <v>0.18181818181818182</v>
      </c>
      <c r="S57" s="9">
        <v>0.36363636363636365</v>
      </c>
    </row>
    <row r="58" spans="1:19" x14ac:dyDescent="0.2">
      <c r="A58" s="19"/>
      <c r="B58" s="19"/>
      <c r="C58" s="13" t="s">
        <v>30</v>
      </c>
      <c r="D58" s="9">
        <v>55</v>
      </c>
      <c r="E58" s="9">
        <v>0</v>
      </c>
      <c r="F58" s="9">
        <v>15.85</v>
      </c>
      <c r="G58" s="9">
        <v>19.260000000000002</v>
      </c>
      <c r="H58" s="9">
        <v>14.89</v>
      </c>
      <c r="I58" s="9">
        <v>0</v>
      </c>
      <c r="J58" s="9">
        <v>0.6</v>
      </c>
      <c r="K58" s="9">
        <v>0.67</v>
      </c>
      <c r="L58" s="9">
        <v>0</v>
      </c>
      <c r="M58" s="9">
        <v>1</v>
      </c>
      <c r="N58" s="9">
        <v>1</v>
      </c>
      <c r="O58" s="9">
        <v>1</v>
      </c>
      <c r="P58" s="9">
        <v>0.5</v>
      </c>
      <c r="Q58" s="9">
        <v>0.1</v>
      </c>
      <c r="R58" s="9">
        <v>0.1</v>
      </c>
      <c r="S58" s="9">
        <v>0.1</v>
      </c>
    </row>
    <row r="59" spans="1:19" x14ac:dyDescent="0.2">
      <c r="A59" s="19"/>
      <c r="B59" s="19" t="s">
        <v>35</v>
      </c>
      <c r="C59" s="13" t="s">
        <v>28</v>
      </c>
      <c r="D59" s="9">
        <v>1090</v>
      </c>
      <c r="E59" s="9">
        <v>0.33333333333333331</v>
      </c>
      <c r="F59" s="9">
        <v>37.516666666666673</v>
      </c>
      <c r="G59" s="9">
        <v>39.119999999999997</v>
      </c>
      <c r="H59" s="9">
        <v>36.799999999999997</v>
      </c>
      <c r="I59" s="9">
        <v>0</v>
      </c>
      <c r="J59" s="9">
        <v>0.63</v>
      </c>
      <c r="K59" s="9">
        <v>0.70333333333333325</v>
      </c>
      <c r="L59" s="9">
        <v>0.64</v>
      </c>
      <c r="M59" s="9">
        <v>1</v>
      </c>
      <c r="N59" s="9">
        <v>1</v>
      </c>
      <c r="O59" s="9">
        <v>1</v>
      </c>
      <c r="P59" s="9">
        <v>0.57333333333333336</v>
      </c>
      <c r="Q59" s="9">
        <v>0.75</v>
      </c>
      <c r="R59" s="9">
        <v>0.25</v>
      </c>
      <c r="S59" s="9">
        <v>0.75</v>
      </c>
    </row>
    <row r="60" spans="1:19" x14ac:dyDescent="0.2">
      <c r="A60" s="19"/>
      <c r="B60" s="19"/>
      <c r="C60" s="13" t="s">
        <v>29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0.36363636363636365</v>
      </c>
      <c r="R60" s="9">
        <v>0</v>
      </c>
      <c r="S60" s="9">
        <v>0.36363636363636365</v>
      </c>
    </row>
    <row r="61" spans="1:19" x14ac:dyDescent="0.2">
      <c r="A61" s="19"/>
      <c r="B61" s="19"/>
      <c r="C61" s="13" t="s">
        <v>30</v>
      </c>
      <c r="D61" s="9">
        <v>1000</v>
      </c>
      <c r="E61" s="9">
        <v>2</v>
      </c>
      <c r="F61" s="9">
        <v>137.24</v>
      </c>
      <c r="G61" s="9">
        <v>151.88999999999999</v>
      </c>
      <c r="H61" s="9">
        <v>136.13999999999999</v>
      </c>
      <c r="I61" s="9">
        <v>0</v>
      </c>
      <c r="J61" s="9">
        <v>0.63</v>
      </c>
      <c r="K61" s="9">
        <v>0.7</v>
      </c>
      <c r="L61" s="9">
        <v>0.55000000000000004</v>
      </c>
      <c r="M61" s="9">
        <v>1</v>
      </c>
      <c r="N61" s="9">
        <v>1</v>
      </c>
      <c r="O61" s="9">
        <v>1</v>
      </c>
      <c r="P61" s="9">
        <v>0.79666666666666675</v>
      </c>
      <c r="Q61" s="9">
        <v>0.3</v>
      </c>
      <c r="R61" s="9">
        <v>0.1</v>
      </c>
      <c r="S61" s="9">
        <v>0.3</v>
      </c>
    </row>
    <row r="62" spans="1:19" x14ac:dyDescent="0.2">
      <c r="A62" s="19"/>
      <c r="B62" s="19" t="s">
        <v>27</v>
      </c>
      <c r="C62" s="13" t="s">
        <v>28</v>
      </c>
      <c r="D62" s="9">
        <v>5.5</v>
      </c>
      <c r="E62" s="9">
        <v>1</v>
      </c>
      <c r="F62" s="9">
        <v>17.465000000000003</v>
      </c>
      <c r="G62" s="9">
        <v>17.715</v>
      </c>
      <c r="H62" s="9">
        <v>15.975</v>
      </c>
      <c r="I62" s="9">
        <v>0</v>
      </c>
      <c r="J62" s="9">
        <v>0.68500000000000005</v>
      </c>
      <c r="K62" s="9">
        <v>0.72</v>
      </c>
      <c r="L62" s="9">
        <v>0.66500000000000004</v>
      </c>
      <c r="M62" s="9">
        <v>1</v>
      </c>
      <c r="N62" s="9">
        <v>1</v>
      </c>
      <c r="O62" s="9">
        <v>1</v>
      </c>
      <c r="P62" s="9">
        <v>0.44500000000000001</v>
      </c>
      <c r="Q62" s="9">
        <v>0.33333333333333331</v>
      </c>
      <c r="R62" s="9">
        <v>0.16666666666666666</v>
      </c>
      <c r="S62" s="9">
        <v>0.33333333333333331</v>
      </c>
    </row>
    <row r="63" spans="1:19" x14ac:dyDescent="0.2">
      <c r="A63" s="19"/>
      <c r="B63" s="19"/>
      <c r="C63" s="13" t="s">
        <v>29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9.0909090909090912E-2</v>
      </c>
      <c r="R63" s="9">
        <v>0</v>
      </c>
      <c r="S63" s="9">
        <v>9.0909090909090912E-2</v>
      </c>
    </row>
    <row r="64" spans="1:19" x14ac:dyDescent="0.2">
      <c r="A64" s="19"/>
      <c r="B64" s="19"/>
      <c r="C64" s="13" t="s">
        <v>30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 x14ac:dyDescent="0.2">
      <c r="A65" s="19"/>
      <c r="B65" s="19" t="s">
        <v>38</v>
      </c>
      <c r="C65" s="13" t="s">
        <v>28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 x14ac:dyDescent="0.2">
      <c r="A66" s="19"/>
      <c r="B66" s="19"/>
      <c r="C66" s="13" t="s">
        <v>29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 x14ac:dyDescent="0.2">
      <c r="A67" s="19"/>
      <c r="B67" s="19"/>
      <c r="C67" s="13" t="s">
        <v>30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 x14ac:dyDescent="0.2">
      <c r="A68" s="19"/>
      <c r="B68" s="19" t="s">
        <v>37</v>
      </c>
      <c r="C68" s="13" t="s">
        <v>28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x14ac:dyDescent="0.2">
      <c r="A69" s="19"/>
      <c r="B69" s="19"/>
      <c r="C69" s="13" t="s">
        <v>29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 x14ac:dyDescent="0.2">
      <c r="A70" s="19"/>
      <c r="B70" s="19"/>
      <c r="C70" s="13" t="s">
        <v>30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 x14ac:dyDescent="0.2">
      <c r="A71" s="19"/>
      <c r="B71" s="19" t="s">
        <v>39</v>
      </c>
      <c r="C71" s="13" t="s">
        <v>28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8.3333333333333329E-2</v>
      </c>
      <c r="R71" s="9">
        <v>0</v>
      </c>
      <c r="S71" s="9">
        <v>8.3333333333333329E-2</v>
      </c>
    </row>
    <row r="72" spans="1:19" x14ac:dyDescent="0.2">
      <c r="A72" s="19"/>
      <c r="B72" s="19"/>
      <c r="C72" s="13" t="s">
        <v>29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9.0909090909090912E-2</v>
      </c>
      <c r="R72" s="9">
        <v>0</v>
      </c>
      <c r="S72" s="9">
        <v>9.0909090909090912E-2</v>
      </c>
    </row>
    <row r="73" spans="1:19" x14ac:dyDescent="0.2">
      <c r="A73" s="19"/>
      <c r="B73" s="19"/>
      <c r="C73" s="13" t="s">
        <v>30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0.1</v>
      </c>
      <c r="R73" s="9">
        <v>0</v>
      </c>
      <c r="S73" s="9">
        <v>0.1</v>
      </c>
    </row>
  </sheetData>
  <mergeCells count="26">
    <mergeCell ref="B11:B13"/>
    <mergeCell ref="B47:B49"/>
    <mergeCell ref="B8:B10"/>
    <mergeCell ref="A2:A37"/>
    <mergeCell ref="B38:B40"/>
    <mergeCell ref="B44:B46"/>
    <mergeCell ref="B41:B43"/>
    <mergeCell ref="B2:B4"/>
    <mergeCell ref="B20:B22"/>
    <mergeCell ref="B17:B19"/>
    <mergeCell ref="B5:B7"/>
    <mergeCell ref="A38:A73"/>
    <mergeCell ref="B35:B37"/>
    <mergeCell ref="B14:B16"/>
    <mergeCell ref="B32:B34"/>
    <mergeCell ref="B68:B70"/>
    <mergeCell ref="B50:B52"/>
    <mergeCell ref="B23:B25"/>
    <mergeCell ref="B59:B61"/>
    <mergeCell ref="B29:B31"/>
    <mergeCell ref="B26:B28"/>
    <mergeCell ref="B65:B67"/>
    <mergeCell ref="B62:B64"/>
    <mergeCell ref="B71:B73"/>
    <mergeCell ref="B53:B55"/>
    <mergeCell ref="B56:B5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F98-9C74-1A40-8C19-CC2298742AE1}">
  <dimension ref="A1:R25"/>
  <sheetViews>
    <sheetView zoomScale="110" zoomScaleNormal="134" workbookViewId="0">
      <selection activeCell="S16" sqref="S16"/>
    </sheetView>
  </sheetViews>
  <sheetFormatPr baseColWidth="10" defaultRowHeight="16" x14ac:dyDescent="0.2"/>
  <cols>
    <col min="1" max="1" width="5.83203125" style="3" bestFit="1" customWidth="1"/>
    <col min="2" max="2" width="14.83203125" style="3" bestFit="1" customWidth="1"/>
    <col min="3" max="4" width="12.6640625" style="2" hidden="1" customWidth="1"/>
    <col min="5" max="6" width="13.6640625" style="2" hidden="1" customWidth="1"/>
    <col min="7" max="7" width="15" style="2" hidden="1" customWidth="1"/>
    <col min="8" max="8" width="18.33203125" style="2" bestFit="1" customWidth="1"/>
    <col min="9" max="9" width="22.1640625" style="2" bestFit="1" customWidth="1"/>
    <col min="10" max="10" width="25.6640625" style="2" bestFit="1" customWidth="1"/>
    <col min="11" max="11" width="13.1640625" style="2" bestFit="1" customWidth="1"/>
    <col min="12" max="12" width="15.5" style="2" hidden="1" customWidth="1"/>
    <col min="13" max="13" width="16.6640625" style="2" hidden="1" customWidth="1"/>
    <col min="14" max="14" width="9.33203125" style="2" hidden="1" customWidth="1"/>
    <col min="15" max="15" width="15.6640625" style="2" bestFit="1" customWidth="1"/>
    <col min="16" max="16" width="12.6640625" style="2" hidden="1" customWidth="1"/>
    <col min="17" max="17" width="12.83203125" style="2" hidden="1" customWidth="1"/>
    <col min="18" max="18" width="15.6640625" style="2" hidden="1" customWidth="1"/>
    <col min="19" max="16384" width="10.83203125" style="2"/>
  </cols>
  <sheetData>
    <row r="1" spans="1:18" ht="95" customHeight="1" x14ac:dyDescent="0.2">
      <c r="A1" s="4" t="s">
        <v>2</v>
      </c>
      <c r="B1" s="4" t="s">
        <v>0</v>
      </c>
      <c r="C1" s="1" t="s">
        <v>8</v>
      </c>
      <c r="D1" s="1" t="s">
        <v>9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</row>
    <row r="2" spans="1:18" x14ac:dyDescent="0.2">
      <c r="A2" s="18" t="s">
        <v>4</v>
      </c>
      <c r="B2" s="4" t="s">
        <v>3</v>
      </c>
      <c r="C2" s="6">
        <v>11628.192307692309</v>
      </c>
      <c r="D2" s="6">
        <v>2.6538461538461537</v>
      </c>
      <c r="E2" s="6">
        <v>2146.5711538461542</v>
      </c>
      <c r="F2" s="6">
        <v>2293.5069230769232</v>
      </c>
      <c r="G2" s="16">
        <v>2128.4807692307691</v>
      </c>
      <c r="H2" s="7">
        <v>4.4615384615384626E-2</v>
      </c>
      <c r="I2" s="7">
        <v>0.70807692307692294</v>
      </c>
      <c r="J2" s="7">
        <v>0.77038461538461545</v>
      </c>
      <c r="K2" s="7">
        <v>0.88961538461538481</v>
      </c>
      <c r="L2" s="7">
        <v>1</v>
      </c>
      <c r="M2" s="7">
        <v>0.93543956043956067</v>
      </c>
      <c r="N2" s="7">
        <v>0.96771978021978</v>
      </c>
      <c r="O2" s="7">
        <v>0.3525763125763125</v>
      </c>
      <c r="P2" s="7">
        <v>0.90909090909090906</v>
      </c>
      <c r="Q2" s="7">
        <v>0.78787878787878785</v>
      </c>
      <c r="R2" s="7">
        <v>0.90909090909090906</v>
      </c>
    </row>
    <row r="3" spans="1:18" x14ac:dyDescent="0.2">
      <c r="A3" s="18"/>
      <c r="B3" s="4" t="s">
        <v>24</v>
      </c>
      <c r="C3" s="6">
        <v>3629.3076923076924</v>
      </c>
      <c r="D3" s="6">
        <v>4.2692307692307692</v>
      </c>
      <c r="E3" s="6">
        <v>901.50115384615378</v>
      </c>
      <c r="F3" s="6">
        <v>994.53846153846121</v>
      </c>
      <c r="G3" s="16">
        <v>911.37999999999988</v>
      </c>
      <c r="H3" s="7">
        <v>4.0384615384615394E-2</v>
      </c>
      <c r="I3" s="7">
        <v>0.71269230769230774</v>
      </c>
      <c r="J3" s="7">
        <v>0.77307692307692311</v>
      </c>
      <c r="K3" s="7">
        <v>0.87360000000000004</v>
      </c>
      <c r="L3" s="7">
        <v>1</v>
      </c>
      <c r="M3" s="7">
        <v>0.84903846153846163</v>
      </c>
      <c r="N3" s="7">
        <v>0.92451923076923082</v>
      </c>
      <c r="O3" s="7">
        <v>0.34639316239316248</v>
      </c>
      <c r="P3" s="7">
        <v>0.81818181818181823</v>
      </c>
      <c r="Q3" s="7">
        <v>0.78787878787878785</v>
      </c>
      <c r="R3" s="7">
        <v>0.81818181818181823</v>
      </c>
    </row>
    <row r="4" spans="1:18" x14ac:dyDescent="0.2">
      <c r="A4" s="18"/>
      <c r="B4" s="4" t="s">
        <v>22</v>
      </c>
      <c r="C4" s="6">
        <v>495</v>
      </c>
      <c r="D4" s="6">
        <v>2.75</v>
      </c>
      <c r="E4" s="6">
        <v>660.84</v>
      </c>
      <c r="F4" s="6">
        <v>695.40750000000003</v>
      </c>
      <c r="G4" s="16">
        <v>670.34249999999997</v>
      </c>
      <c r="H4" s="7">
        <v>0.04</v>
      </c>
      <c r="I4" s="7">
        <v>0.7</v>
      </c>
      <c r="J4" s="7">
        <v>0.77</v>
      </c>
      <c r="K4" s="7">
        <v>0.91749999999999998</v>
      </c>
      <c r="L4" s="7">
        <v>1</v>
      </c>
      <c r="M4" s="7">
        <v>0.9375</v>
      </c>
      <c r="N4" s="7">
        <v>0.96875</v>
      </c>
      <c r="O4" s="7">
        <v>0.37784722222222217</v>
      </c>
      <c r="P4" s="7">
        <v>0.18181818181818182</v>
      </c>
      <c r="Q4" s="7">
        <v>0.12121212121212122</v>
      </c>
      <c r="R4" s="7">
        <v>0.18181818181818182</v>
      </c>
    </row>
    <row r="5" spans="1:18" x14ac:dyDescent="0.2">
      <c r="A5" s="18"/>
      <c r="B5" s="4" t="s">
        <v>23</v>
      </c>
      <c r="C5" s="6">
        <v>8120.08</v>
      </c>
      <c r="D5" s="6">
        <v>2.84</v>
      </c>
      <c r="E5" s="6">
        <v>281.55200000000002</v>
      </c>
      <c r="F5" s="6">
        <v>307.95920000000001</v>
      </c>
      <c r="G5" s="16">
        <v>285.02119999999996</v>
      </c>
      <c r="H5" s="7">
        <v>4.5999999999999999E-2</v>
      </c>
      <c r="I5" s="7">
        <v>0.73480000000000001</v>
      </c>
      <c r="J5" s="7">
        <v>0.7712</v>
      </c>
      <c r="K5" s="7">
        <v>0.91086956521739126</v>
      </c>
      <c r="L5" s="7">
        <v>1</v>
      </c>
      <c r="M5" s="7">
        <v>0.77952380952380962</v>
      </c>
      <c r="N5" s="7">
        <v>0.88976190476190453</v>
      </c>
      <c r="O5" s="7">
        <v>0.30717936507936494</v>
      </c>
      <c r="P5" s="7">
        <v>0.93939393939393945</v>
      </c>
      <c r="Q5" s="7">
        <v>0.75757575757575757</v>
      </c>
      <c r="R5" s="7">
        <v>0.93939393939393945</v>
      </c>
    </row>
    <row r="6" spans="1:18" x14ac:dyDescent="0.2">
      <c r="A6" s="18"/>
      <c r="B6" s="4" t="s">
        <v>25</v>
      </c>
      <c r="C6" s="6">
        <v>18</v>
      </c>
      <c r="D6" s="6">
        <v>2</v>
      </c>
      <c r="E6" s="6">
        <v>15.219999999999999</v>
      </c>
      <c r="F6" s="6">
        <v>23.09</v>
      </c>
      <c r="G6" s="16">
        <v>16.344999999999999</v>
      </c>
      <c r="H6" s="7">
        <v>0.02</v>
      </c>
      <c r="I6" s="7">
        <v>0.66500000000000004</v>
      </c>
      <c r="J6" s="7">
        <v>0.78499999999999992</v>
      </c>
      <c r="K6" s="7">
        <v>0.91999999999999993</v>
      </c>
      <c r="L6" s="7">
        <v>1</v>
      </c>
      <c r="M6" s="7">
        <v>0.33333333333333337</v>
      </c>
      <c r="N6" s="7">
        <v>0.66666666666666674</v>
      </c>
      <c r="O6" s="7">
        <v>0.29888888888888887</v>
      </c>
      <c r="P6" s="7">
        <v>0.42424242424242425</v>
      </c>
      <c r="Q6" s="7">
        <v>6.0606060606060608E-2</v>
      </c>
      <c r="R6" s="7">
        <v>0.42424242424242425</v>
      </c>
    </row>
    <row r="7" spans="1:18" x14ac:dyDescent="0.2">
      <c r="A7" s="18"/>
      <c r="B7" s="4" t="s">
        <v>34</v>
      </c>
      <c r="C7" s="6">
        <v>0</v>
      </c>
      <c r="D7" s="6">
        <v>0</v>
      </c>
      <c r="E7" s="6">
        <v>0</v>
      </c>
      <c r="F7" s="6">
        <v>0</v>
      </c>
      <c r="G7" s="16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0.12121212121212122</v>
      </c>
      <c r="Q7" s="7">
        <v>0</v>
      </c>
      <c r="R7" s="7">
        <v>0.12121212121212122</v>
      </c>
    </row>
    <row r="8" spans="1:18" x14ac:dyDescent="0.2">
      <c r="A8" s="18"/>
      <c r="B8" s="4" t="s">
        <v>26</v>
      </c>
      <c r="C8" s="6">
        <v>186</v>
      </c>
      <c r="D8" s="6">
        <v>0</v>
      </c>
      <c r="E8" s="6">
        <v>13.67</v>
      </c>
      <c r="F8" s="6">
        <v>21.35</v>
      </c>
      <c r="G8" s="16">
        <v>16.170000000000002</v>
      </c>
      <c r="H8" s="7">
        <v>0.08</v>
      </c>
      <c r="I8" s="7">
        <v>0.6</v>
      </c>
      <c r="J8" s="7">
        <v>0.7</v>
      </c>
      <c r="K8" s="7">
        <v>0</v>
      </c>
      <c r="L8" s="7">
        <v>1</v>
      </c>
      <c r="M8" s="7">
        <v>1</v>
      </c>
      <c r="N8" s="7">
        <v>1</v>
      </c>
      <c r="O8" s="7">
        <v>0.5</v>
      </c>
      <c r="P8" s="7">
        <v>0.15151515151515152</v>
      </c>
      <c r="Q8" s="7">
        <v>3.0303030303030304E-2</v>
      </c>
      <c r="R8" s="7">
        <v>0.15151515151515152</v>
      </c>
    </row>
    <row r="9" spans="1:18" x14ac:dyDescent="0.2">
      <c r="A9" s="18"/>
      <c r="B9" s="4" t="s">
        <v>35</v>
      </c>
      <c r="C9" s="10">
        <v>6298.75</v>
      </c>
      <c r="D9" s="10">
        <v>3</v>
      </c>
      <c r="E9" s="10">
        <v>10531.74</v>
      </c>
      <c r="F9" s="10">
        <v>10965.487499999999</v>
      </c>
      <c r="G9" s="10">
        <v>10598.7925</v>
      </c>
      <c r="H9" s="9">
        <v>7.2499999999999995E-2</v>
      </c>
      <c r="I9" s="9">
        <v>0.71</v>
      </c>
      <c r="J9" s="9">
        <v>0.75499999999999989</v>
      </c>
      <c r="K9" s="9">
        <v>0.95499999999999996</v>
      </c>
      <c r="L9" s="9">
        <v>1</v>
      </c>
      <c r="M9" s="9">
        <v>0.75</v>
      </c>
      <c r="N9" s="9">
        <v>0.875</v>
      </c>
      <c r="O9" s="9">
        <v>0.19</v>
      </c>
      <c r="P9" s="9">
        <v>0.5757575757575758</v>
      </c>
      <c r="Q9" s="9">
        <v>0.12121212121212122</v>
      </c>
      <c r="R9" s="9">
        <v>0.5757575757575758</v>
      </c>
    </row>
    <row r="10" spans="1:18" x14ac:dyDescent="0.2">
      <c r="A10" s="18"/>
      <c r="B10" s="4" t="s">
        <v>27</v>
      </c>
      <c r="C10" s="8">
        <v>0</v>
      </c>
      <c r="D10" s="8">
        <v>0</v>
      </c>
      <c r="E10" s="8">
        <v>0</v>
      </c>
      <c r="F10" s="8">
        <v>0</v>
      </c>
      <c r="G10" s="17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3.0303030303030304E-2</v>
      </c>
      <c r="Q10" s="9">
        <v>0</v>
      </c>
      <c r="R10" s="9">
        <v>3.0303030303030304E-2</v>
      </c>
    </row>
    <row r="11" spans="1:18" x14ac:dyDescent="0.2">
      <c r="A11" s="18"/>
      <c r="B11" s="4" t="s">
        <v>36</v>
      </c>
      <c r="C11" s="8">
        <v>0</v>
      </c>
      <c r="D11" s="8">
        <v>0</v>
      </c>
      <c r="E11" s="8">
        <v>0</v>
      </c>
      <c r="F11" s="8">
        <v>0</v>
      </c>
      <c r="G11" s="17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3.0303030303030304E-2</v>
      </c>
      <c r="Q11" s="9">
        <v>0</v>
      </c>
      <c r="R11" s="9">
        <v>3.0303030303030304E-2</v>
      </c>
    </row>
    <row r="12" spans="1:18" x14ac:dyDescent="0.2">
      <c r="A12" s="18"/>
      <c r="B12" s="4" t="s">
        <v>37</v>
      </c>
      <c r="C12" s="8">
        <v>0</v>
      </c>
      <c r="D12" s="8">
        <v>0</v>
      </c>
      <c r="E12" s="8">
        <v>0</v>
      </c>
      <c r="F12" s="8">
        <v>0</v>
      </c>
      <c r="G12" s="17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8"/>
      <c r="B13" s="4" t="s">
        <v>39</v>
      </c>
      <c r="C13" s="8">
        <v>0</v>
      </c>
      <c r="D13" s="8">
        <v>0</v>
      </c>
      <c r="E13" s="8">
        <v>0</v>
      </c>
      <c r="F13" s="8">
        <v>0</v>
      </c>
      <c r="G13" s="17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 x14ac:dyDescent="0.2">
      <c r="A14" s="20" t="s">
        <v>21</v>
      </c>
      <c r="B14" s="4" t="s">
        <v>3</v>
      </c>
      <c r="C14" s="6">
        <v>5285.8461538461543</v>
      </c>
      <c r="D14" s="6">
        <v>2.6538461538461537</v>
      </c>
      <c r="E14" s="6">
        <v>1327.7115384615386</v>
      </c>
      <c r="F14" s="6">
        <v>1353.4303846153848</v>
      </c>
      <c r="G14" s="16">
        <v>1333.1003846153847</v>
      </c>
      <c r="H14" s="7">
        <v>4.7307692307692321E-2</v>
      </c>
      <c r="I14" s="7">
        <v>0.69807692307692315</v>
      </c>
      <c r="J14" s="7">
        <v>0.75615384615384607</v>
      </c>
      <c r="K14" s="7">
        <v>0.74730769230769245</v>
      </c>
      <c r="L14" s="7">
        <v>1</v>
      </c>
      <c r="M14" s="7">
        <v>0.93543956043956067</v>
      </c>
      <c r="N14" s="7">
        <v>0.96771978021978</v>
      </c>
      <c r="O14" s="7">
        <v>0.55804181929181929</v>
      </c>
      <c r="P14" s="7">
        <v>0.93939393939393945</v>
      </c>
      <c r="Q14" s="7">
        <v>0.78787878787878785</v>
      </c>
      <c r="R14" s="7">
        <v>0.93939393939393945</v>
      </c>
    </row>
    <row r="15" spans="1:18" x14ac:dyDescent="0.2">
      <c r="A15" s="21"/>
      <c r="B15" s="4" t="s">
        <v>24</v>
      </c>
      <c r="C15" s="8">
        <v>3670.8620689655172</v>
      </c>
      <c r="D15" s="8">
        <v>4.2413793103448274</v>
      </c>
      <c r="E15" s="8">
        <v>1728.9227586206898</v>
      </c>
      <c r="F15" s="8">
        <v>1916.6382758620693</v>
      </c>
      <c r="G15" s="17">
        <v>1784.2010344827584</v>
      </c>
      <c r="H15" s="9">
        <v>3.8620689655172423E-2</v>
      </c>
      <c r="I15" s="9">
        <v>0.70724137931034492</v>
      </c>
      <c r="J15" s="9">
        <v>0.75620689655172424</v>
      </c>
      <c r="K15" s="9">
        <v>0.74413793103448256</v>
      </c>
      <c r="L15" s="9">
        <v>1</v>
      </c>
      <c r="M15" s="9">
        <v>0.90418719211822685</v>
      </c>
      <c r="N15" s="9">
        <v>0.95209359605911337</v>
      </c>
      <c r="O15" s="9">
        <v>0.5579538405400476</v>
      </c>
      <c r="P15" s="9">
        <v>0.87878787878787878</v>
      </c>
      <c r="Q15" s="9">
        <v>0.87878787878787878</v>
      </c>
      <c r="R15" s="9">
        <v>0.87878787878787878</v>
      </c>
    </row>
    <row r="16" spans="1:18" x14ac:dyDescent="0.2">
      <c r="A16" s="21"/>
      <c r="B16" s="4" t="s">
        <v>22</v>
      </c>
      <c r="C16" s="8">
        <v>1888.3333333333333</v>
      </c>
      <c r="D16" s="8">
        <v>2.3333333333333335</v>
      </c>
      <c r="E16" s="8">
        <v>72.951666666666668</v>
      </c>
      <c r="F16" s="8">
        <v>76.720000000000013</v>
      </c>
      <c r="G16" s="17">
        <v>73.309999999999988</v>
      </c>
      <c r="H16" s="9">
        <v>5.6666666666666664E-2</v>
      </c>
      <c r="I16" s="9">
        <v>0.71333333333333326</v>
      </c>
      <c r="J16" s="9">
        <v>0.7616666666666666</v>
      </c>
      <c r="K16" s="9">
        <v>0.69833333333333336</v>
      </c>
      <c r="L16" s="9">
        <v>1</v>
      </c>
      <c r="M16" s="9">
        <v>1</v>
      </c>
      <c r="N16" s="9">
        <v>1</v>
      </c>
      <c r="O16" s="9">
        <v>0.65157407407407408</v>
      </c>
      <c r="P16" s="9">
        <v>0.42424242424242425</v>
      </c>
      <c r="Q16" s="9">
        <v>0.18181818181818182</v>
      </c>
      <c r="R16" s="9">
        <v>0.42424242424242425</v>
      </c>
    </row>
    <row r="17" spans="1:18" x14ac:dyDescent="0.2">
      <c r="A17" s="21"/>
      <c r="B17" s="4" t="s">
        <v>23</v>
      </c>
      <c r="C17" s="6">
        <v>1569.75</v>
      </c>
      <c r="D17" s="6">
        <v>2.5</v>
      </c>
      <c r="E17" s="6">
        <v>336.82541666666663</v>
      </c>
      <c r="F17" s="6">
        <v>343.20166666666665</v>
      </c>
      <c r="G17" s="16">
        <v>336.43041666666664</v>
      </c>
      <c r="H17" s="7">
        <v>6.5833333333333327E-2</v>
      </c>
      <c r="I17" s="7">
        <v>0.71708333333333352</v>
      </c>
      <c r="J17" s="7">
        <v>0.77874999999999994</v>
      </c>
      <c r="K17" s="7">
        <v>0.74227272727272731</v>
      </c>
      <c r="L17" s="7">
        <v>1</v>
      </c>
      <c r="M17" s="7">
        <v>0.82638888888888917</v>
      </c>
      <c r="N17" s="7">
        <v>0.9131944444444442</v>
      </c>
      <c r="O17" s="7">
        <v>0.57652777777777775</v>
      </c>
      <c r="P17" s="7">
        <v>0.93939393939393945</v>
      </c>
      <c r="Q17" s="7">
        <v>0.72727272727272729</v>
      </c>
      <c r="R17" s="7">
        <v>0.93939393939393945</v>
      </c>
    </row>
    <row r="18" spans="1:18" x14ac:dyDescent="0.2">
      <c r="A18" s="21"/>
      <c r="B18" s="4" t="s">
        <v>25</v>
      </c>
      <c r="C18" s="8">
        <v>0</v>
      </c>
      <c r="D18" s="8">
        <v>0</v>
      </c>
      <c r="E18" s="8">
        <v>0</v>
      </c>
      <c r="F18" s="8">
        <v>0</v>
      </c>
      <c r="G18" s="17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21"/>
      <c r="B19" s="4" t="s">
        <v>34</v>
      </c>
      <c r="C19" s="6">
        <v>18905</v>
      </c>
      <c r="D19" s="6">
        <v>1</v>
      </c>
      <c r="E19" s="6">
        <v>264.68</v>
      </c>
      <c r="F19" s="6">
        <v>275.25</v>
      </c>
      <c r="G19" s="16">
        <v>267.89</v>
      </c>
      <c r="H19" s="7">
        <v>0</v>
      </c>
      <c r="I19" s="7">
        <v>0.61</v>
      </c>
      <c r="J19" s="7">
        <v>0.65</v>
      </c>
      <c r="K19" s="7">
        <v>1</v>
      </c>
      <c r="L19" s="7">
        <v>1</v>
      </c>
      <c r="M19" s="7">
        <v>0</v>
      </c>
      <c r="N19" s="7">
        <v>0.5</v>
      </c>
      <c r="O19" s="7">
        <v>0.33333333333333331</v>
      </c>
      <c r="P19" s="7">
        <v>0.21212121212121213</v>
      </c>
      <c r="Q19" s="7">
        <v>3.0303030303030304E-2</v>
      </c>
      <c r="R19" s="7">
        <v>0.21212121212121213</v>
      </c>
    </row>
    <row r="20" spans="1:18" x14ac:dyDescent="0.2">
      <c r="A20" s="21"/>
      <c r="B20" s="4" t="s">
        <v>26</v>
      </c>
      <c r="C20" s="8">
        <v>250609.66666666666</v>
      </c>
      <c r="D20" s="8">
        <v>0.16666666666666666</v>
      </c>
      <c r="E20" s="8">
        <v>6301.0216666666665</v>
      </c>
      <c r="F20" s="8">
        <v>6549.5099999999993</v>
      </c>
      <c r="G20" s="17">
        <v>6354.7750000000005</v>
      </c>
      <c r="H20" s="9">
        <v>6.6666666666666671E-3</v>
      </c>
      <c r="I20" s="9">
        <v>0.59166666666666667</v>
      </c>
      <c r="J20" s="9">
        <v>0.68</v>
      </c>
      <c r="K20" s="9">
        <v>0.53</v>
      </c>
      <c r="L20" s="9">
        <v>1</v>
      </c>
      <c r="M20" s="9">
        <v>1</v>
      </c>
      <c r="N20" s="9">
        <v>1</v>
      </c>
      <c r="O20" s="9">
        <v>0.55388888888888888</v>
      </c>
      <c r="P20" s="9">
        <v>0.24242424242424243</v>
      </c>
      <c r="Q20" s="9">
        <v>0.18181818181818182</v>
      </c>
      <c r="R20" s="9">
        <v>0.24242424242424243</v>
      </c>
    </row>
    <row r="21" spans="1:18" x14ac:dyDescent="0.2">
      <c r="A21" s="21"/>
      <c r="B21" s="4" t="s">
        <v>35</v>
      </c>
      <c r="C21" s="8">
        <v>1067.5</v>
      </c>
      <c r="D21" s="8">
        <v>0.75</v>
      </c>
      <c r="E21" s="8">
        <v>62.447500000000005</v>
      </c>
      <c r="F21" s="8">
        <v>67.3125</v>
      </c>
      <c r="G21" s="17">
        <v>61.634999999999991</v>
      </c>
      <c r="H21" s="9">
        <v>0</v>
      </c>
      <c r="I21" s="9">
        <v>0.63</v>
      </c>
      <c r="J21" s="9">
        <v>0.7024999999999999</v>
      </c>
      <c r="K21" s="9">
        <v>0.59499999999999997</v>
      </c>
      <c r="L21" s="9">
        <v>1</v>
      </c>
      <c r="M21" s="9">
        <v>1</v>
      </c>
      <c r="N21" s="9">
        <v>1</v>
      </c>
      <c r="O21" s="9">
        <v>0.62916666666666676</v>
      </c>
      <c r="P21" s="9">
        <v>0.48484848484848486</v>
      </c>
      <c r="Q21" s="9">
        <v>0.12121212121212122</v>
      </c>
      <c r="R21" s="9">
        <v>0.48484848484848486</v>
      </c>
    </row>
    <row r="22" spans="1:18" x14ac:dyDescent="0.2">
      <c r="A22" s="21"/>
      <c r="B22" s="4" t="s">
        <v>27</v>
      </c>
      <c r="C22" s="6">
        <v>5.5</v>
      </c>
      <c r="D22" s="6">
        <v>1</v>
      </c>
      <c r="E22" s="6">
        <v>17.465000000000003</v>
      </c>
      <c r="F22" s="6">
        <v>17.715</v>
      </c>
      <c r="G22" s="16">
        <v>15.975</v>
      </c>
      <c r="H22" s="7">
        <v>0</v>
      </c>
      <c r="I22" s="7">
        <v>0.68500000000000005</v>
      </c>
      <c r="J22" s="7">
        <v>0.72</v>
      </c>
      <c r="K22" s="7">
        <v>0.66500000000000004</v>
      </c>
      <c r="L22" s="7">
        <v>1</v>
      </c>
      <c r="M22" s="7">
        <v>1</v>
      </c>
      <c r="N22" s="7">
        <v>1</v>
      </c>
      <c r="O22" s="7">
        <v>0.44500000000000001</v>
      </c>
      <c r="P22" s="7">
        <v>0.15151515151515152</v>
      </c>
      <c r="Q22" s="7">
        <v>6.0606060606060608E-2</v>
      </c>
      <c r="R22" s="7">
        <v>0.15151515151515152</v>
      </c>
    </row>
    <row r="23" spans="1:18" x14ac:dyDescent="0.2">
      <c r="A23" s="21"/>
      <c r="B23" s="4" t="s">
        <v>36</v>
      </c>
      <c r="C23" s="6">
        <v>0</v>
      </c>
      <c r="D23" s="6">
        <v>0</v>
      </c>
      <c r="E23" s="6">
        <v>0</v>
      </c>
      <c r="F23" s="6">
        <v>0</v>
      </c>
      <c r="G23" s="16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</row>
    <row r="24" spans="1:18" x14ac:dyDescent="0.2">
      <c r="A24" s="21"/>
      <c r="B24" s="4" t="s">
        <v>37</v>
      </c>
      <c r="C24" s="6">
        <v>0</v>
      </c>
      <c r="D24" s="6">
        <v>0</v>
      </c>
      <c r="E24" s="6">
        <v>0</v>
      </c>
      <c r="F24" s="6">
        <v>0</v>
      </c>
      <c r="G24" s="16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</row>
    <row r="25" spans="1:18" x14ac:dyDescent="0.2">
      <c r="A25" s="21"/>
      <c r="B25" s="4" t="s">
        <v>39</v>
      </c>
      <c r="C25" s="6">
        <v>0</v>
      </c>
      <c r="D25" s="6">
        <v>0</v>
      </c>
      <c r="E25" s="6">
        <v>0</v>
      </c>
      <c r="F25" s="6">
        <v>0</v>
      </c>
      <c r="G25" s="16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</row>
  </sheetData>
  <mergeCells count="2">
    <mergeCell ref="A2:A13"/>
    <mergeCell ref="A14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9D4B-FE6F-DE4A-A4D7-A2923AD08071}">
  <dimension ref="A1:S73"/>
  <sheetViews>
    <sheetView topLeftCell="A10" zoomScale="85" workbookViewId="0">
      <selection activeCell="I33" sqref="I33"/>
    </sheetView>
  </sheetViews>
  <sheetFormatPr baseColWidth="10" defaultRowHeight="16" x14ac:dyDescent="0.2"/>
  <cols>
    <col min="1" max="1" width="6" style="3" bestFit="1" customWidth="1"/>
    <col min="2" max="2" width="15" style="3" bestFit="1" customWidth="1"/>
    <col min="3" max="3" width="10.5" style="2" bestFit="1" customWidth="1"/>
    <col min="4" max="4" width="9.83203125" style="2" hidden="1" customWidth="1"/>
    <col min="5" max="5" width="4.83203125" style="2" hidden="1" customWidth="1"/>
    <col min="6" max="7" width="13.6640625" style="2" hidden="1" customWidth="1"/>
    <col min="8" max="8" width="15" style="2" hidden="1" customWidth="1"/>
    <col min="9" max="9" width="18.33203125" style="2" bestFit="1" customWidth="1"/>
    <col min="10" max="10" width="22.1640625" style="2" bestFit="1" customWidth="1"/>
    <col min="11" max="11" width="25.6640625" style="2" bestFit="1" customWidth="1"/>
    <col min="12" max="12" width="13.1640625" style="2" bestFit="1" customWidth="1"/>
    <col min="13" max="13" width="16.33203125" style="2" hidden="1" customWidth="1"/>
    <col min="14" max="14" width="22.33203125" style="2" hidden="1" customWidth="1"/>
    <col min="15" max="15" width="9.33203125" style="2" hidden="1" customWidth="1"/>
    <col min="16" max="16" width="20.83203125" style="2" bestFit="1" customWidth="1"/>
    <col min="17" max="17" width="12.6640625" style="2" hidden="1" customWidth="1"/>
    <col min="18" max="18" width="12.83203125" style="2" hidden="1" customWidth="1"/>
    <col min="19" max="19" width="15.6640625" style="2" hidden="1" customWidth="1"/>
    <col min="20" max="16384" width="10.83203125" style="2"/>
  </cols>
  <sheetData>
    <row r="1" spans="1:19" x14ac:dyDescent="0.2">
      <c r="A1" s="13" t="s">
        <v>2</v>
      </c>
      <c r="B1" s="13" t="s">
        <v>0</v>
      </c>
      <c r="C1" s="13" t="s">
        <v>1</v>
      </c>
      <c r="D1" s="14" t="s">
        <v>8</v>
      </c>
      <c r="E1" s="14" t="s">
        <v>9</v>
      </c>
      <c r="F1" s="14" t="s">
        <v>5</v>
      </c>
      <c r="G1" s="14" t="s">
        <v>6</v>
      </c>
      <c r="H1" s="14" t="s">
        <v>7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</row>
    <row r="2" spans="1:19" x14ac:dyDescent="0.2">
      <c r="A2" s="19" t="s">
        <v>4</v>
      </c>
      <c r="B2" s="19" t="s">
        <v>3</v>
      </c>
      <c r="C2" s="13" t="s">
        <v>28</v>
      </c>
      <c r="D2" s="9">
        <v>10956.363636363636</v>
      </c>
      <c r="E2" s="9">
        <v>2.1818181818181817</v>
      </c>
      <c r="F2" s="9">
        <v>3876.9081818181821</v>
      </c>
      <c r="G2" s="9">
        <v>4024.6172727272728</v>
      </c>
      <c r="H2" s="9">
        <v>3776.4345454545455</v>
      </c>
      <c r="I2" s="9">
        <v>3.2727272727272723E-2</v>
      </c>
      <c r="J2" s="9">
        <v>0.70909090909090911</v>
      </c>
      <c r="K2" s="9">
        <v>0.76727272727272722</v>
      </c>
      <c r="L2" s="9">
        <v>0.88818181818181818</v>
      </c>
      <c r="M2" s="9">
        <v>1</v>
      </c>
      <c r="N2" s="9">
        <v>1</v>
      </c>
      <c r="O2" s="9">
        <v>1</v>
      </c>
      <c r="P2" s="9">
        <v>0.29128787878787876</v>
      </c>
      <c r="Q2" s="9">
        <v>1</v>
      </c>
      <c r="R2" s="9">
        <v>0.91666666666666663</v>
      </c>
      <c r="S2" s="9">
        <v>1</v>
      </c>
    </row>
    <row r="3" spans="1:19" x14ac:dyDescent="0.2">
      <c r="A3" s="19"/>
      <c r="B3" s="19"/>
      <c r="C3" s="13" t="s">
        <v>29</v>
      </c>
      <c r="D3" s="9">
        <v>21981</v>
      </c>
      <c r="E3" s="9">
        <v>2.25</v>
      </c>
      <c r="F3" s="9">
        <v>1343.0237500000001</v>
      </c>
      <c r="G3" s="9">
        <v>1600.7087500000002</v>
      </c>
      <c r="H3" s="9">
        <v>1419.0475000000001</v>
      </c>
      <c r="I3" s="9">
        <v>7.8750000000000014E-2</v>
      </c>
      <c r="J3" s="9">
        <v>0.69375000000000009</v>
      </c>
      <c r="K3" s="9">
        <v>0.77374999999999994</v>
      </c>
      <c r="L3" s="9">
        <v>0.86499999999999999</v>
      </c>
      <c r="M3" s="9">
        <v>1</v>
      </c>
      <c r="N3" s="9">
        <v>0.96875</v>
      </c>
      <c r="O3" s="9">
        <v>0.984375</v>
      </c>
      <c r="P3" s="9">
        <v>0.43135416666666665</v>
      </c>
      <c r="Q3" s="9">
        <v>0.90909090909090906</v>
      </c>
      <c r="R3" s="9">
        <v>0.72727272727272729</v>
      </c>
      <c r="S3" s="9">
        <v>0.90909090909090906</v>
      </c>
    </row>
    <row r="4" spans="1:19" x14ac:dyDescent="0.2">
      <c r="A4" s="19"/>
      <c r="B4" s="19"/>
      <c r="C4" s="13" t="s">
        <v>30</v>
      </c>
      <c r="D4" s="9">
        <v>852.14285714285711</v>
      </c>
      <c r="E4" s="9">
        <v>3.8571428571428572</v>
      </c>
      <c r="F4" s="9">
        <v>345.80999999999995</v>
      </c>
      <c r="G4" s="9">
        <v>364.96</v>
      </c>
      <c r="H4" s="9">
        <v>349.62</v>
      </c>
      <c r="I4" s="9">
        <v>2.4285714285714282E-2</v>
      </c>
      <c r="J4" s="9">
        <v>0.72285714285714275</v>
      </c>
      <c r="K4" s="9">
        <v>0.77142857142857146</v>
      </c>
      <c r="L4" s="9">
        <v>0.92</v>
      </c>
      <c r="M4" s="9">
        <v>1</v>
      </c>
      <c r="N4" s="9">
        <v>0.79591836734693877</v>
      </c>
      <c r="O4" s="9">
        <v>0.89795918367346939</v>
      </c>
      <c r="P4" s="9">
        <v>0.35885487528344667</v>
      </c>
      <c r="Q4" s="9">
        <v>0.8</v>
      </c>
      <c r="R4" s="9">
        <v>0.7</v>
      </c>
      <c r="S4" s="9">
        <v>0.8</v>
      </c>
    </row>
    <row r="5" spans="1:19" x14ac:dyDescent="0.2">
      <c r="A5" s="19"/>
      <c r="B5" s="19" t="s">
        <v>24</v>
      </c>
      <c r="C5" s="13" t="s">
        <v>28</v>
      </c>
      <c r="D5" s="9">
        <v>200.8</v>
      </c>
      <c r="E5" s="9">
        <v>3.6</v>
      </c>
      <c r="F5" s="9">
        <v>86.625999999999991</v>
      </c>
      <c r="G5" s="9">
        <v>162.78599999999997</v>
      </c>
      <c r="H5" s="9">
        <v>109.748</v>
      </c>
      <c r="I5" s="9">
        <v>2.4E-2</v>
      </c>
      <c r="J5" s="9">
        <v>0.70700000000000007</v>
      </c>
      <c r="K5" s="9">
        <v>0.76600000000000013</v>
      </c>
      <c r="L5" s="9">
        <v>0.90900000000000003</v>
      </c>
      <c r="M5" s="9">
        <v>1</v>
      </c>
      <c r="N5" s="9">
        <v>0.90999999999999992</v>
      </c>
      <c r="O5" s="9">
        <v>0.95500000000000007</v>
      </c>
      <c r="P5" s="9">
        <v>0.22624444444444441</v>
      </c>
      <c r="Q5" s="9">
        <v>0.83333333333333337</v>
      </c>
      <c r="R5" s="9">
        <v>0.83333333333333337</v>
      </c>
      <c r="S5" s="9">
        <v>0.83333333333333337</v>
      </c>
    </row>
    <row r="6" spans="1:19" x14ac:dyDescent="0.2">
      <c r="A6" s="19"/>
      <c r="B6" s="19"/>
      <c r="C6" s="13" t="s">
        <v>29</v>
      </c>
      <c r="D6" s="9">
        <v>6127.25</v>
      </c>
      <c r="E6" s="9">
        <v>3.875</v>
      </c>
      <c r="F6" s="9">
        <v>792.47249999999997</v>
      </c>
      <c r="G6" s="9">
        <v>885.88625000000002</v>
      </c>
      <c r="H6" s="9">
        <v>820.02500000000009</v>
      </c>
      <c r="I6" s="9">
        <v>5.7499999999999996E-2</v>
      </c>
      <c r="J6" s="9">
        <v>0.72249999999999992</v>
      </c>
      <c r="K6" s="9">
        <v>0.77500000000000002</v>
      </c>
      <c r="L6" s="9">
        <v>0.84499999999999997</v>
      </c>
      <c r="M6" s="9">
        <v>1</v>
      </c>
      <c r="N6" s="9">
        <v>0.875</v>
      </c>
      <c r="O6" s="9">
        <v>0.9375</v>
      </c>
      <c r="P6" s="9">
        <v>0.46309027777777773</v>
      </c>
      <c r="Q6" s="9">
        <v>0.81818181818181823</v>
      </c>
      <c r="R6" s="9">
        <v>0.72727272727272729</v>
      </c>
      <c r="S6" s="9">
        <v>0.81818181818181823</v>
      </c>
    </row>
    <row r="7" spans="1:19" x14ac:dyDescent="0.2">
      <c r="A7" s="19"/>
      <c r="B7" s="19"/>
      <c r="C7" s="13" t="s">
        <v>30</v>
      </c>
      <c r="D7" s="9">
        <v>5417</v>
      </c>
      <c r="E7" s="9">
        <v>5.5</v>
      </c>
      <c r="F7" s="9">
        <v>2029.1237500000002</v>
      </c>
      <c r="G7" s="9">
        <v>2142.8812499999999</v>
      </c>
      <c r="H7" s="9">
        <v>2004.7750000000001</v>
      </c>
      <c r="I7" s="9">
        <v>4.3750000000000004E-2</v>
      </c>
      <c r="J7" s="9">
        <v>0.71</v>
      </c>
      <c r="K7" s="9">
        <v>0.78</v>
      </c>
      <c r="L7" s="9">
        <v>0.85571428571428565</v>
      </c>
      <c r="M7" s="9">
        <v>1</v>
      </c>
      <c r="N7" s="9">
        <v>0.74687499999999996</v>
      </c>
      <c r="O7" s="9">
        <v>0.87343749999999998</v>
      </c>
      <c r="P7" s="9">
        <v>0.37988194444444445</v>
      </c>
      <c r="Q7" s="9">
        <v>0.8</v>
      </c>
      <c r="R7" s="9">
        <v>0.8</v>
      </c>
      <c r="S7" s="9">
        <v>0.8</v>
      </c>
    </row>
    <row r="8" spans="1:19" x14ac:dyDescent="0.2">
      <c r="A8" s="19"/>
      <c r="B8" s="19" t="s">
        <v>22</v>
      </c>
      <c r="C8" s="13" t="s">
        <v>28</v>
      </c>
      <c r="D8" s="9">
        <v>179</v>
      </c>
      <c r="E8" s="9">
        <v>2</v>
      </c>
      <c r="F8" s="9">
        <v>1100.0550000000001</v>
      </c>
      <c r="G8" s="9">
        <v>1103.72</v>
      </c>
      <c r="H8" s="9">
        <v>1099.46</v>
      </c>
      <c r="I8" s="9">
        <v>0.08</v>
      </c>
      <c r="J8" s="9">
        <v>0.66999999999999993</v>
      </c>
      <c r="K8" s="9">
        <v>0.78500000000000003</v>
      </c>
      <c r="L8" s="9">
        <v>0.85</v>
      </c>
      <c r="M8" s="9">
        <v>1</v>
      </c>
      <c r="N8" s="9">
        <v>1</v>
      </c>
      <c r="O8" s="9">
        <v>1</v>
      </c>
      <c r="P8" s="9">
        <v>0.35583333333333328</v>
      </c>
      <c r="Q8" s="9">
        <v>0.25</v>
      </c>
      <c r="R8" s="9">
        <v>0.16666666666666666</v>
      </c>
      <c r="S8" s="9">
        <v>0.25</v>
      </c>
    </row>
    <row r="9" spans="1:19" x14ac:dyDescent="0.2">
      <c r="A9" s="19"/>
      <c r="B9" s="19"/>
      <c r="C9" s="13" t="s">
        <v>29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x14ac:dyDescent="0.2">
      <c r="A10" s="19"/>
      <c r="B10" s="19"/>
      <c r="C10" s="13" t="s">
        <v>30</v>
      </c>
      <c r="D10" s="9">
        <v>811</v>
      </c>
      <c r="E10" s="9">
        <v>3.5</v>
      </c>
      <c r="F10" s="9">
        <v>221.625</v>
      </c>
      <c r="G10" s="9">
        <v>287.09500000000003</v>
      </c>
      <c r="H10" s="9">
        <v>241.22499999999999</v>
      </c>
      <c r="I10" s="9">
        <v>0</v>
      </c>
      <c r="J10" s="9">
        <v>0.73</v>
      </c>
      <c r="K10" s="9">
        <v>0.755</v>
      </c>
      <c r="L10" s="9">
        <v>0.98499999999999999</v>
      </c>
      <c r="M10" s="9">
        <v>1</v>
      </c>
      <c r="N10" s="9">
        <v>0.875</v>
      </c>
      <c r="O10" s="9">
        <v>0.9375</v>
      </c>
      <c r="P10" s="9">
        <v>0.39986111111111106</v>
      </c>
      <c r="Q10" s="9">
        <v>0.3</v>
      </c>
      <c r="R10" s="9">
        <v>0.2</v>
      </c>
      <c r="S10" s="9">
        <v>0.3</v>
      </c>
    </row>
    <row r="11" spans="1:19" x14ac:dyDescent="0.2">
      <c r="A11" s="19"/>
      <c r="B11" s="19" t="s">
        <v>23</v>
      </c>
      <c r="C11" s="13" t="s">
        <v>28</v>
      </c>
      <c r="D11" s="9">
        <v>759.85714285714289</v>
      </c>
      <c r="E11" s="9">
        <v>1.8571428571428572</v>
      </c>
      <c r="F11" s="9">
        <v>39.57</v>
      </c>
      <c r="G11" s="9">
        <v>41.504285714285722</v>
      </c>
      <c r="H11" s="9">
        <v>39.744285714285716</v>
      </c>
      <c r="I11" s="9">
        <v>2.2857142857142857E-2</v>
      </c>
      <c r="J11" s="9">
        <v>0.73714285714285721</v>
      </c>
      <c r="K11" s="9">
        <v>0.76999999999999991</v>
      </c>
      <c r="L11" s="9">
        <v>0.90142857142857136</v>
      </c>
      <c r="M11" s="9">
        <v>1</v>
      </c>
      <c r="N11" s="9">
        <v>1</v>
      </c>
      <c r="O11" s="9">
        <v>1</v>
      </c>
      <c r="P11" s="9">
        <v>0.25523809523809521</v>
      </c>
      <c r="Q11" s="9">
        <v>0.91666666666666663</v>
      </c>
      <c r="R11" s="9">
        <v>0.58333333333333337</v>
      </c>
      <c r="S11" s="9">
        <v>0.91666666666666663</v>
      </c>
    </row>
    <row r="12" spans="1:19" x14ac:dyDescent="0.2">
      <c r="A12" s="19"/>
      <c r="B12" s="19"/>
      <c r="C12" s="13" t="s">
        <v>29</v>
      </c>
      <c r="D12" s="9">
        <v>13126</v>
      </c>
      <c r="E12" s="9">
        <v>2.6666666666666665</v>
      </c>
      <c r="F12" s="9">
        <v>348.39111111111112</v>
      </c>
      <c r="G12" s="9">
        <v>404.83333333333331</v>
      </c>
      <c r="H12" s="9">
        <v>364.63888888888891</v>
      </c>
      <c r="I12" s="9">
        <v>7.1111111111111125E-2</v>
      </c>
      <c r="J12" s="9">
        <v>0.74222222222222223</v>
      </c>
      <c r="K12" s="9">
        <v>0.77333333333333332</v>
      </c>
      <c r="L12" s="9">
        <v>0.90777777777777779</v>
      </c>
      <c r="M12" s="9">
        <v>1</v>
      </c>
      <c r="N12" s="9">
        <v>0.84259259259259267</v>
      </c>
      <c r="O12" s="9">
        <v>0.92129629629629639</v>
      </c>
      <c r="P12" s="9">
        <v>0.36435185185185193</v>
      </c>
      <c r="Q12" s="9">
        <v>0.90909090909090906</v>
      </c>
      <c r="R12" s="9">
        <v>0.81818181818181823</v>
      </c>
      <c r="S12" s="9">
        <v>0.90909090909090906</v>
      </c>
    </row>
    <row r="13" spans="1:19" x14ac:dyDescent="0.2">
      <c r="A13" s="19"/>
      <c r="B13" s="19"/>
      <c r="C13" s="13" t="s">
        <v>30</v>
      </c>
      <c r="D13" s="9">
        <v>8838.7777777777774</v>
      </c>
      <c r="E13" s="9">
        <v>3.7777777777777777</v>
      </c>
      <c r="F13" s="9">
        <v>402.92111111111109</v>
      </c>
      <c r="G13" s="9">
        <v>418.32777777777778</v>
      </c>
      <c r="H13" s="9">
        <v>396.17444444444442</v>
      </c>
      <c r="I13" s="9">
        <v>3.888888888888889E-2</v>
      </c>
      <c r="J13" s="9">
        <v>0.72555555555555562</v>
      </c>
      <c r="K13" s="9">
        <v>0.77</v>
      </c>
      <c r="L13" s="9">
        <v>0.92428571428571427</v>
      </c>
      <c r="M13" s="9">
        <v>1</v>
      </c>
      <c r="N13" s="9">
        <v>0.544973544973545</v>
      </c>
      <c r="O13" s="9">
        <v>0.77248677248677255</v>
      </c>
      <c r="P13" s="9">
        <v>0.29040564373897709</v>
      </c>
      <c r="Q13" s="9">
        <v>1</v>
      </c>
      <c r="R13" s="9">
        <v>0.9</v>
      </c>
      <c r="S13" s="9">
        <v>1</v>
      </c>
    </row>
    <row r="14" spans="1:19" x14ac:dyDescent="0.2">
      <c r="A14" s="19"/>
      <c r="B14" s="19" t="s">
        <v>25</v>
      </c>
      <c r="C14" s="13" t="s">
        <v>28</v>
      </c>
      <c r="D14" s="9">
        <v>1</v>
      </c>
      <c r="E14" s="9">
        <v>1</v>
      </c>
      <c r="F14" s="9">
        <v>9.31</v>
      </c>
      <c r="G14" s="9">
        <v>17.48</v>
      </c>
      <c r="H14" s="9">
        <v>11.88</v>
      </c>
      <c r="I14" s="9">
        <v>0</v>
      </c>
      <c r="J14" s="9">
        <v>0.68</v>
      </c>
      <c r="K14" s="9">
        <v>0.75</v>
      </c>
      <c r="L14" s="9">
        <v>1</v>
      </c>
      <c r="M14" s="9">
        <v>1</v>
      </c>
      <c r="N14" s="9">
        <v>0</v>
      </c>
      <c r="O14" s="9">
        <v>0.5</v>
      </c>
      <c r="P14" s="9">
        <v>0.33333333333333331</v>
      </c>
      <c r="Q14" s="9">
        <v>0.41666666666666669</v>
      </c>
      <c r="R14" s="9">
        <v>8.3333333333333329E-2</v>
      </c>
      <c r="S14" s="9">
        <v>0.41666666666666669</v>
      </c>
    </row>
    <row r="15" spans="1:19" x14ac:dyDescent="0.2">
      <c r="A15" s="19"/>
      <c r="B15" s="19"/>
      <c r="C15" s="13" t="s">
        <v>29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0.45454545454545453</v>
      </c>
      <c r="R15" s="9">
        <v>0</v>
      </c>
      <c r="S15" s="9">
        <v>0.45454545454545453</v>
      </c>
    </row>
    <row r="16" spans="1:19" x14ac:dyDescent="0.2">
      <c r="A16" s="19"/>
      <c r="B16" s="19"/>
      <c r="C16" s="13" t="s">
        <v>30</v>
      </c>
      <c r="D16" s="9">
        <v>35</v>
      </c>
      <c r="E16" s="9">
        <v>3</v>
      </c>
      <c r="F16" s="9">
        <v>21.13</v>
      </c>
      <c r="G16" s="9">
        <v>28.7</v>
      </c>
      <c r="H16" s="9">
        <v>20.81</v>
      </c>
      <c r="I16" s="9">
        <v>0.04</v>
      </c>
      <c r="J16" s="9">
        <v>0.65</v>
      </c>
      <c r="K16" s="9">
        <v>0.82</v>
      </c>
      <c r="L16" s="9">
        <v>0.84</v>
      </c>
      <c r="M16" s="9">
        <v>1</v>
      </c>
      <c r="N16" s="9">
        <v>0.66666666666666674</v>
      </c>
      <c r="O16" s="9">
        <v>0.83333333333333337</v>
      </c>
      <c r="P16" s="9">
        <v>0.26444444444444448</v>
      </c>
      <c r="Q16" s="9">
        <v>0.4</v>
      </c>
      <c r="R16" s="9">
        <v>0.1</v>
      </c>
      <c r="S16" s="9">
        <v>0.4</v>
      </c>
    </row>
    <row r="17" spans="1:19" x14ac:dyDescent="0.2">
      <c r="A17" s="19"/>
      <c r="B17" s="19" t="s">
        <v>34</v>
      </c>
      <c r="C17" s="13" t="s">
        <v>28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0.16666666666666666</v>
      </c>
      <c r="R17" s="9">
        <v>0</v>
      </c>
      <c r="S17" s="9">
        <v>0.16666666666666666</v>
      </c>
    </row>
    <row r="18" spans="1:19" x14ac:dyDescent="0.2">
      <c r="A18" s="19"/>
      <c r="B18" s="19"/>
      <c r="C18" s="13" t="s">
        <v>29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9.0909090909090912E-2</v>
      </c>
      <c r="R18" s="9">
        <v>0</v>
      </c>
      <c r="S18" s="9">
        <v>9.0909090909090912E-2</v>
      </c>
    </row>
    <row r="19" spans="1:19" x14ac:dyDescent="0.2">
      <c r="A19" s="19"/>
      <c r="B19" s="19"/>
      <c r="C19" s="13" t="s">
        <v>30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0.1</v>
      </c>
      <c r="R19" s="9">
        <v>0</v>
      </c>
      <c r="S19" s="9">
        <v>0.1</v>
      </c>
    </row>
    <row r="20" spans="1:19" x14ac:dyDescent="0.2">
      <c r="A20" s="19"/>
      <c r="B20" s="19" t="s">
        <v>26</v>
      </c>
      <c r="C20" s="13" t="s">
        <v>28</v>
      </c>
      <c r="D20" s="9">
        <v>186</v>
      </c>
      <c r="E20" s="9">
        <v>0</v>
      </c>
      <c r="F20" s="9">
        <v>13.67</v>
      </c>
      <c r="G20" s="9">
        <v>21.35</v>
      </c>
      <c r="H20" s="9">
        <v>16.170000000000002</v>
      </c>
      <c r="I20" s="9">
        <v>0.08</v>
      </c>
      <c r="J20" s="9">
        <v>0.6</v>
      </c>
      <c r="K20" s="9">
        <v>0.7</v>
      </c>
      <c r="L20" s="9">
        <v>0</v>
      </c>
      <c r="M20" s="9">
        <v>1</v>
      </c>
      <c r="N20" s="9">
        <v>1</v>
      </c>
      <c r="O20" s="9">
        <v>1</v>
      </c>
      <c r="P20" s="9">
        <v>0.5</v>
      </c>
      <c r="Q20" s="9">
        <v>0.33333333333333331</v>
      </c>
      <c r="R20" s="9">
        <v>8.3333333333333329E-2</v>
      </c>
      <c r="S20" s="9">
        <v>0.33333333333333331</v>
      </c>
    </row>
    <row r="21" spans="1:19" x14ac:dyDescent="0.2">
      <c r="A21" s="19"/>
      <c r="B21" s="19"/>
      <c r="C21" s="13" t="s">
        <v>29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19" x14ac:dyDescent="0.2">
      <c r="A22" s="19"/>
      <c r="B22" s="19"/>
      <c r="C22" s="13" t="s">
        <v>30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0.1</v>
      </c>
      <c r="R22" s="9">
        <v>0</v>
      </c>
      <c r="S22" s="9">
        <v>0.1</v>
      </c>
    </row>
    <row r="23" spans="1:19" x14ac:dyDescent="0.2">
      <c r="A23" s="19"/>
      <c r="B23" s="19" t="s">
        <v>35</v>
      </c>
      <c r="C23" s="13" t="s">
        <v>28</v>
      </c>
      <c r="D23" s="9">
        <v>6298.75</v>
      </c>
      <c r="E23" s="9">
        <v>3</v>
      </c>
      <c r="F23" s="9">
        <v>10531.74</v>
      </c>
      <c r="G23" s="9">
        <v>10965.487499999999</v>
      </c>
      <c r="H23" s="9">
        <v>10598.7925</v>
      </c>
      <c r="I23" s="9">
        <v>7.2499999999999995E-2</v>
      </c>
      <c r="J23" s="9">
        <v>0.71</v>
      </c>
      <c r="K23" s="9">
        <v>0.75499999999999989</v>
      </c>
      <c r="L23" s="9">
        <v>0.95499999999999996</v>
      </c>
      <c r="M23" s="9">
        <v>1</v>
      </c>
      <c r="N23" s="9">
        <v>0.75</v>
      </c>
      <c r="O23" s="9">
        <v>0.875</v>
      </c>
      <c r="P23" s="9">
        <v>0.19</v>
      </c>
      <c r="Q23" s="9">
        <v>0.58333333333333337</v>
      </c>
      <c r="R23" s="9">
        <v>0.33333333333333331</v>
      </c>
      <c r="S23" s="9">
        <v>0.58333333333333337</v>
      </c>
    </row>
    <row r="24" spans="1:19" x14ac:dyDescent="0.2">
      <c r="A24" s="19"/>
      <c r="B24" s="19"/>
      <c r="C24" s="13" t="s">
        <v>29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0.54545454545454541</v>
      </c>
      <c r="R24" s="9">
        <v>0</v>
      </c>
      <c r="S24" s="9">
        <v>0.54545454545454541</v>
      </c>
    </row>
    <row r="25" spans="1:19" x14ac:dyDescent="0.2">
      <c r="A25" s="19"/>
      <c r="B25" s="19"/>
      <c r="C25" s="13" t="s">
        <v>30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0.6</v>
      </c>
      <c r="R25" s="9">
        <v>0</v>
      </c>
      <c r="S25" s="9">
        <v>0.6</v>
      </c>
    </row>
    <row r="26" spans="1:19" x14ac:dyDescent="0.2">
      <c r="A26" s="19"/>
      <c r="B26" s="19" t="s">
        <v>27</v>
      </c>
      <c r="C26" s="13" t="s">
        <v>28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 spans="1:19" x14ac:dyDescent="0.2">
      <c r="A27" s="19"/>
      <c r="B27" s="19"/>
      <c r="C27" s="13" t="s">
        <v>29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9.0909090909090912E-2</v>
      </c>
      <c r="R27" s="9">
        <v>0</v>
      </c>
      <c r="S27" s="9">
        <v>9.0909090909090912E-2</v>
      </c>
    </row>
    <row r="28" spans="1:19" x14ac:dyDescent="0.2">
      <c r="A28" s="19"/>
      <c r="B28" s="19"/>
      <c r="C28" s="13" t="s">
        <v>30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 x14ac:dyDescent="0.2">
      <c r="A29" s="19"/>
      <c r="B29" s="19" t="s">
        <v>36</v>
      </c>
      <c r="C29" s="13" t="s">
        <v>28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8.3333333333333329E-2</v>
      </c>
      <c r="R29" s="9">
        <v>0</v>
      </c>
      <c r="S29" s="9">
        <v>8.3333333333333329E-2</v>
      </c>
    </row>
    <row r="30" spans="1:19" x14ac:dyDescent="0.2">
      <c r="A30" s="19"/>
      <c r="B30" s="19"/>
      <c r="C30" s="13" t="s">
        <v>29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1:19" x14ac:dyDescent="0.2">
      <c r="A31" s="19"/>
      <c r="B31" s="19"/>
      <c r="C31" s="13" t="s">
        <v>30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 x14ac:dyDescent="0.2">
      <c r="A32" s="19"/>
      <c r="B32" s="19" t="s">
        <v>37</v>
      </c>
      <c r="C32" s="13" t="s">
        <v>28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 x14ac:dyDescent="0.2">
      <c r="A33" s="19"/>
      <c r="B33" s="19"/>
      <c r="C33" s="13" t="s">
        <v>29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 x14ac:dyDescent="0.2">
      <c r="A34" s="19"/>
      <c r="B34" s="19"/>
      <c r="C34" s="13" t="s">
        <v>30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 x14ac:dyDescent="0.2">
      <c r="A35" s="19"/>
      <c r="B35" s="19" t="s">
        <v>39</v>
      </c>
      <c r="C35" s="13" t="s">
        <v>28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 x14ac:dyDescent="0.2">
      <c r="A36" s="19"/>
      <c r="B36" s="19"/>
      <c r="C36" s="13" t="s">
        <v>29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 x14ac:dyDescent="0.2">
      <c r="A37" s="19"/>
      <c r="B37" s="19"/>
      <c r="C37" s="13" t="s">
        <v>30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 x14ac:dyDescent="0.2">
      <c r="A38" s="19" t="s">
        <v>21</v>
      </c>
      <c r="B38" s="19" t="s">
        <v>3</v>
      </c>
      <c r="C38" s="13" t="s">
        <v>28</v>
      </c>
      <c r="D38" s="9">
        <v>1295.1818181818182</v>
      </c>
      <c r="E38" s="9">
        <v>2.3636363636363638</v>
      </c>
      <c r="F38" s="9">
        <v>64.166363636363641</v>
      </c>
      <c r="G38" s="9">
        <v>66.057272727272732</v>
      </c>
      <c r="H38" s="9">
        <v>63.701818181818183</v>
      </c>
      <c r="I38" s="9">
        <v>3.0909090909090907E-2</v>
      </c>
      <c r="J38" s="9">
        <v>0.70272727272727264</v>
      </c>
      <c r="K38" s="9">
        <v>0.74818181818181817</v>
      </c>
      <c r="L38" s="9">
        <v>0.6990909090909091</v>
      </c>
      <c r="M38" s="9">
        <v>1</v>
      </c>
      <c r="N38" s="9">
        <v>1</v>
      </c>
      <c r="O38" s="9">
        <v>1</v>
      </c>
      <c r="P38" s="9">
        <v>0.65060606060606063</v>
      </c>
      <c r="Q38" s="9">
        <v>1</v>
      </c>
      <c r="R38" s="9">
        <v>0.91666666666666663</v>
      </c>
      <c r="S38" s="9">
        <v>1</v>
      </c>
    </row>
    <row r="39" spans="1:19" x14ac:dyDescent="0.2">
      <c r="A39" s="19"/>
      <c r="B39" s="19"/>
      <c r="C39" s="13" t="s">
        <v>29</v>
      </c>
      <c r="D39" s="9">
        <v>9907.25</v>
      </c>
      <c r="E39" s="9">
        <v>2.375</v>
      </c>
      <c r="F39" s="9">
        <v>1348.3362500000001</v>
      </c>
      <c r="G39" s="9">
        <v>1357.9612500000001</v>
      </c>
      <c r="H39" s="9">
        <v>1346.3275000000001</v>
      </c>
      <c r="I39" s="9">
        <v>7.8750000000000014E-2</v>
      </c>
      <c r="J39" s="9">
        <v>0.70874999999999999</v>
      </c>
      <c r="K39" s="9">
        <v>0.75625000000000009</v>
      </c>
      <c r="L39" s="9">
        <v>0.74250000000000005</v>
      </c>
      <c r="M39" s="9">
        <v>1</v>
      </c>
      <c r="N39" s="9">
        <v>0.96875</v>
      </c>
      <c r="O39" s="9">
        <v>0.984375</v>
      </c>
      <c r="P39" s="9">
        <v>0.49600694444444449</v>
      </c>
      <c r="Q39" s="9">
        <v>0.90909090909090906</v>
      </c>
      <c r="R39" s="9">
        <v>0.72727272727272729</v>
      </c>
      <c r="S39" s="9">
        <v>0.90909090909090906</v>
      </c>
    </row>
    <row r="40" spans="1:19" x14ac:dyDescent="0.2">
      <c r="A40" s="19"/>
      <c r="B40" s="19"/>
      <c r="C40" s="13" t="s">
        <v>30</v>
      </c>
      <c r="D40" s="9">
        <v>6275.2857142857147</v>
      </c>
      <c r="E40" s="9">
        <v>3.4285714285714284</v>
      </c>
      <c r="F40" s="9">
        <v>3289.7114285714283</v>
      </c>
      <c r="G40" s="9">
        <v>3371.2671428571425</v>
      </c>
      <c r="H40" s="9">
        <v>3312.7528571428566</v>
      </c>
      <c r="I40" s="9">
        <v>3.7142857142857144E-2</v>
      </c>
      <c r="J40" s="9">
        <v>0.6785714285714286</v>
      </c>
      <c r="K40" s="9">
        <v>0.76857142857142857</v>
      </c>
      <c r="L40" s="9">
        <v>0.82857142857142863</v>
      </c>
      <c r="M40" s="9">
        <v>1</v>
      </c>
      <c r="N40" s="9">
        <v>0.79591836734693888</v>
      </c>
      <c r="O40" s="9">
        <v>0.89795918367346939</v>
      </c>
      <c r="P40" s="9">
        <v>0.48348072562358274</v>
      </c>
      <c r="Q40" s="9">
        <v>0.9</v>
      </c>
      <c r="R40" s="9">
        <v>0.7</v>
      </c>
      <c r="S40" s="9">
        <v>0.9</v>
      </c>
    </row>
    <row r="41" spans="1:19" x14ac:dyDescent="0.2">
      <c r="A41" s="19"/>
      <c r="B41" s="19" t="s">
        <v>24</v>
      </c>
      <c r="C41" s="13" t="s">
        <v>28</v>
      </c>
      <c r="D41" s="9">
        <v>2692.25</v>
      </c>
      <c r="E41" s="9">
        <v>3.75</v>
      </c>
      <c r="F41" s="9">
        <v>240.47666666666669</v>
      </c>
      <c r="G41" s="9">
        <v>269.2525</v>
      </c>
      <c r="H41" s="9">
        <v>245.29499999999999</v>
      </c>
      <c r="I41" s="9">
        <v>3.2500000000000001E-2</v>
      </c>
      <c r="J41" s="9">
        <v>0.71583333333333321</v>
      </c>
      <c r="K41" s="9">
        <v>0.75166666666666659</v>
      </c>
      <c r="L41" s="9">
        <v>0.70499999999999996</v>
      </c>
      <c r="M41" s="9">
        <v>1</v>
      </c>
      <c r="N41" s="9">
        <v>0.96666666666666667</v>
      </c>
      <c r="O41" s="9">
        <v>0.98333333333333339</v>
      </c>
      <c r="P41" s="9">
        <v>0.60862962962962974</v>
      </c>
      <c r="Q41" s="9">
        <v>1</v>
      </c>
      <c r="R41" s="9">
        <v>1</v>
      </c>
      <c r="S41" s="9">
        <v>1</v>
      </c>
    </row>
    <row r="42" spans="1:19" x14ac:dyDescent="0.2">
      <c r="A42" s="19"/>
      <c r="B42" s="19"/>
      <c r="C42" s="13" t="s">
        <v>29</v>
      </c>
      <c r="D42" s="9">
        <v>3823.2222222222222</v>
      </c>
      <c r="E42" s="9">
        <v>3.6666666666666665</v>
      </c>
      <c r="F42" s="9">
        <v>4427.7766666666666</v>
      </c>
      <c r="G42" s="9">
        <v>4955.4877777777783</v>
      </c>
      <c r="H42" s="9">
        <v>4589.03</v>
      </c>
      <c r="I42" s="9">
        <v>5.3333333333333337E-2</v>
      </c>
      <c r="J42" s="9">
        <v>0.70666666666666667</v>
      </c>
      <c r="K42" s="9">
        <v>0.7566666666666666</v>
      </c>
      <c r="L42" s="9">
        <v>0.7599999999999999</v>
      </c>
      <c r="M42" s="9">
        <v>1</v>
      </c>
      <c r="N42" s="9">
        <v>0.9277777777777777</v>
      </c>
      <c r="O42" s="9">
        <v>0.96388888888888902</v>
      </c>
      <c r="P42" s="9">
        <v>0.55727777777777765</v>
      </c>
      <c r="Q42" s="9">
        <v>0.81818181818181823</v>
      </c>
      <c r="R42" s="9">
        <v>0.81818181818181823</v>
      </c>
      <c r="S42" s="9">
        <v>0.81818181818181823</v>
      </c>
    </row>
    <row r="43" spans="1:19" x14ac:dyDescent="0.2">
      <c r="A43" s="19"/>
      <c r="B43" s="19"/>
      <c r="C43" s="13" t="s">
        <v>30</v>
      </c>
      <c r="D43" s="9">
        <v>4967.375</v>
      </c>
      <c r="E43" s="9">
        <v>5.625</v>
      </c>
      <c r="F43" s="9">
        <v>925.38125000000002</v>
      </c>
      <c r="G43" s="9">
        <v>969.01125000000002</v>
      </c>
      <c r="H43" s="9">
        <v>937.12749999999994</v>
      </c>
      <c r="I43" s="9">
        <v>3.125E-2</v>
      </c>
      <c r="J43" s="9">
        <v>0.69499999999999995</v>
      </c>
      <c r="K43" s="9">
        <v>0.76249999999999996</v>
      </c>
      <c r="L43" s="9">
        <v>0.78500000000000003</v>
      </c>
      <c r="M43" s="9">
        <v>1</v>
      </c>
      <c r="N43" s="9">
        <v>0.78392857142857142</v>
      </c>
      <c r="O43" s="9">
        <v>0.89196428571428565</v>
      </c>
      <c r="P43" s="9">
        <v>0.48270072751322751</v>
      </c>
      <c r="Q43" s="9">
        <v>0.8</v>
      </c>
      <c r="R43" s="9">
        <v>0.8</v>
      </c>
      <c r="S43" s="9">
        <v>0.8</v>
      </c>
    </row>
    <row r="44" spans="1:19" x14ac:dyDescent="0.2">
      <c r="A44" s="19"/>
      <c r="B44" s="19" t="s">
        <v>22</v>
      </c>
      <c r="C44" s="13" t="s">
        <v>28</v>
      </c>
      <c r="D44" s="9">
        <v>1483.3333333333333</v>
      </c>
      <c r="E44" s="9">
        <v>3</v>
      </c>
      <c r="F44" s="9">
        <v>73.56</v>
      </c>
      <c r="G44" s="9">
        <v>77.683333333333337</v>
      </c>
      <c r="H44" s="9">
        <v>73.673333333333332</v>
      </c>
      <c r="I44" s="9">
        <v>4.9999999999999996E-2</v>
      </c>
      <c r="J44" s="9">
        <v>0.74333333333333329</v>
      </c>
      <c r="K44" s="9">
        <v>0.78333333333333321</v>
      </c>
      <c r="L44" s="9">
        <v>0.72000000000000008</v>
      </c>
      <c r="M44" s="9">
        <v>1</v>
      </c>
      <c r="N44" s="9">
        <v>1</v>
      </c>
      <c r="O44" s="9">
        <v>1</v>
      </c>
      <c r="P44" s="9">
        <v>0.66148148148148145</v>
      </c>
      <c r="Q44" s="9">
        <v>0.5</v>
      </c>
      <c r="R44" s="9">
        <v>0.25</v>
      </c>
      <c r="S44" s="9">
        <v>0.5</v>
      </c>
    </row>
    <row r="45" spans="1:19" x14ac:dyDescent="0.2">
      <c r="A45" s="19"/>
      <c r="B45" s="19"/>
      <c r="C45" s="13" t="s">
        <v>29</v>
      </c>
      <c r="D45" s="9">
        <v>3140</v>
      </c>
      <c r="E45" s="9">
        <v>1.5</v>
      </c>
      <c r="F45" s="9">
        <v>88.85499999999999</v>
      </c>
      <c r="G45" s="9">
        <v>92.46</v>
      </c>
      <c r="H45" s="9">
        <v>89.385000000000005</v>
      </c>
      <c r="I45" s="9">
        <v>7.4999999999999997E-2</v>
      </c>
      <c r="J45" s="9">
        <v>0.66999999999999993</v>
      </c>
      <c r="K45" s="9">
        <v>0.73</v>
      </c>
      <c r="L45" s="9">
        <v>0.62</v>
      </c>
      <c r="M45" s="9">
        <v>1</v>
      </c>
      <c r="N45" s="9">
        <v>1</v>
      </c>
      <c r="O45" s="9">
        <v>1</v>
      </c>
      <c r="P45" s="9">
        <v>0.73166666666666669</v>
      </c>
      <c r="Q45" s="9">
        <v>0.45454545454545453</v>
      </c>
      <c r="R45" s="9">
        <v>0.18181818181818182</v>
      </c>
      <c r="S45" s="9">
        <v>0.45454545454545453</v>
      </c>
    </row>
    <row r="46" spans="1:19" x14ac:dyDescent="0.2">
      <c r="A46" s="19"/>
      <c r="B46" s="19"/>
      <c r="C46" s="13" t="s">
        <v>30</v>
      </c>
      <c r="D46" s="9">
        <v>600</v>
      </c>
      <c r="E46" s="9">
        <v>2</v>
      </c>
      <c r="F46" s="9">
        <v>39.32</v>
      </c>
      <c r="G46" s="9">
        <v>42.35</v>
      </c>
      <c r="H46" s="9">
        <v>40.07</v>
      </c>
      <c r="I46" s="9">
        <v>0.04</v>
      </c>
      <c r="J46" s="9">
        <v>0.71</v>
      </c>
      <c r="K46" s="9">
        <v>0.76</v>
      </c>
      <c r="L46" s="9">
        <v>0.79</v>
      </c>
      <c r="M46" s="9">
        <v>1</v>
      </c>
      <c r="N46" s="9">
        <v>1</v>
      </c>
      <c r="O46" s="9">
        <v>1</v>
      </c>
      <c r="P46" s="9">
        <v>0.46166666666666673</v>
      </c>
      <c r="Q46" s="9">
        <v>0.3</v>
      </c>
      <c r="R46" s="9">
        <v>0.1</v>
      </c>
      <c r="S46" s="9">
        <v>0.3</v>
      </c>
    </row>
    <row r="47" spans="1:19" x14ac:dyDescent="0.2">
      <c r="A47" s="19"/>
      <c r="B47" s="19" t="s">
        <v>23</v>
      </c>
      <c r="C47" s="13" t="s">
        <v>28</v>
      </c>
      <c r="D47" s="9">
        <v>1410.75</v>
      </c>
      <c r="E47" s="9">
        <v>2.5</v>
      </c>
      <c r="F47" s="9">
        <v>145.52250000000001</v>
      </c>
      <c r="G47" s="9">
        <v>154.09083333333331</v>
      </c>
      <c r="H47" s="9">
        <v>147.12416666666667</v>
      </c>
      <c r="I47" s="9">
        <v>3.9166666666666662E-2</v>
      </c>
      <c r="J47" s="9">
        <v>0.72333333333333316</v>
      </c>
      <c r="K47" s="9">
        <v>0.77333333333333332</v>
      </c>
      <c r="L47" s="9">
        <v>0.69166666666666654</v>
      </c>
      <c r="M47" s="9">
        <v>1</v>
      </c>
      <c r="N47" s="9">
        <v>0.93055555555555569</v>
      </c>
      <c r="O47" s="9">
        <v>0.96527777777777768</v>
      </c>
      <c r="P47" s="9">
        <v>0.66004629629629619</v>
      </c>
      <c r="Q47" s="9">
        <v>1</v>
      </c>
      <c r="R47" s="9">
        <v>1</v>
      </c>
      <c r="S47" s="9">
        <v>1</v>
      </c>
    </row>
    <row r="48" spans="1:19" x14ac:dyDescent="0.2">
      <c r="A48" s="19"/>
      <c r="B48" s="19"/>
      <c r="C48" s="13" t="s">
        <v>29</v>
      </c>
      <c r="D48" s="9">
        <v>2199.8571428571427</v>
      </c>
      <c r="E48" s="9">
        <v>2.1428571428571428</v>
      </c>
      <c r="F48" s="9">
        <v>91.238571428571419</v>
      </c>
      <c r="G48" s="9">
        <v>94.931428571428569</v>
      </c>
      <c r="H48" s="9">
        <v>89.76</v>
      </c>
      <c r="I48" s="9">
        <v>0.10142857142857144</v>
      </c>
      <c r="J48" s="9">
        <v>0.70714285714285707</v>
      </c>
      <c r="K48" s="9">
        <v>0.7857142857142857</v>
      </c>
      <c r="L48" s="9">
        <v>0.7599999999999999</v>
      </c>
      <c r="M48" s="9">
        <v>1</v>
      </c>
      <c r="N48" s="9">
        <v>0.95238095238095244</v>
      </c>
      <c r="O48" s="9">
        <v>0.97619047619047628</v>
      </c>
      <c r="P48" s="9">
        <v>0.52468253968253975</v>
      </c>
      <c r="Q48" s="9">
        <v>1</v>
      </c>
      <c r="R48" s="9">
        <v>0.63636363636363635</v>
      </c>
      <c r="S48" s="9">
        <v>1</v>
      </c>
    </row>
    <row r="49" spans="1:19" x14ac:dyDescent="0.2">
      <c r="A49" s="19"/>
      <c r="B49" s="19"/>
      <c r="C49" s="13" t="s">
        <v>30</v>
      </c>
      <c r="D49" s="9">
        <v>1069.2</v>
      </c>
      <c r="E49" s="9">
        <v>3</v>
      </c>
      <c r="F49" s="9">
        <v>1139.7739999999999</v>
      </c>
      <c r="G49" s="9">
        <v>1144.646</v>
      </c>
      <c r="H49" s="9">
        <v>1136.104</v>
      </c>
      <c r="I49" s="9">
        <v>7.9999999999999988E-2</v>
      </c>
      <c r="J49" s="9">
        <v>0.71599999999999997</v>
      </c>
      <c r="K49" s="9">
        <v>0.78199999999999992</v>
      </c>
      <c r="L49" s="9">
        <v>0.90333333333333332</v>
      </c>
      <c r="M49" s="9">
        <v>1</v>
      </c>
      <c r="N49" s="9">
        <v>0.4</v>
      </c>
      <c r="O49" s="9">
        <v>0.70000000000000007</v>
      </c>
      <c r="P49" s="9">
        <v>0.44866666666666666</v>
      </c>
      <c r="Q49" s="9">
        <v>0.8</v>
      </c>
      <c r="R49" s="9">
        <v>0.5</v>
      </c>
      <c r="S49" s="9">
        <v>0.8</v>
      </c>
    </row>
    <row r="50" spans="1:19" x14ac:dyDescent="0.2">
      <c r="A50" s="19"/>
      <c r="B50" s="19" t="s">
        <v>25</v>
      </c>
      <c r="C50" s="13" t="s">
        <v>28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 x14ac:dyDescent="0.2">
      <c r="A51" s="19"/>
      <c r="B51" s="19"/>
      <c r="C51" s="13" t="s">
        <v>29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 x14ac:dyDescent="0.2">
      <c r="A52" s="19"/>
      <c r="B52" s="19"/>
      <c r="C52" s="13" t="s">
        <v>30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 x14ac:dyDescent="0.2">
      <c r="A53" s="19"/>
      <c r="B53" s="19" t="s">
        <v>34</v>
      </c>
      <c r="C53" s="13" t="s">
        <v>28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0.16666666666666666</v>
      </c>
      <c r="R53" s="9">
        <v>0</v>
      </c>
      <c r="S53" s="9">
        <v>0.16666666666666666</v>
      </c>
    </row>
    <row r="54" spans="1:19" x14ac:dyDescent="0.2">
      <c r="A54" s="19"/>
      <c r="B54" s="19"/>
      <c r="C54" s="13" t="s">
        <v>29</v>
      </c>
      <c r="D54" s="9">
        <v>18905</v>
      </c>
      <c r="E54" s="9">
        <v>1</v>
      </c>
      <c r="F54" s="9">
        <v>264.68</v>
      </c>
      <c r="G54" s="9">
        <v>275.25</v>
      </c>
      <c r="H54" s="9">
        <v>267.89</v>
      </c>
      <c r="I54" s="9">
        <v>0</v>
      </c>
      <c r="J54" s="9">
        <v>0.61</v>
      </c>
      <c r="K54" s="9">
        <v>0.65</v>
      </c>
      <c r="L54" s="9">
        <v>1</v>
      </c>
      <c r="M54" s="9">
        <v>1</v>
      </c>
      <c r="N54" s="9">
        <v>0</v>
      </c>
      <c r="O54" s="9">
        <v>0.5</v>
      </c>
      <c r="P54" s="9">
        <v>0.33333333333333331</v>
      </c>
      <c r="Q54" s="9">
        <v>0.45454545454545453</v>
      </c>
      <c r="R54" s="9">
        <v>9.0909090909090912E-2</v>
      </c>
      <c r="S54" s="9">
        <v>0.45454545454545453</v>
      </c>
    </row>
    <row r="55" spans="1:19" x14ac:dyDescent="0.2">
      <c r="A55" s="19"/>
      <c r="B55" s="19"/>
      <c r="C55" s="13" t="s">
        <v>30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 x14ac:dyDescent="0.2">
      <c r="A56" s="19"/>
      <c r="B56" s="19" t="s">
        <v>26</v>
      </c>
      <c r="C56" s="13" t="s">
        <v>28</v>
      </c>
      <c r="D56" s="9">
        <v>92811</v>
      </c>
      <c r="E56" s="9">
        <v>0</v>
      </c>
      <c r="F56" s="9">
        <v>3425.1433333333334</v>
      </c>
      <c r="G56" s="9">
        <v>3532.81</v>
      </c>
      <c r="H56" s="9">
        <v>3414.0533333333333</v>
      </c>
      <c r="I56" s="9">
        <v>1.3333333333333334E-2</v>
      </c>
      <c r="J56" s="9">
        <v>0.60666666666666669</v>
      </c>
      <c r="K56" s="9">
        <v>0.68</v>
      </c>
      <c r="L56" s="9">
        <v>0</v>
      </c>
      <c r="M56" s="9">
        <v>1</v>
      </c>
      <c r="N56" s="9">
        <v>1</v>
      </c>
      <c r="O56" s="9">
        <v>1</v>
      </c>
      <c r="P56" s="9">
        <v>0.5</v>
      </c>
      <c r="Q56" s="9">
        <v>0.25</v>
      </c>
      <c r="R56" s="9">
        <v>0.25</v>
      </c>
      <c r="S56" s="9">
        <v>0.25</v>
      </c>
    </row>
    <row r="57" spans="1:19" x14ac:dyDescent="0.2">
      <c r="A57" s="19"/>
      <c r="B57" s="19"/>
      <c r="C57" s="13" t="s">
        <v>29</v>
      </c>
      <c r="D57" s="9">
        <v>612585</v>
      </c>
      <c r="E57" s="9">
        <v>0.5</v>
      </c>
      <c r="F57" s="9">
        <v>13757.425000000001</v>
      </c>
      <c r="G57" s="9">
        <v>14339.684999999999</v>
      </c>
      <c r="H57" s="9">
        <v>13935.8</v>
      </c>
      <c r="I57" s="9">
        <v>0</v>
      </c>
      <c r="J57" s="9">
        <v>0.56499999999999995</v>
      </c>
      <c r="K57" s="9">
        <v>0.68500000000000005</v>
      </c>
      <c r="L57" s="9">
        <v>0.53</v>
      </c>
      <c r="M57" s="9">
        <v>1</v>
      </c>
      <c r="N57" s="9">
        <v>1</v>
      </c>
      <c r="O57" s="9">
        <v>1</v>
      </c>
      <c r="P57" s="9">
        <v>0.66166666666666663</v>
      </c>
      <c r="Q57" s="9">
        <v>0.36363636363636365</v>
      </c>
      <c r="R57" s="9">
        <v>0.18181818181818182</v>
      </c>
      <c r="S57" s="9">
        <v>0.36363636363636365</v>
      </c>
    </row>
    <row r="58" spans="1:19" x14ac:dyDescent="0.2">
      <c r="A58" s="19"/>
      <c r="B58" s="19"/>
      <c r="C58" s="13" t="s">
        <v>30</v>
      </c>
      <c r="D58" s="9">
        <v>55</v>
      </c>
      <c r="E58" s="9">
        <v>0</v>
      </c>
      <c r="F58" s="9">
        <v>15.85</v>
      </c>
      <c r="G58" s="9">
        <v>19.260000000000002</v>
      </c>
      <c r="H58" s="9">
        <v>14.89</v>
      </c>
      <c r="I58" s="9">
        <v>0</v>
      </c>
      <c r="J58" s="9">
        <v>0.6</v>
      </c>
      <c r="K58" s="9">
        <v>0.67</v>
      </c>
      <c r="L58" s="9">
        <v>0</v>
      </c>
      <c r="M58" s="9">
        <v>1</v>
      </c>
      <c r="N58" s="9">
        <v>1</v>
      </c>
      <c r="O58" s="9">
        <v>1</v>
      </c>
      <c r="P58" s="9">
        <v>0.5</v>
      </c>
      <c r="Q58" s="9">
        <v>0.1</v>
      </c>
      <c r="R58" s="9">
        <v>0.1</v>
      </c>
      <c r="S58" s="9">
        <v>0.1</v>
      </c>
    </row>
    <row r="59" spans="1:19" x14ac:dyDescent="0.2">
      <c r="A59" s="19"/>
      <c r="B59" s="19" t="s">
        <v>35</v>
      </c>
      <c r="C59" s="13" t="s">
        <v>28</v>
      </c>
      <c r="D59" s="9">
        <v>1090</v>
      </c>
      <c r="E59" s="9">
        <v>0.33333333333333331</v>
      </c>
      <c r="F59" s="9">
        <v>37.516666666666673</v>
      </c>
      <c r="G59" s="9">
        <v>39.119999999999997</v>
      </c>
      <c r="H59" s="9">
        <v>36.799999999999997</v>
      </c>
      <c r="I59" s="9">
        <v>0</v>
      </c>
      <c r="J59" s="9">
        <v>0.63</v>
      </c>
      <c r="K59" s="9">
        <v>0.70333333333333325</v>
      </c>
      <c r="L59" s="9">
        <v>0.64</v>
      </c>
      <c r="M59" s="9">
        <v>1</v>
      </c>
      <c r="N59" s="9">
        <v>1</v>
      </c>
      <c r="O59" s="9">
        <v>1</v>
      </c>
      <c r="P59" s="9">
        <v>0.57333333333333336</v>
      </c>
      <c r="Q59" s="9">
        <v>0.75</v>
      </c>
      <c r="R59" s="9">
        <v>0.25</v>
      </c>
      <c r="S59" s="9">
        <v>0.75</v>
      </c>
    </row>
    <row r="60" spans="1:19" x14ac:dyDescent="0.2">
      <c r="A60" s="19"/>
      <c r="B60" s="19"/>
      <c r="C60" s="13" t="s">
        <v>29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0.36363636363636365</v>
      </c>
      <c r="R60" s="9">
        <v>0</v>
      </c>
      <c r="S60" s="9">
        <v>0.36363636363636365</v>
      </c>
    </row>
    <row r="61" spans="1:19" x14ac:dyDescent="0.2">
      <c r="A61" s="19"/>
      <c r="B61" s="19"/>
      <c r="C61" s="13" t="s">
        <v>30</v>
      </c>
      <c r="D61" s="9">
        <v>1000</v>
      </c>
      <c r="E61" s="9">
        <v>2</v>
      </c>
      <c r="F61" s="9">
        <v>137.24</v>
      </c>
      <c r="G61" s="9">
        <v>151.88999999999999</v>
      </c>
      <c r="H61" s="9">
        <v>136.13999999999999</v>
      </c>
      <c r="I61" s="9">
        <v>0</v>
      </c>
      <c r="J61" s="9">
        <v>0.63</v>
      </c>
      <c r="K61" s="9">
        <v>0.7</v>
      </c>
      <c r="L61" s="9">
        <v>0.55000000000000004</v>
      </c>
      <c r="M61" s="9">
        <v>1</v>
      </c>
      <c r="N61" s="9">
        <v>1</v>
      </c>
      <c r="O61" s="9">
        <v>1</v>
      </c>
      <c r="P61" s="9">
        <v>0.79666666666666675</v>
      </c>
      <c r="Q61" s="9">
        <v>0.3</v>
      </c>
      <c r="R61" s="9">
        <v>0.1</v>
      </c>
      <c r="S61" s="9">
        <v>0.3</v>
      </c>
    </row>
    <row r="62" spans="1:19" x14ac:dyDescent="0.2">
      <c r="A62" s="19"/>
      <c r="B62" s="19" t="s">
        <v>27</v>
      </c>
      <c r="C62" s="13" t="s">
        <v>28</v>
      </c>
      <c r="D62" s="9">
        <v>5.5</v>
      </c>
      <c r="E62" s="9">
        <v>1</v>
      </c>
      <c r="F62" s="9">
        <v>17.465000000000003</v>
      </c>
      <c r="G62" s="9">
        <v>17.715</v>
      </c>
      <c r="H62" s="9">
        <v>15.975</v>
      </c>
      <c r="I62" s="9">
        <v>0</v>
      </c>
      <c r="J62" s="9">
        <v>0.68500000000000005</v>
      </c>
      <c r="K62" s="9">
        <v>0.72</v>
      </c>
      <c r="L62" s="9">
        <v>0.66500000000000004</v>
      </c>
      <c r="M62" s="9">
        <v>1</v>
      </c>
      <c r="N62" s="9">
        <v>1</v>
      </c>
      <c r="O62" s="9">
        <v>1</v>
      </c>
      <c r="P62" s="9">
        <v>0.44500000000000001</v>
      </c>
      <c r="Q62" s="9">
        <v>0.33333333333333331</v>
      </c>
      <c r="R62" s="9">
        <v>0.16666666666666666</v>
      </c>
      <c r="S62" s="9">
        <v>0.33333333333333331</v>
      </c>
    </row>
    <row r="63" spans="1:19" x14ac:dyDescent="0.2">
      <c r="A63" s="19"/>
      <c r="B63" s="19"/>
      <c r="C63" s="13" t="s">
        <v>29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9.0909090909090912E-2</v>
      </c>
      <c r="R63" s="9">
        <v>0</v>
      </c>
      <c r="S63" s="9">
        <v>9.0909090909090912E-2</v>
      </c>
    </row>
    <row r="64" spans="1:19" x14ac:dyDescent="0.2">
      <c r="A64" s="19"/>
      <c r="B64" s="19"/>
      <c r="C64" s="13" t="s">
        <v>30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 x14ac:dyDescent="0.2">
      <c r="A65" s="19"/>
      <c r="B65" s="19" t="s">
        <v>38</v>
      </c>
      <c r="C65" s="13" t="s">
        <v>28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 x14ac:dyDescent="0.2">
      <c r="A66" s="19"/>
      <c r="B66" s="19"/>
      <c r="C66" s="13" t="s">
        <v>29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 x14ac:dyDescent="0.2">
      <c r="A67" s="19"/>
      <c r="B67" s="19"/>
      <c r="C67" s="13" t="s">
        <v>30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 x14ac:dyDescent="0.2">
      <c r="A68" s="19"/>
      <c r="B68" s="19" t="s">
        <v>37</v>
      </c>
      <c r="C68" s="13" t="s">
        <v>28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x14ac:dyDescent="0.2">
      <c r="A69" s="19"/>
      <c r="B69" s="19"/>
      <c r="C69" s="13" t="s">
        <v>29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 x14ac:dyDescent="0.2">
      <c r="A70" s="19"/>
      <c r="B70" s="19"/>
      <c r="C70" s="13" t="s">
        <v>30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 x14ac:dyDescent="0.2">
      <c r="A71" s="19"/>
      <c r="B71" s="19" t="s">
        <v>39</v>
      </c>
      <c r="C71" s="13" t="s">
        <v>28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 x14ac:dyDescent="0.2">
      <c r="A72" s="19"/>
      <c r="B72" s="19"/>
      <c r="C72" s="13" t="s">
        <v>29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  <row r="73" spans="1:19" x14ac:dyDescent="0.2">
      <c r="A73" s="19"/>
      <c r="B73" s="19"/>
      <c r="C73" s="13" t="s">
        <v>30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</row>
  </sheetData>
  <mergeCells count="26">
    <mergeCell ref="B62:B64"/>
    <mergeCell ref="B65:B67"/>
    <mergeCell ref="B71:B73"/>
    <mergeCell ref="B68:B70"/>
    <mergeCell ref="B32:B34"/>
    <mergeCell ref="B29:B31"/>
    <mergeCell ref="B35:B37"/>
    <mergeCell ref="A38:A73"/>
    <mergeCell ref="B38:B40"/>
    <mergeCell ref="B41:B43"/>
    <mergeCell ref="B44:B46"/>
    <mergeCell ref="B47:B49"/>
    <mergeCell ref="B50:B52"/>
    <mergeCell ref="B53:B55"/>
    <mergeCell ref="A2:A37"/>
    <mergeCell ref="B2:B4"/>
    <mergeCell ref="B5:B7"/>
    <mergeCell ref="B8:B10"/>
    <mergeCell ref="B11:B13"/>
    <mergeCell ref="B56:B58"/>
    <mergeCell ref="B59:B61"/>
    <mergeCell ref="B14:B16"/>
    <mergeCell ref="B17:B19"/>
    <mergeCell ref="B20:B22"/>
    <mergeCell ref="B23:B25"/>
    <mergeCell ref="B26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</vt:lpstr>
      <vt:lpstr>Screen with C</vt:lpstr>
      <vt:lpstr>H1-AM</vt:lpstr>
      <vt:lpstr>H1-AM&amp;C</vt:lpstr>
      <vt:lpstr>H2-AM</vt:lpstr>
      <vt:lpstr>H2-AM&amp;C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Jaldi, Chris Davis</dc:creator>
  <cp:lastModifiedBy>Jaldi, Chris Davis</cp:lastModifiedBy>
  <dcterms:created xsi:type="dcterms:W3CDTF">2025-11-24T22:33:24Z</dcterms:created>
  <dcterms:modified xsi:type="dcterms:W3CDTF">2025-11-30T02:03:37Z</dcterms:modified>
</cp:coreProperties>
</file>