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davisj/Downloads/thesis_consolidated_results/"/>
    </mc:Choice>
  </mc:AlternateContent>
  <xr:revisionPtr revIDLastSave="0" documentId="13_ncr:1_{C348F7EF-DEA4-F74D-BBC6-81FDB852576C}" xr6:coauthVersionLast="47" xr6:coauthVersionMax="47" xr10:uidLastSave="{00000000-0000-0000-0000-000000000000}"/>
  <bookViews>
    <workbookView xWindow="0" yWindow="680" windowWidth="29400" windowHeight="17160" activeTab="6" xr2:uid="{7A8068D3-CF3B-1441-8180-6B54D6D6496B}"/>
  </bookViews>
  <sheets>
    <sheet name="Screen" sheetId="5" r:id="rId1"/>
    <sheet name="All_Screen" sheetId="9" r:id="rId2"/>
    <sheet name="Screen with C" sheetId="6" r:id="rId3"/>
    <sheet name="H1-AM" sheetId="1" r:id="rId4"/>
    <sheet name="H1-AM&amp;C" sheetId="2" r:id="rId5"/>
    <sheet name="H2-AM" sheetId="7" r:id="rId6"/>
    <sheet name="H2-AM&amp;C" sheetId="8" r:id="rId7"/>
  </sheets>
  <definedNames>
    <definedName name="_xlnm._FilterDatabase" localSheetId="1" hidden="1">All_Screen!$A$1:$A$25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6" i="5"/>
  <c r="D7" i="5"/>
  <c r="D8" i="5"/>
  <c r="D9" i="5"/>
  <c r="D3" i="5"/>
  <c r="D4" i="5"/>
  <c r="D2" i="5"/>
  <c r="C5" i="5"/>
  <c r="C6" i="5"/>
  <c r="C7" i="5"/>
  <c r="C8" i="5"/>
  <c r="C9" i="5"/>
  <c r="C3" i="5"/>
  <c r="C4" i="5"/>
  <c r="C2" i="5"/>
</calcChain>
</file>

<file path=xl/sharedStrings.xml><?xml version="1.0" encoding="utf-8"?>
<sst xmlns="http://schemas.openxmlformats.org/spreadsheetml/2006/main" count="256" uniqueCount="30">
  <si>
    <t>Model</t>
  </si>
  <si>
    <t>Complexity</t>
  </si>
  <si>
    <t>KG</t>
  </si>
  <si>
    <t>Claude</t>
  </si>
  <si>
    <t>Big</t>
  </si>
  <si>
    <t>latency_p50_ms</t>
  </si>
  <si>
    <t>latency_p95_ms</t>
  </si>
  <si>
    <t>latency_mean_ms</t>
  </si>
  <si>
    <t>rows</t>
  </si>
  <si>
    <t>vars</t>
  </si>
  <si>
    <t>lexical_query_overlap</t>
  </si>
  <si>
    <t>semantic_similarity_to_CQ</t>
  </si>
  <si>
    <t>semantic_soft_coverage_to_CQ</t>
  </si>
  <si>
    <t>tuple_cohesion</t>
  </si>
  <si>
    <t>determinism_score</t>
  </si>
  <si>
    <t>satisfiability_binding_score</t>
  </si>
  <si>
    <t>h1_overall</t>
  </si>
  <si>
    <t>semantic_diversity_score</t>
  </si>
  <si>
    <t>syntax_ok_rate</t>
  </si>
  <si>
    <t>satisfiable_rate</t>
  </si>
  <si>
    <t>deterministic_rate</t>
  </si>
  <si>
    <t>Small</t>
  </si>
  <si>
    <t>Deepseek R1</t>
  </si>
  <si>
    <t>GPT OSS</t>
  </si>
  <si>
    <t>GPT5</t>
  </si>
  <si>
    <t>Simple</t>
  </si>
  <si>
    <t>Moderate</t>
  </si>
  <si>
    <t>Complex</t>
  </si>
  <si>
    <t>Valid Syntax recognized</t>
  </si>
  <si>
    <t>Full Validity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</si>
</sst>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765A-0D96-F444-924E-F5BC669E0C76}">
  <dimension ref="A1:D9"/>
  <sheetViews>
    <sheetView workbookViewId="0">
      <selection activeCell="D15" sqref="D15"/>
    </sheetView>
  </sheetViews>
  <sheetFormatPr baseColWidth="10" defaultRowHeight="16" x14ac:dyDescent="0.2"/>
  <cols>
    <col min="1" max="1" width="5.83203125" bestFit="1" customWidth="1"/>
    <col min="2" max="2" width="14.83203125" bestFit="1" customWidth="1"/>
    <col min="3" max="3" width="20.5" bestFit="1" customWidth="1"/>
    <col min="4" max="4" width="10.6640625" bestFit="1" customWidth="1"/>
  </cols>
  <sheetData>
    <row r="1" spans="1:4" x14ac:dyDescent="0.2">
      <c r="A1" s="4" t="s">
        <v>2</v>
      </c>
      <c r="B1" s="4" t="s">
        <v>0</v>
      </c>
      <c r="C1" s="10" t="s">
        <v>28</v>
      </c>
      <c r="D1" s="10" t="s">
        <v>29</v>
      </c>
    </row>
    <row r="2" spans="1:4" x14ac:dyDescent="0.2">
      <c r="A2" s="18" t="s">
        <v>4</v>
      </c>
      <c r="B2" s="4" t="s">
        <v>3</v>
      </c>
      <c r="C2" s="11">
        <f ca="1">SUM(OFFSET('Screen with C'!$D$2, (ROW() - ROW($A$2)) * 3, 0, 3, 1))</f>
        <v>30</v>
      </c>
      <c r="D2" s="11">
        <f ca="1">SUM(OFFSET('Screen with C'!$E$2, (ROW() - ROW($A$2)) * 3, 0, 3, 1))</f>
        <v>26</v>
      </c>
    </row>
    <row r="3" spans="1:4" x14ac:dyDescent="0.2">
      <c r="A3" s="18"/>
      <c r="B3" s="4" t="s">
        <v>24</v>
      </c>
      <c r="C3" s="11">
        <f ca="1">SUM(OFFSET('Screen with C'!$D$2, (ROW() - ROW($A$2)) * 3, 0, 3, 1))</f>
        <v>27</v>
      </c>
      <c r="D3" s="11">
        <f ca="1">SUM(OFFSET('Screen with C'!$E$2, (ROW() - ROW($A$2)) * 3, 0, 3, 1))</f>
        <v>26</v>
      </c>
    </row>
    <row r="4" spans="1:4" x14ac:dyDescent="0.2">
      <c r="A4" s="18"/>
      <c r="B4" s="4" t="s">
        <v>22</v>
      </c>
      <c r="C4" s="11">
        <f ca="1">SUM(OFFSET('Screen with C'!$D$2, (ROW() - ROW($A$2)) * 3, 0, 3, 1))</f>
        <v>6</v>
      </c>
      <c r="D4" s="11">
        <f ca="1">SUM(OFFSET('Screen with C'!$E$2, (ROW() - ROW($A$2)) * 3, 0, 3, 1))</f>
        <v>4</v>
      </c>
    </row>
    <row r="5" spans="1:4" x14ac:dyDescent="0.2">
      <c r="A5" s="18"/>
      <c r="B5" s="4" t="s">
        <v>23</v>
      </c>
      <c r="C5" s="11">
        <f ca="1">SUM(OFFSET('Screen with C'!$D$2, (ROW() - ROW($A$2)) * 3, 0, 3, 1))</f>
        <v>31</v>
      </c>
      <c r="D5" s="11">
        <f ca="1">SUM(OFFSET('Screen with C'!$E$2, (ROW() - ROW($A$2)) * 3, 0, 3, 1))</f>
        <v>25</v>
      </c>
    </row>
    <row r="6" spans="1:4" x14ac:dyDescent="0.2">
      <c r="A6" s="18" t="s">
        <v>21</v>
      </c>
      <c r="B6" s="4" t="s">
        <v>3</v>
      </c>
      <c r="C6" s="11">
        <f ca="1">SUM(OFFSET('Screen with C'!$D$2, (ROW() - ROW($A$2)) * 3, 0, 3, 1))</f>
        <v>31</v>
      </c>
      <c r="D6" s="11">
        <f ca="1">SUM(OFFSET('Screen with C'!$E$2, (ROW() - ROW($A$2)) * 3, 0, 3, 1))</f>
        <v>26</v>
      </c>
    </row>
    <row r="7" spans="1:4" x14ac:dyDescent="0.2">
      <c r="A7" s="18"/>
      <c r="B7" s="4" t="s">
        <v>24</v>
      </c>
      <c r="C7" s="11">
        <f ca="1">SUM(OFFSET('Screen with C'!$D$2, (ROW() - ROW($A$2)) * 3, 0, 3, 1))</f>
        <v>29</v>
      </c>
      <c r="D7" s="11">
        <f ca="1">SUM(OFFSET('Screen with C'!$E$2, (ROW() - ROW($A$2)) * 3, 0, 3, 1))</f>
        <v>29</v>
      </c>
    </row>
    <row r="8" spans="1:4" x14ac:dyDescent="0.2">
      <c r="A8" s="18"/>
      <c r="B8" s="4" t="s">
        <v>22</v>
      </c>
      <c r="C8" s="11">
        <f ca="1">SUM(OFFSET('Screen with C'!$D$2, (ROW() - ROW($A$2)) * 3, 0, 3, 1))</f>
        <v>14</v>
      </c>
      <c r="D8" s="11">
        <f ca="1">SUM(OFFSET('Screen with C'!$E$2, (ROW() - ROW($A$2)) * 3, 0, 3, 1))</f>
        <v>6</v>
      </c>
    </row>
    <row r="9" spans="1:4" x14ac:dyDescent="0.2">
      <c r="A9" s="18"/>
      <c r="B9" s="4" t="s">
        <v>23</v>
      </c>
      <c r="C9" s="11">
        <f ca="1">SUM(OFFSET('Screen with C'!$D$2, (ROW() - ROW($A$2)) * 3, 0, 3, 1))</f>
        <v>31</v>
      </c>
      <c r="D9" s="11">
        <f ca="1">SUM(OFFSET('Screen with C'!$E$2, (ROW() - ROW($A$2)) * 3, 0, 3, 1))</f>
        <v>24</v>
      </c>
    </row>
  </sheetData>
  <mergeCells count="2">
    <mergeCell ref="A2:A5"/>
    <mergeCell ref="A6:A9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C4FD-3D71-9347-ABC6-2237302579F3}">
  <dimension ref="A1:G25"/>
  <sheetViews>
    <sheetView zoomScale="75" zoomScaleNormal="75" workbookViewId="0">
      <selection activeCell="E19" sqref="E19"/>
    </sheetView>
  </sheetViews>
  <sheetFormatPr baseColWidth="10" defaultRowHeight="16" x14ac:dyDescent="0.2"/>
  <cols>
    <col min="1" max="1" width="5.83203125" bestFit="1" customWidth="1"/>
    <col min="2" max="2" width="14.83203125" bestFit="1" customWidth="1"/>
    <col min="3" max="3" width="10.83203125" customWidth="1"/>
    <col min="4" max="4" width="7" customWidth="1"/>
    <col min="5" max="5" width="11.6640625" customWidth="1"/>
    <col min="6" max="6" width="10.33203125" customWidth="1"/>
    <col min="7" max="7" width="7" customWidth="1"/>
  </cols>
  <sheetData>
    <row r="1" spans="1:7" ht="51" x14ac:dyDescent="0.2">
      <c r="A1" s="4" t="s">
        <v>2</v>
      </c>
      <c r="B1" s="4" t="s">
        <v>0</v>
      </c>
      <c r="C1" s="17" t="s">
        <v>28</v>
      </c>
      <c r="D1" s="17" t="s">
        <v>29</v>
      </c>
      <c r="E1" s="17" t="s">
        <v>1</v>
      </c>
      <c r="F1" s="17" t="s">
        <v>28</v>
      </c>
      <c r="G1" s="17" t="s">
        <v>29</v>
      </c>
    </row>
    <row r="2" spans="1:7" x14ac:dyDescent="0.2">
      <c r="A2" s="18" t="s">
        <v>4</v>
      </c>
      <c r="B2" s="18" t="s">
        <v>3</v>
      </c>
      <c r="C2" s="18">
        <v>30</v>
      </c>
      <c r="D2" s="18">
        <v>26</v>
      </c>
      <c r="E2" s="4" t="s">
        <v>25</v>
      </c>
      <c r="F2" s="8">
        <v>12</v>
      </c>
      <c r="G2" s="8">
        <v>11</v>
      </c>
    </row>
    <row r="3" spans="1:7" x14ac:dyDescent="0.2">
      <c r="A3" s="18"/>
      <c r="B3" s="18"/>
      <c r="C3" s="18"/>
      <c r="D3" s="18"/>
      <c r="E3" s="4" t="s">
        <v>26</v>
      </c>
      <c r="F3" s="8">
        <v>10</v>
      </c>
      <c r="G3" s="8">
        <v>8</v>
      </c>
    </row>
    <row r="4" spans="1:7" x14ac:dyDescent="0.2">
      <c r="A4" s="18"/>
      <c r="B4" s="18"/>
      <c r="C4" s="18"/>
      <c r="D4" s="18"/>
      <c r="E4" s="4" t="s">
        <v>27</v>
      </c>
      <c r="F4" s="8">
        <v>8</v>
      </c>
      <c r="G4" s="8">
        <v>7</v>
      </c>
    </row>
    <row r="5" spans="1:7" x14ac:dyDescent="0.2">
      <c r="A5" s="18"/>
      <c r="B5" s="18" t="s">
        <v>24</v>
      </c>
      <c r="C5" s="18">
        <v>27</v>
      </c>
      <c r="D5" s="18">
        <v>26</v>
      </c>
      <c r="E5" s="4" t="s">
        <v>25</v>
      </c>
      <c r="F5" s="8">
        <v>10</v>
      </c>
      <c r="G5" s="8">
        <v>10</v>
      </c>
    </row>
    <row r="6" spans="1:7" x14ac:dyDescent="0.2">
      <c r="A6" s="18"/>
      <c r="B6" s="18"/>
      <c r="C6" s="18"/>
      <c r="D6" s="18"/>
      <c r="E6" s="4" t="s">
        <v>26</v>
      </c>
      <c r="F6" s="8">
        <v>9</v>
      </c>
      <c r="G6" s="8">
        <v>8</v>
      </c>
    </row>
    <row r="7" spans="1:7" x14ac:dyDescent="0.2">
      <c r="A7" s="18"/>
      <c r="B7" s="18"/>
      <c r="C7" s="18"/>
      <c r="D7" s="18"/>
      <c r="E7" s="4" t="s">
        <v>27</v>
      </c>
      <c r="F7" s="8">
        <v>8</v>
      </c>
      <c r="G7" s="8">
        <v>8</v>
      </c>
    </row>
    <row r="8" spans="1:7" x14ac:dyDescent="0.2">
      <c r="A8" s="18"/>
      <c r="B8" s="18" t="s">
        <v>22</v>
      </c>
      <c r="C8" s="18">
        <v>6</v>
      </c>
      <c r="D8" s="18">
        <v>4</v>
      </c>
      <c r="E8" s="4" t="s">
        <v>25</v>
      </c>
      <c r="F8" s="8">
        <v>3</v>
      </c>
      <c r="G8" s="8">
        <v>2</v>
      </c>
    </row>
    <row r="9" spans="1:7" x14ac:dyDescent="0.2">
      <c r="A9" s="18"/>
      <c r="B9" s="18"/>
      <c r="C9" s="18"/>
      <c r="D9" s="18"/>
      <c r="E9" s="4" t="s">
        <v>26</v>
      </c>
      <c r="F9" s="8">
        <v>0</v>
      </c>
      <c r="G9" s="8">
        <v>0</v>
      </c>
    </row>
    <row r="10" spans="1:7" x14ac:dyDescent="0.2">
      <c r="A10" s="18"/>
      <c r="B10" s="18"/>
      <c r="C10" s="18"/>
      <c r="D10" s="18"/>
      <c r="E10" s="4" t="s">
        <v>27</v>
      </c>
      <c r="F10" s="8">
        <v>3</v>
      </c>
      <c r="G10" s="8">
        <v>2</v>
      </c>
    </row>
    <row r="11" spans="1:7" x14ac:dyDescent="0.2">
      <c r="A11" s="18"/>
      <c r="B11" s="18" t="s">
        <v>23</v>
      </c>
      <c r="C11" s="18">
        <v>31</v>
      </c>
      <c r="D11" s="18">
        <v>25</v>
      </c>
      <c r="E11" s="4" t="s">
        <v>25</v>
      </c>
      <c r="F11" s="8">
        <v>11</v>
      </c>
      <c r="G11" s="8">
        <v>7</v>
      </c>
    </row>
    <row r="12" spans="1:7" x14ac:dyDescent="0.2">
      <c r="A12" s="18"/>
      <c r="B12" s="18"/>
      <c r="C12" s="18"/>
      <c r="D12" s="18"/>
      <c r="E12" s="4" t="s">
        <v>26</v>
      </c>
      <c r="F12" s="8">
        <v>10</v>
      </c>
      <c r="G12" s="8">
        <v>9</v>
      </c>
    </row>
    <row r="13" spans="1:7" x14ac:dyDescent="0.2">
      <c r="A13" s="18"/>
      <c r="B13" s="18"/>
      <c r="C13" s="18"/>
      <c r="D13" s="18"/>
      <c r="E13" s="4" t="s">
        <v>27</v>
      </c>
      <c r="F13" s="8">
        <v>10</v>
      </c>
      <c r="G13" s="8">
        <v>9</v>
      </c>
    </row>
    <row r="14" spans="1:7" x14ac:dyDescent="0.2">
      <c r="A14" s="18" t="s">
        <v>21</v>
      </c>
      <c r="B14" s="18" t="s">
        <v>3</v>
      </c>
      <c r="C14" s="18">
        <v>31</v>
      </c>
      <c r="D14" s="18">
        <v>26</v>
      </c>
      <c r="E14" s="4" t="s">
        <v>25</v>
      </c>
      <c r="F14" s="8">
        <v>12</v>
      </c>
      <c r="G14" s="8">
        <v>11</v>
      </c>
    </row>
    <row r="15" spans="1:7" x14ac:dyDescent="0.2">
      <c r="A15" s="18"/>
      <c r="B15" s="18"/>
      <c r="C15" s="18"/>
      <c r="D15" s="18"/>
      <c r="E15" s="4" t="s">
        <v>26</v>
      </c>
      <c r="F15" s="8">
        <v>10</v>
      </c>
      <c r="G15" s="8">
        <v>8</v>
      </c>
    </row>
    <row r="16" spans="1:7" x14ac:dyDescent="0.2">
      <c r="A16" s="18"/>
      <c r="B16" s="18"/>
      <c r="C16" s="18"/>
      <c r="D16" s="18"/>
      <c r="E16" s="4" t="s">
        <v>27</v>
      </c>
      <c r="F16" s="8">
        <v>9</v>
      </c>
      <c r="G16" s="8">
        <v>7</v>
      </c>
    </row>
    <row r="17" spans="1:7" x14ac:dyDescent="0.2">
      <c r="A17" s="18"/>
      <c r="B17" s="18" t="s">
        <v>24</v>
      </c>
      <c r="C17" s="18">
        <v>29</v>
      </c>
      <c r="D17" s="18">
        <v>29</v>
      </c>
      <c r="E17" s="4" t="s">
        <v>25</v>
      </c>
      <c r="F17" s="8">
        <v>12</v>
      </c>
      <c r="G17" s="8">
        <v>12</v>
      </c>
    </row>
    <row r="18" spans="1:7" x14ac:dyDescent="0.2">
      <c r="A18" s="18"/>
      <c r="B18" s="18"/>
      <c r="C18" s="18"/>
      <c r="D18" s="18"/>
      <c r="E18" s="4" t="s">
        <v>26</v>
      </c>
      <c r="F18" s="8">
        <v>9</v>
      </c>
      <c r="G18" s="8">
        <v>9</v>
      </c>
    </row>
    <row r="19" spans="1:7" x14ac:dyDescent="0.2">
      <c r="A19" s="18"/>
      <c r="B19" s="18"/>
      <c r="C19" s="18"/>
      <c r="D19" s="18"/>
      <c r="E19" s="4" t="s">
        <v>27</v>
      </c>
      <c r="F19" s="8">
        <v>8</v>
      </c>
      <c r="G19" s="8">
        <v>8</v>
      </c>
    </row>
    <row r="20" spans="1:7" x14ac:dyDescent="0.2">
      <c r="A20" s="18"/>
      <c r="B20" s="18" t="s">
        <v>22</v>
      </c>
      <c r="C20" s="18">
        <v>14</v>
      </c>
      <c r="D20" s="18">
        <v>6</v>
      </c>
      <c r="E20" s="4" t="s">
        <v>25</v>
      </c>
      <c r="F20" s="8">
        <v>6</v>
      </c>
      <c r="G20" s="8">
        <v>3</v>
      </c>
    </row>
    <row r="21" spans="1:7" x14ac:dyDescent="0.2">
      <c r="A21" s="18"/>
      <c r="B21" s="18"/>
      <c r="C21" s="18"/>
      <c r="D21" s="18"/>
      <c r="E21" s="4" t="s">
        <v>26</v>
      </c>
      <c r="F21" s="8">
        <v>5</v>
      </c>
      <c r="G21" s="8">
        <v>2</v>
      </c>
    </row>
    <row r="22" spans="1:7" x14ac:dyDescent="0.2">
      <c r="A22" s="18"/>
      <c r="B22" s="18"/>
      <c r="C22" s="18"/>
      <c r="D22" s="18"/>
      <c r="E22" s="4" t="s">
        <v>27</v>
      </c>
      <c r="F22" s="8">
        <v>3</v>
      </c>
      <c r="G22" s="8">
        <v>1</v>
      </c>
    </row>
    <row r="23" spans="1:7" x14ac:dyDescent="0.2">
      <c r="A23" s="18"/>
      <c r="B23" s="18" t="s">
        <v>23</v>
      </c>
      <c r="C23" s="18">
        <v>31</v>
      </c>
      <c r="D23" s="18">
        <v>24</v>
      </c>
      <c r="E23" s="4" t="s">
        <v>25</v>
      </c>
      <c r="F23" s="8">
        <v>12</v>
      </c>
      <c r="G23" s="8">
        <v>12</v>
      </c>
    </row>
    <row r="24" spans="1:7" x14ac:dyDescent="0.2">
      <c r="A24" s="18"/>
      <c r="B24" s="18"/>
      <c r="C24" s="18"/>
      <c r="D24" s="18"/>
      <c r="E24" s="4" t="s">
        <v>26</v>
      </c>
      <c r="F24" s="8">
        <v>11</v>
      </c>
      <c r="G24" s="8">
        <v>7</v>
      </c>
    </row>
    <row r="25" spans="1:7" x14ac:dyDescent="0.2">
      <c r="A25" s="18"/>
      <c r="B25" s="18"/>
      <c r="C25" s="18"/>
      <c r="D25" s="18"/>
      <c r="E25" s="4" t="s">
        <v>27</v>
      </c>
      <c r="F25" s="8">
        <v>8</v>
      </c>
      <c r="G25" s="8">
        <v>5</v>
      </c>
    </row>
  </sheetData>
  <autoFilter ref="A1:A25" xr:uid="{9652C4FD-3D71-9347-ABC6-2237302579F3}"/>
  <mergeCells count="26">
    <mergeCell ref="A14:A25"/>
    <mergeCell ref="B14:B16"/>
    <mergeCell ref="B17:B19"/>
    <mergeCell ref="B20:B22"/>
    <mergeCell ref="B23:B25"/>
    <mergeCell ref="A2:A13"/>
    <mergeCell ref="B2:B4"/>
    <mergeCell ref="B5:B7"/>
    <mergeCell ref="B8:B10"/>
    <mergeCell ref="B11:B13"/>
    <mergeCell ref="C2:C4"/>
    <mergeCell ref="C5:C7"/>
    <mergeCell ref="C8:C10"/>
    <mergeCell ref="C11:C13"/>
    <mergeCell ref="C14:C16"/>
    <mergeCell ref="C17:C19"/>
    <mergeCell ref="C20:C22"/>
    <mergeCell ref="C23:C25"/>
    <mergeCell ref="D2:D4"/>
    <mergeCell ref="D5:D7"/>
    <mergeCell ref="D8:D10"/>
    <mergeCell ref="D11:D13"/>
    <mergeCell ref="D14:D16"/>
    <mergeCell ref="D17:D19"/>
    <mergeCell ref="D20:D22"/>
    <mergeCell ref="D23:D25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0586-C714-D94E-9932-2BF6E9D7FE07}">
  <dimension ref="A1:E25"/>
  <sheetViews>
    <sheetView zoomScale="101" workbookViewId="0">
      <selection activeCell="D12" sqref="D12"/>
    </sheetView>
  </sheetViews>
  <sheetFormatPr baseColWidth="10" defaultRowHeight="16" x14ac:dyDescent="0.2"/>
  <cols>
    <col min="1" max="1" width="5.83203125" bestFit="1" customWidth="1"/>
    <col min="2" max="2" width="14.83203125" bestFit="1" customWidth="1"/>
    <col min="3" max="3" width="10.5" bestFit="1" customWidth="1"/>
    <col min="4" max="4" width="20.5" bestFit="1" customWidth="1"/>
    <col min="5" max="5" width="10.6640625" bestFit="1" customWidth="1"/>
  </cols>
  <sheetData>
    <row r="1" spans="1:5" x14ac:dyDescent="0.2">
      <c r="A1" s="4" t="s">
        <v>2</v>
      </c>
      <c r="B1" s="4" t="s">
        <v>0</v>
      </c>
      <c r="C1" s="4" t="s">
        <v>1</v>
      </c>
      <c r="D1" s="10" t="s">
        <v>28</v>
      </c>
      <c r="E1" s="10" t="s">
        <v>29</v>
      </c>
    </row>
    <row r="2" spans="1:5" x14ac:dyDescent="0.2">
      <c r="A2" s="18" t="s">
        <v>4</v>
      </c>
      <c r="B2" s="18" t="s">
        <v>3</v>
      </c>
      <c r="C2" s="4" t="s">
        <v>25</v>
      </c>
      <c r="D2" s="11">
        <v>12</v>
      </c>
      <c r="E2" s="11">
        <v>11</v>
      </c>
    </row>
    <row r="3" spans="1:5" x14ac:dyDescent="0.2">
      <c r="A3" s="18"/>
      <c r="B3" s="18"/>
      <c r="C3" s="4" t="s">
        <v>26</v>
      </c>
      <c r="D3" s="11">
        <v>10</v>
      </c>
      <c r="E3" s="11">
        <v>8</v>
      </c>
    </row>
    <row r="4" spans="1:5" x14ac:dyDescent="0.2">
      <c r="A4" s="18"/>
      <c r="B4" s="18"/>
      <c r="C4" s="4" t="s">
        <v>27</v>
      </c>
      <c r="D4" s="11">
        <v>8</v>
      </c>
      <c r="E4" s="11">
        <v>7</v>
      </c>
    </row>
    <row r="5" spans="1:5" x14ac:dyDescent="0.2">
      <c r="A5" s="18"/>
      <c r="B5" s="18" t="s">
        <v>24</v>
      </c>
      <c r="C5" s="4" t="s">
        <v>25</v>
      </c>
      <c r="D5" s="11">
        <v>10</v>
      </c>
      <c r="E5" s="11">
        <v>10</v>
      </c>
    </row>
    <row r="6" spans="1:5" x14ac:dyDescent="0.2">
      <c r="A6" s="18"/>
      <c r="B6" s="18"/>
      <c r="C6" s="4" t="s">
        <v>26</v>
      </c>
      <c r="D6" s="11">
        <v>9</v>
      </c>
      <c r="E6" s="11">
        <v>8</v>
      </c>
    </row>
    <row r="7" spans="1:5" x14ac:dyDescent="0.2">
      <c r="A7" s="18"/>
      <c r="B7" s="18"/>
      <c r="C7" s="4" t="s">
        <v>27</v>
      </c>
      <c r="D7" s="11">
        <v>8</v>
      </c>
      <c r="E7" s="11">
        <v>8</v>
      </c>
    </row>
    <row r="8" spans="1:5" x14ac:dyDescent="0.2">
      <c r="A8" s="18"/>
      <c r="B8" s="18" t="s">
        <v>22</v>
      </c>
      <c r="C8" s="4" t="s">
        <v>25</v>
      </c>
      <c r="D8" s="11">
        <v>3</v>
      </c>
      <c r="E8" s="11">
        <v>2</v>
      </c>
    </row>
    <row r="9" spans="1:5" x14ac:dyDescent="0.2">
      <c r="A9" s="18"/>
      <c r="B9" s="18"/>
      <c r="C9" s="4" t="s">
        <v>26</v>
      </c>
      <c r="D9" s="11">
        <v>0</v>
      </c>
      <c r="E9" s="11">
        <v>0</v>
      </c>
    </row>
    <row r="10" spans="1:5" x14ac:dyDescent="0.2">
      <c r="A10" s="18"/>
      <c r="B10" s="18"/>
      <c r="C10" s="4" t="s">
        <v>27</v>
      </c>
      <c r="D10" s="11">
        <v>3</v>
      </c>
      <c r="E10" s="11">
        <v>2</v>
      </c>
    </row>
    <row r="11" spans="1:5" x14ac:dyDescent="0.2">
      <c r="A11" s="18"/>
      <c r="B11" s="18" t="s">
        <v>23</v>
      </c>
      <c r="C11" s="4" t="s">
        <v>25</v>
      </c>
      <c r="D11" s="11">
        <v>11</v>
      </c>
      <c r="E11" s="11">
        <v>7</v>
      </c>
    </row>
    <row r="12" spans="1:5" x14ac:dyDescent="0.2">
      <c r="A12" s="18"/>
      <c r="B12" s="18"/>
      <c r="C12" s="4" t="s">
        <v>26</v>
      </c>
      <c r="D12" s="11">
        <v>10</v>
      </c>
      <c r="E12" s="11">
        <v>9</v>
      </c>
    </row>
    <row r="13" spans="1:5" x14ac:dyDescent="0.2">
      <c r="A13" s="18"/>
      <c r="B13" s="18"/>
      <c r="C13" s="4" t="s">
        <v>27</v>
      </c>
      <c r="D13" s="11">
        <v>10</v>
      </c>
      <c r="E13" s="11">
        <v>9</v>
      </c>
    </row>
    <row r="14" spans="1:5" x14ac:dyDescent="0.2">
      <c r="A14" s="18" t="s">
        <v>21</v>
      </c>
      <c r="B14" s="18" t="s">
        <v>3</v>
      </c>
      <c r="C14" s="4" t="s">
        <v>25</v>
      </c>
      <c r="D14" s="11">
        <v>12</v>
      </c>
      <c r="E14" s="11">
        <v>11</v>
      </c>
    </row>
    <row r="15" spans="1:5" x14ac:dyDescent="0.2">
      <c r="A15" s="18"/>
      <c r="B15" s="18"/>
      <c r="C15" s="4" t="s">
        <v>26</v>
      </c>
      <c r="D15" s="11">
        <v>10</v>
      </c>
      <c r="E15" s="11">
        <v>8</v>
      </c>
    </row>
    <row r="16" spans="1:5" x14ac:dyDescent="0.2">
      <c r="A16" s="18"/>
      <c r="B16" s="18"/>
      <c r="C16" s="4" t="s">
        <v>27</v>
      </c>
      <c r="D16" s="11">
        <v>9</v>
      </c>
      <c r="E16" s="11">
        <v>7</v>
      </c>
    </row>
    <row r="17" spans="1:5" x14ac:dyDescent="0.2">
      <c r="A17" s="18"/>
      <c r="B17" s="18" t="s">
        <v>24</v>
      </c>
      <c r="C17" s="4" t="s">
        <v>25</v>
      </c>
      <c r="D17" s="11">
        <v>12</v>
      </c>
      <c r="E17" s="11">
        <v>12</v>
      </c>
    </row>
    <row r="18" spans="1:5" x14ac:dyDescent="0.2">
      <c r="A18" s="18"/>
      <c r="B18" s="18"/>
      <c r="C18" s="4" t="s">
        <v>26</v>
      </c>
      <c r="D18" s="11">
        <v>9</v>
      </c>
      <c r="E18" s="11">
        <v>9</v>
      </c>
    </row>
    <row r="19" spans="1:5" x14ac:dyDescent="0.2">
      <c r="A19" s="18"/>
      <c r="B19" s="18"/>
      <c r="C19" s="4" t="s">
        <v>27</v>
      </c>
      <c r="D19" s="11">
        <v>8</v>
      </c>
      <c r="E19" s="11">
        <v>8</v>
      </c>
    </row>
    <row r="20" spans="1:5" x14ac:dyDescent="0.2">
      <c r="A20" s="18"/>
      <c r="B20" s="18" t="s">
        <v>22</v>
      </c>
      <c r="C20" s="4" t="s">
        <v>25</v>
      </c>
      <c r="D20" s="11">
        <v>6</v>
      </c>
      <c r="E20" s="11">
        <v>3</v>
      </c>
    </row>
    <row r="21" spans="1:5" x14ac:dyDescent="0.2">
      <c r="A21" s="18"/>
      <c r="B21" s="18"/>
      <c r="C21" s="4" t="s">
        <v>26</v>
      </c>
      <c r="D21" s="11">
        <v>5</v>
      </c>
      <c r="E21" s="11">
        <v>2</v>
      </c>
    </row>
    <row r="22" spans="1:5" x14ac:dyDescent="0.2">
      <c r="A22" s="18"/>
      <c r="B22" s="18"/>
      <c r="C22" s="4" t="s">
        <v>27</v>
      </c>
      <c r="D22" s="11">
        <v>3</v>
      </c>
      <c r="E22" s="11">
        <v>1</v>
      </c>
    </row>
    <row r="23" spans="1:5" x14ac:dyDescent="0.2">
      <c r="A23" s="18"/>
      <c r="B23" s="18" t="s">
        <v>23</v>
      </c>
      <c r="C23" s="4" t="s">
        <v>25</v>
      </c>
      <c r="D23" s="11">
        <v>12</v>
      </c>
      <c r="E23" s="11">
        <v>12</v>
      </c>
    </row>
    <row r="24" spans="1:5" x14ac:dyDescent="0.2">
      <c r="A24" s="18"/>
      <c r="B24" s="18"/>
      <c r="C24" s="4" t="s">
        <v>26</v>
      </c>
      <c r="D24" s="11">
        <v>11</v>
      </c>
      <c r="E24" s="11">
        <v>7</v>
      </c>
    </row>
    <row r="25" spans="1:5" x14ac:dyDescent="0.2">
      <c r="A25" s="18"/>
      <c r="B25" s="18"/>
      <c r="C25" s="4" t="s">
        <v>27</v>
      </c>
      <c r="D25" s="11">
        <v>8</v>
      </c>
      <c r="E25" s="11">
        <v>5</v>
      </c>
    </row>
  </sheetData>
  <mergeCells count="10">
    <mergeCell ref="B14:B16"/>
    <mergeCell ref="B17:B19"/>
    <mergeCell ref="B20:B22"/>
    <mergeCell ref="B23:B25"/>
    <mergeCell ref="A14:A25"/>
    <mergeCell ref="A2:A13"/>
    <mergeCell ref="B2:B4"/>
    <mergeCell ref="B5:B7"/>
    <mergeCell ref="B8:B10"/>
    <mergeCell ref="B11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4E68-F1E8-CB4B-B75B-9B8D6C7378AD}">
  <dimension ref="A1:R9"/>
  <sheetViews>
    <sheetView zoomScale="114" zoomScaleNormal="134" workbookViewId="0">
      <selection activeCell="B10" sqref="A10:XFD17"/>
    </sheetView>
  </sheetViews>
  <sheetFormatPr baseColWidth="10" defaultRowHeight="16" x14ac:dyDescent="0.2"/>
  <cols>
    <col min="1" max="1" width="6" style="3" bestFit="1" customWidth="1"/>
    <col min="2" max="2" width="15" style="3" bestFit="1" customWidth="1"/>
    <col min="3" max="3" width="10.83203125" style="2" hidden="1" customWidth="1"/>
    <col min="4" max="4" width="5.33203125" style="2" hidden="1" customWidth="1"/>
    <col min="5" max="6" width="13.6640625" style="2" hidden="1" customWidth="1"/>
    <col min="7" max="7" width="15" style="2" hidden="1" customWidth="1"/>
    <col min="8" max="8" width="18.33203125" style="2" hidden="1" customWidth="1"/>
    <col min="9" max="9" width="22.1640625" style="2" hidden="1" customWidth="1"/>
    <col min="10" max="10" width="25.6640625" style="2" hidden="1" customWidth="1"/>
    <col min="11" max="11" width="13.1640625" style="2" bestFit="1" customWidth="1"/>
    <col min="12" max="12" width="15.1640625" style="2" hidden="1" customWidth="1"/>
    <col min="13" max="13" width="11.83203125" style="2" customWidth="1"/>
    <col min="14" max="14" width="9.33203125" style="2" bestFit="1" customWidth="1"/>
    <col min="15" max="15" width="15.6640625" style="2" hidden="1" customWidth="1"/>
    <col min="16" max="16" width="9.1640625" style="2" customWidth="1"/>
    <col min="17" max="17" width="8.6640625" style="2" customWidth="1"/>
    <col min="18" max="18" width="12.1640625" style="2" customWidth="1"/>
    <col min="19" max="16384" width="10.83203125" style="2"/>
  </cols>
  <sheetData>
    <row r="1" spans="1:18" ht="39" customHeight="1" x14ac:dyDescent="0.2">
      <c r="A1" s="12" t="s">
        <v>2</v>
      </c>
      <c r="B1" s="12" t="s">
        <v>0</v>
      </c>
      <c r="C1" s="13" t="s">
        <v>8</v>
      </c>
      <c r="D1" s="13" t="s">
        <v>9</v>
      </c>
      <c r="E1" s="13" t="s">
        <v>5</v>
      </c>
      <c r="F1" s="13" t="s">
        <v>6</v>
      </c>
      <c r="G1" s="13" t="s">
        <v>7</v>
      </c>
      <c r="H1" s="13" t="s">
        <v>10</v>
      </c>
      <c r="I1" s="13" t="s">
        <v>11</v>
      </c>
      <c r="J1" s="13" t="s">
        <v>12</v>
      </c>
      <c r="K1" s="14" t="s">
        <v>13</v>
      </c>
      <c r="L1" s="14" t="s">
        <v>14</v>
      </c>
      <c r="M1" s="14" t="s">
        <v>15</v>
      </c>
      <c r="N1" s="14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pans="1:18" x14ac:dyDescent="0.2">
      <c r="A2" s="19" t="s">
        <v>4</v>
      </c>
      <c r="B2" s="12" t="s">
        <v>3</v>
      </c>
      <c r="C2" s="7">
        <v>11628.192307692309</v>
      </c>
      <c r="D2" s="7">
        <v>2.6538461538461537</v>
      </c>
      <c r="E2" s="7">
        <v>2146.5711538461542</v>
      </c>
      <c r="F2" s="7">
        <v>2293.5069230769232</v>
      </c>
      <c r="G2" s="7">
        <v>2128.4807692307691</v>
      </c>
      <c r="H2" s="7">
        <v>4.4615384615384626E-2</v>
      </c>
      <c r="I2" s="7">
        <v>0.70807692307692294</v>
      </c>
      <c r="J2" s="7">
        <v>0.77038461538461545</v>
      </c>
      <c r="K2" s="7">
        <v>0.88961538461538481</v>
      </c>
      <c r="L2" s="7">
        <v>1</v>
      </c>
      <c r="M2" s="7">
        <v>0.93543956043956067</v>
      </c>
      <c r="N2" s="7">
        <v>0.96771978021978</v>
      </c>
      <c r="O2" s="7">
        <v>0.3525763125763125</v>
      </c>
      <c r="P2" s="7">
        <v>0.90909090909090906</v>
      </c>
      <c r="Q2" s="7">
        <v>0.78787878787878785</v>
      </c>
      <c r="R2" s="7">
        <v>0.90909090909090906</v>
      </c>
    </row>
    <row r="3" spans="1:18" x14ac:dyDescent="0.2">
      <c r="A3" s="19"/>
      <c r="B3" s="12" t="s">
        <v>24</v>
      </c>
      <c r="C3" s="7">
        <v>3629.3076923076924</v>
      </c>
      <c r="D3" s="7">
        <v>4.2692307692307692</v>
      </c>
      <c r="E3" s="7">
        <v>901.50115384615378</v>
      </c>
      <c r="F3" s="7">
        <v>994.53846153846121</v>
      </c>
      <c r="G3" s="7">
        <v>911.37999999999988</v>
      </c>
      <c r="H3" s="7">
        <v>4.0384615384615394E-2</v>
      </c>
      <c r="I3" s="7">
        <v>0.71269230769230774</v>
      </c>
      <c r="J3" s="7">
        <v>0.77307692307692311</v>
      </c>
      <c r="K3" s="7">
        <v>0.87360000000000004</v>
      </c>
      <c r="L3" s="7">
        <v>1</v>
      </c>
      <c r="M3" s="7">
        <v>0.84903846153846163</v>
      </c>
      <c r="N3" s="7">
        <v>0.92451923076923082</v>
      </c>
      <c r="O3" s="7">
        <v>0.34639316239316248</v>
      </c>
      <c r="P3" s="7">
        <v>0.81818181818181823</v>
      </c>
      <c r="Q3" s="7">
        <v>0.78787878787878785</v>
      </c>
      <c r="R3" s="7">
        <v>0.81818181818181823</v>
      </c>
    </row>
    <row r="4" spans="1:18" x14ac:dyDescent="0.2">
      <c r="A4" s="19"/>
      <c r="B4" s="12" t="s">
        <v>22</v>
      </c>
      <c r="C4" s="7">
        <v>495</v>
      </c>
      <c r="D4" s="7">
        <v>2.75</v>
      </c>
      <c r="E4" s="7">
        <v>660.84</v>
      </c>
      <c r="F4" s="7">
        <v>695.40750000000003</v>
      </c>
      <c r="G4" s="7">
        <v>670.34249999999997</v>
      </c>
      <c r="H4" s="7">
        <v>0.04</v>
      </c>
      <c r="I4" s="7">
        <v>0.7</v>
      </c>
      <c r="J4" s="7">
        <v>0.77</v>
      </c>
      <c r="K4" s="7">
        <v>0.91749999999999998</v>
      </c>
      <c r="L4" s="7">
        <v>1</v>
      </c>
      <c r="M4" s="7">
        <v>0.9375</v>
      </c>
      <c r="N4" s="7">
        <v>0.96875</v>
      </c>
      <c r="O4" s="7">
        <v>0.37784722222222217</v>
      </c>
      <c r="P4" s="7">
        <v>0.18181818181818182</v>
      </c>
      <c r="Q4" s="7">
        <v>0.12121212121212122</v>
      </c>
      <c r="R4" s="7">
        <v>0.18181818181818182</v>
      </c>
    </row>
    <row r="5" spans="1:18" x14ac:dyDescent="0.2">
      <c r="A5" s="19"/>
      <c r="B5" s="12" t="s">
        <v>23</v>
      </c>
      <c r="C5" s="7">
        <v>8120.08</v>
      </c>
      <c r="D5" s="7">
        <v>2.84</v>
      </c>
      <c r="E5" s="7">
        <v>281.55200000000002</v>
      </c>
      <c r="F5" s="7">
        <v>307.95920000000001</v>
      </c>
      <c r="G5" s="7">
        <v>285.02119999999996</v>
      </c>
      <c r="H5" s="7">
        <v>4.5999999999999999E-2</v>
      </c>
      <c r="I5" s="7">
        <v>0.73480000000000001</v>
      </c>
      <c r="J5" s="7">
        <v>0.7712</v>
      </c>
      <c r="K5" s="7">
        <v>0.91086956521739126</v>
      </c>
      <c r="L5" s="7">
        <v>1</v>
      </c>
      <c r="M5" s="7">
        <v>0.77952380952380962</v>
      </c>
      <c r="N5" s="7">
        <v>0.88976190476190453</v>
      </c>
      <c r="O5" s="7">
        <v>0.30717936507936494</v>
      </c>
      <c r="P5" s="7">
        <v>0.93939393939393945</v>
      </c>
      <c r="Q5" s="7">
        <v>0.75757575757575757</v>
      </c>
      <c r="R5" s="7">
        <v>0.93939393939393945</v>
      </c>
    </row>
    <row r="6" spans="1:18" x14ac:dyDescent="0.2">
      <c r="A6" s="19" t="s">
        <v>21</v>
      </c>
      <c r="B6" s="12" t="s">
        <v>3</v>
      </c>
      <c r="C6" s="7">
        <v>5285.8461538461543</v>
      </c>
      <c r="D6" s="7">
        <v>2.6538461538461537</v>
      </c>
      <c r="E6" s="7">
        <v>1327.7115384615386</v>
      </c>
      <c r="F6" s="7">
        <v>1353.4303846153848</v>
      </c>
      <c r="G6" s="7">
        <v>1333.1003846153847</v>
      </c>
      <c r="H6" s="7">
        <v>4.7307692307692321E-2</v>
      </c>
      <c r="I6" s="7">
        <v>0.69807692307692315</v>
      </c>
      <c r="J6" s="7">
        <v>0.75615384615384607</v>
      </c>
      <c r="K6" s="7">
        <v>0.74730769230769245</v>
      </c>
      <c r="L6" s="7">
        <v>1</v>
      </c>
      <c r="M6" s="7">
        <v>0.93543956043956067</v>
      </c>
      <c r="N6" s="7">
        <v>0.96771978021978</v>
      </c>
      <c r="O6" s="7">
        <v>0.55804181929181929</v>
      </c>
      <c r="P6" s="7">
        <v>0.93939393939393945</v>
      </c>
      <c r="Q6" s="7">
        <v>0.78787878787878785</v>
      </c>
      <c r="R6" s="7">
        <v>0.93939393939393945</v>
      </c>
    </row>
    <row r="7" spans="1:18" x14ac:dyDescent="0.2">
      <c r="A7" s="19"/>
      <c r="B7" s="12" t="s">
        <v>24</v>
      </c>
      <c r="C7" s="9">
        <v>3670.8620689655172</v>
      </c>
      <c r="D7" s="9">
        <v>4.2413793103448274</v>
      </c>
      <c r="E7" s="9">
        <v>1728.9227586206898</v>
      </c>
      <c r="F7" s="9">
        <v>1916.6382758620693</v>
      </c>
      <c r="G7" s="9">
        <v>1784.2010344827584</v>
      </c>
      <c r="H7" s="9">
        <v>3.8620689655172423E-2</v>
      </c>
      <c r="I7" s="9">
        <v>0.70724137931034492</v>
      </c>
      <c r="J7" s="9">
        <v>0.75620689655172424</v>
      </c>
      <c r="K7" s="9">
        <v>0.74413793103448256</v>
      </c>
      <c r="L7" s="9">
        <v>1</v>
      </c>
      <c r="M7" s="9">
        <v>0.90418719211822685</v>
      </c>
      <c r="N7" s="9">
        <v>0.95209359605911337</v>
      </c>
      <c r="O7" s="9">
        <v>0.5579538405400476</v>
      </c>
      <c r="P7" s="9">
        <v>0.87878787878787878</v>
      </c>
      <c r="Q7" s="9">
        <v>0.87878787878787878</v>
      </c>
      <c r="R7" s="9">
        <v>0.87878787878787878</v>
      </c>
    </row>
    <row r="8" spans="1:18" x14ac:dyDescent="0.2">
      <c r="A8" s="19"/>
      <c r="B8" s="12" t="s">
        <v>22</v>
      </c>
      <c r="C8" s="9">
        <v>1888.3333333333333</v>
      </c>
      <c r="D8" s="9">
        <v>2.3333333333333335</v>
      </c>
      <c r="E8" s="9">
        <v>72.951666666666668</v>
      </c>
      <c r="F8" s="9">
        <v>76.720000000000013</v>
      </c>
      <c r="G8" s="9">
        <v>73.309999999999988</v>
      </c>
      <c r="H8" s="9">
        <v>5.6666666666666664E-2</v>
      </c>
      <c r="I8" s="9">
        <v>0.71333333333333326</v>
      </c>
      <c r="J8" s="9">
        <v>0.7616666666666666</v>
      </c>
      <c r="K8" s="9">
        <v>0.69833333333333336</v>
      </c>
      <c r="L8" s="9">
        <v>1</v>
      </c>
      <c r="M8" s="9">
        <v>1</v>
      </c>
      <c r="N8" s="9">
        <v>1</v>
      </c>
      <c r="O8" s="9">
        <v>0.65157407407407408</v>
      </c>
      <c r="P8" s="9">
        <v>0.42424242424242425</v>
      </c>
      <c r="Q8" s="9">
        <v>0.18181818181818182</v>
      </c>
      <c r="R8" s="9">
        <v>0.42424242424242425</v>
      </c>
    </row>
    <row r="9" spans="1:18" x14ac:dyDescent="0.2">
      <c r="A9" s="19"/>
      <c r="B9" s="12" t="s">
        <v>23</v>
      </c>
      <c r="C9" s="7">
        <v>1569.75</v>
      </c>
      <c r="D9" s="7">
        <v>2.5</v>
      </c>
      <c r="E9" s="7">
        <v>336.82541666666663</v>
      </c>
      <c r="F9" s="7">
        <v>343.20166666666665</v>
      </c>
      <c r="G9" s="7">
        <v>336.43041666666664</v>
      </c>
      <c r="H9" s="7">
        <v>6.5833333333333327E-2</v>
      </c>
      <c r="I9" s="7">
        <v>0.71708333333333352</v>
      </c>
      <c r="J9" s="7">
        <v>0.77874999999999994</v>
      </c>
      <c r="K9" s="7">
        <v>0.74227272727272731</v>
      </c>
      <c r="L9" s="7">
        <v>1</v>
      </c>
      <c r="M9" s="7">
        <v>0.82638888888888917</v>
      </c>
      <c r="N9" s="7">
        <v>0.9131944444444442</v>
      </c>
      <c r="O9" s="7">
        <v>0.57652777777777775</v>
      </c>
      <c r="P9" s="7">
        <v>0.93939393939393945</v>
      </c>
      <c r="Q9" s="7">
        <v>0.72727272727272729</v>
      </c>
      <c r="R9" s="7">
        <v>0.93939393939393945</v>
      </c>
    </row>
  </sheetData>
  <mergeCells count="2">
    <mergeCell ref="A2:A5"/>
    <mergeCell ref="A6:A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614D-86FE-4542-9380-6C50054CB18B}">
  <dimension ref="A1:S25"/>
  <sheetViews>
    <sheetView zoomScale="93" workbookViewId="0">
      <selection activeCell="C26" sqref="A26:XFD49"/>
    </sheetView>
  </sheetViews>
  <sheetFormatPr baseColWidth="10" defaultRowHeight="16" x14ac:dyDescent="0.2"/>
  <cols>
    <col min="1" max="1" width="5.6640625" style="3" bestFit="1" customWidth="1"/>
    <col min="2" max="2" width="15" style="3" bestFit="1" customWidth="1"/>
    <col min="3" max="3" width="10.83203125" style="2"/>
    <col min="4" max="5" width="13.6640625" style="2" hidden="1" customWidth="1"/>
    <col min="6" max="6" width="15" style="2" hidden="1" customWidth="1"/>
    <col min="7" max="8" width="12.1640625" style="2" hidden="1" customWidth="1"/>
    <col min="9" max="9" width="18.33203125" style="2" hidden="1" customWidth="1"/>
    <col min="10" max="10" width="22.1640625" style="2" hidden="1" customWidth="1"/>
    <col min="11" max="11" width="25.6640625" style="2" hidden="1" customWidth="1"/>
    <col min="12" max="12" width="13.83203125" style="2" customWidth="1"/>
    <col min="13" max="13" width="0.33203125" style="2" hidden="1" customWidth="1"/>
    <col min="14" max="14" width="16" style="2" customWidth="1"/>
    <col min="15" max="15" width="9.33203125" style="2" customWidth="1"/>
    <col min="16" max="16" width="20.83203125" style="2" hidden="1" customWidth="1"/>
    <col min="17" max="17" width="9.5" style="2" customWidth="1"/>
    <col min="18" max="18" width="9.83203125" style="2" customWidth="1"/>
    <col min="19" max="19" width="11" style="2" customWidth="1"/>
    <col min="20" max="16384" width="10.83203125" style="2"/>
  </cols>
  <sheetData>
    <row r="1" spans="1:19" ht="37" customHeight="1" x14ac:dyDescent="0.2">
      <c r="A1" s="12" t="s">
        <v>2</v>
      </c>
      <c r="B1" s="12" t="s">
        <v>0</v>
      </c>
      <c r="C1" s="12" t="s">
        <v>1</v>
      </c>
      <c r="D1" s="13" t="s">
        <v>8</v>
      </c>
      <c r="E1" s="13" t="s">
        <v>9</v>
      </c>
      <c r="F1" s="13" t="s">
        <v>5</v>
      </c>
      <c r="G1" s="13" t="s">
        <v>6</v>
      </c>
      <c r="H1" s="13" t="s">
        <v>7</v>
      </c>
      <c r="I1" s="13" t="s">
        <v>10</v>
      </c>
      <c r="J1" s="13" t="s">
        <v>11</v>
      </c>
      <c r="K1" s="13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</row>
    <row r="2" spans="1:19" x14ac:dyDescent="0.2">
      <c r="A2" s="20" t="s">
        <v>4</v>
      </c>
      <c r="B2" s="20" t="s">
        <v>3</v>
      </c>
      <c r="C2" s="12" t="s">
        <v>25</v>
      </c>
      <c r="D2" s="9">
        <v>10956.363636363636</v>
      </c>
      <c r="E2" s="9">
        <v>2.1818181818181817</v>
      </c>
      <c r="F2" s="9">
        <v>3876.9081818181821</v>
      </c>
      <c r="G2" s="9">
        <v>4024.6172727272728</v>
      </c>
      <c r="H2" s="9">
        <v>3776.4345454545455</v>
      </c>
      <c r="I2" s="9">
        <v>3.2727272727272723E-2</v>
      </c>
      <c r="J2" s="9">
        <v>0.70909090909090911</v>
      </c>
      <c r="K2" s="9">
        <v>0.76727272727272722</v>
      </c>
      <c r="L2" s="9">
        <v>0.88818181818181818</v>
      </c>
      <c r="M2" s="9">
        <v>1</v>
      </c>
      <c r="N2" s="9">
        <v>1</v>
      </c>
      <c r="O2" s="9">
        <v>1</v>
      </c>
      <c r="P2" s="9">
        <v>0.29128787878787876</v>
      </c>
      <c r="Q2" s="9">
        <v>1</v>
      </c>
      <c r="R2" s="9">
        <v>0.91666666666666663</v>
      </c>
      <c r="S2" s="9">
        <v>1</v>
      </c>
    </row>
    <row r="3" spans="1:19" x14ac:dyDescent="0.2">
      <c r="A3" s="21"/>
      <c r="B3" s="21"/>
      <c r="C3" s="12" t="s">
        <v>26</v>
      </c>
      <c r="D3" s="9">
        <v>21981</v>
      </c>
      <c r="E3" s="9">
        <v>2.25</v>
      </c>
      <c r="F3" s="9">
        <v>1343.0237500000001</v>
      </c>
      <c r="G3" s="9">
        <v>1600.7087500000002</v>
      </c>
      <c r="H3" s="9">
        <v>1419.0475000000001</v>
      </c>
      <c r="I3" s="9">
        <v>7.8750000000000014E-2</v>
      </c>
      <c r="J3" s="9">
        <v>0.69375000000000009</v>
      </c>
      <c r="K3" s="9">
        <v>0.77374999999999994</v>
      </c>
      <c r="L3" s="9">
        <v>0.86499999999999999</v>
      </c>
      <c r="M3" s="9">
        <v>1</v>
      </c>
      <c r="N3" s="9">
        <v>0.96875</v>
      </c>
      <c r="O3" s="9">
        <v>0.984375</v>
      </c>
      <c r="P3" s="9">
        <v>0.43135416666666665</v>
      </c>
      <c r="Q3" s="9">
        <v>0.90909090909090906</v>
      </c>
      <c r="R3" s="9">
        <v>0.72727272727272729</v>
      </c>
      <c r="S3" s="9">
        <v>0.90909090909090906</v>
      </c>
    </row>
    <row r="4" spans="1:19" x14ac:dyDescent="0.2">
      <c r="A4" s="21"/>
      <c r="B4" s="22"/>
      <c r="C4" s="12" t="s">
        <v>27</v>
      </c>
      <c r="D4" s="9">
        <v>852.14285714285711</v>
      </c>
      <c r="E4" s="9">
        <v>3.8571428571428572</v>
      </c>
      <c r="F4" s="9">
        <v>345.80999999999995</v>
      </c>
      <c r="G4" s="9">
        <v>364.96</v>
      </c>
      <c r="H4" s="9">
        <v>349.62</v>
      </c>
      <c r="I4" s="9">
        <v>2.4285714285714282E-2</v>
      </c>
      <c r="J4" s="9">
        <v>0.72285714285714275</v>
      </c>
      <c r="K4" s="9">
        <v>0.77142857142857146</v>
      </c>
      <c r="L4" s="9">
        <v>0.92</v>
      </c>
      <c r="M4" s="9">
        <v>1</v>
      </c>
      <c r="N4" s="9">
        <v>0.79591836734693877</v>
      </c>
      <c r="O4" s="9">
        <v>0.89795918367346939</v>
      </c>
      <c r="P4" s="9">
        <v>0.35885487528344667</v>
      </c>
      <c r="Q4" s="9">
        <v>0.8</v>
      </c>
      <c r="R4" s="9">
        <v>0.7</v>
      </c>
      <c r="S4" s="9">
        <v>0.8</v>
      </c>
    </row>
    <row r="5" spans="1:19" x14ac:dyDescent="0.2">
      <c r="A5" s="21"/>
      <c r="B5" s="20" t="s">
        <v>24</v>
      </c>
      <c r="C5" s="12" t="s">
        <v>25</v>
      </c>
      <c r="D5" s="9">
        <v>200.8</v>
      </c>
      <c r="E5" s="9">
        <v>3.6</v>
      </c>
      <c r="F5" s="9">
        <v>86.625999999999991</v>
      </c>
      <c r="G5" s="9">
        <v>162.78599999999997</v>
      </c>
      <c r="H5" s="9">
        <v>109.748</v>
      </c>
      <c r="I5" s="9">
        <v>2.4E-2</v>
      </c>
      <c r="J5" s="9">
        <v>0.70700000000000007</v>
      </c>
      <c r="K5" s="9">
        <v>0.76600000000000013</v>
      </c>
      <c r="L5" s="9">
        <v>0.90900000000000003</v>
      </c>
      <c r="M5" s="9">
        <v>1</v>
      </c>
      <c r="N5" s="9">
        <v>0.90999999999999992</v>
      </c>
      <c r="O5" s="9">
        <v>0.95500000000000007</v>
      </c>
      <c r="P5" s="9">
        <v>0.22624444444444441</v>
      </c>
      <c r="Q5" s="9">
        <v>0.83333333333333337</v>
      </c>
      <c r="R5" s="9">
        <v>0.83333333333333337</v>
      </c>
      <c r="S5" s="9">
        <v>0.83333333333333337</v>
      </c>
    </row>
    <row r="6" spans="1:19" x14ac:dyDescent="0.2">
      <c r="A6" s="21"/>
      <c r="B6" s="21"/>
      <c r="C6" s="12" t="s">
        <v>26</v>
      </c>
      <c r="D6" s="9">
        <v>6127.25</v>
      </c>
      <c r="E6" s="9">
        <v>3.875</v>
      </c>
      <c r="F6" s="9">
        <v>792.47249999999997</v>
      </c>
      <c r="G6" s="9">
        <v>885.88625000000002</v>
      </c>
      <c r="H6" s="9">
        <v>820.02500000000009</v>
      </c>
      <c r="I6" s="9">
        <v>5.7499999999999996E-2</v>
      </c>
      <c r="J6" s="9">
        <v>0.72249999999999992</v>
      </c>
      <c r="K6" s="9">
        <v>0.77500000000000002</v>
      </c>
      <c r="L6" s="9">
        <v>0.84499999999999997</v>
      </c>
      <c r="M6" s="9">
        <v>1</v>
      </c>
      <c r="N6" s="9">
        <v>0.875</v>
      </c>
      <c r="O6" s="9">
        <v>0.9375</v>
      </c>
      <c r="P6" s="9">
        <v>0.46309027777777773</v>
      </c>
      <c r="Q6" s="9">
        <v>0.81818181818181823</v>
      </c>
      <c r="R6" s="9">
        <v>0.72727272727272729</v>
      </c>
      <c r="S6" s="9">
        <v>0.81818181818181823</v>
      </c>
    </row>
    <row r="7" spans="1:19" x14ac:dyDescent="0.2">
      <c r="A7" s="21"/>
      <c r="B7" s="22"/>
      <c r="C7" s="12" t="s">
        <v>27</v>
      </c>
      <c r="D7" s="9">
        <v>5417</v>
      </c>
      <c r="E7" s="9">
        <v>5.5</v>
      </c>
      <c r="F7" s="9">
        <v>2029.1237500000002</v>
      </c>
      <c r="G7" s="9">
        <v>2142.8812499999999</v>
      </c>
      <c r="H7" s="9">
        <v>2004.7750000000001</v>
      </c>
      <c r="I7" s="9">
        <v>4.3750000000000004E-2</v>
      </c>
      <c r="J7" s="9">
        <v>0.71</v>
      </c>
      <c r="K7" s="9">
        <v>0.78</v>
      </c>
      <c r="L7" s="9">
        <v>0.85571428571428565</v>
      </c>
      <c r="M7" s="9">
        <v>1</v>
      </c>
      <c r="N7" s="9">
        <v>0.74687499999999996</v>
      </c>
      <c r="O7" s="9">
        <v>0.87343749999999998</v>
      </c>
      <c r="P7" s="9">
        <v>0.37988194444444445</v>
      </c>
      <c r="Q7" s="9">
        <v>0.8</v>
      </c>
      <c r="R7" s="9">
        <v>0.8</v>
      </c>
      <c r="S7" s="9">
        <v>0.8</v>
      </c>
    </row>
    <row r="8" spans="1:19" x14ac:dyDescent="0.2">
      <c r="A8" s="21"/>
      <c r="B8" s="20" t="s">
        <v>22</v>
      </c>
      <c r="C8" s="12" t="s">
        <v>25</v>
      </c>
      <c r="D8" s="9">
        <v>179</v>
      </c>
      <c r="E8" s="9">
        <v>2</v>
      </c>
      <c r="F8" s="9">
        <v>1100.0550000000001</v>
      </c>
      <c r="G8" s="9">
        <v>1103.72</v>
      </c>
      <c r="H8" s="9">
        <v>1099.46</v>
      </c>
      <c r="I8" s="9">
        <v>0.08</v>
      </c>
      <c r="J8" s="9">
        <v>0.66999999999999993</v>
      </c>
      <c r="K8" s="9">
        <v>0.78500000000000003</v>
      </c>
      <c r="L8" s="9">
        <v>0.85</v>
      </c>
      <c r="M8" s="9">
        <v>1</v>
      </c>
      <c r="N8" s="9">
        <v>1</v>
      </c>
      <c r="O8" s="9">
        <v>1</v>
      </c>
      <c r="P8" s="9">
        <v>0.35583333333333328</v>
      </c>
      <c r="Q8" s="9">
        <v>0.25</v>
      </c>
      <c r="R8" s="9">
        <v>0.16666666666666666</v>
      </c>
      <c r="S8" s="9">
        <v>0.25</v>
      </c>
    </row>
    <row r="9" spans="1:19" x14ac:dyDescent="0.2">
      <c r="A9" s="21"/>
      <c r="B9" s="21"/>
      <c r="C9" s="12" t="s">
        <v>26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spans="1:19" x14ac:dyDescent="0.2">
      <c r="A10" s="21"/>
      <c r="B10" s="22"/>
      <c r="C10" s="12" t="s">
        <v>27</v>
      </c>
      <c r="D10" s="9">
        <v>811</v>
      </c>
      <c r="E10" s="9">
        <v>3.5</v>
      </c>
      <c r="F10" s="9">
        <v>221.625</v>
      </c>
      <c r="G10" s="9">
        <v>287.09500000000003</v>
      </c>
      <c r="H10" s="9">
        <v>241.22499999999999</v>
      </c>
      <c r="I10" s="9">
        <v>0</v>
      </c>
      <c r="J10" s="9">
        <v>0.73</v>
      </c>
      <c r="K10" s="9">
        <v>0.755</v>
      </c>
      <c r="L10" s="9">
        <v>0.98499999999999999</v>
      </c>
      <c r="M10" s="9">
        <v>1</v>
      </c>
      <c r="N10" s="9">
        <v>0.875</v>
      </c>
      <c r="O10" s="9">
        <v>0.9375</v>
      </c>
      <c r="P10" s="9">
        <v>0.39986111111111106</v>
      </c>
      <c r="Q10" s="9">
        <v>0.3</v>
      </c>
      <c r="R10" s="9">
        <v>0.2</v>
      </c>
      <c r="S10" s="9">
        <v>0.3</v>
      </c>
    </row>
    <row r="11" spans="1:19" x14ac:dyDescent="0.2">
      <c r="A11" s="21"/>
      <c r="B11" s="20" t="s">
        <v>23</v>
      </c>
      <c r="C11" s="12" t="s">
        <v>25</v>
      </c>
      <c r="D11" s="9">
        <v>759.85714285714289</v>
      </c>
      <c r="E11" s="9">
        <v>1.8571428571428572</v>
      </c>
      <c r="F11" s="9">
        <v>39.57</v>
      </c>
      <c r="G11" s="9">
        <v>41.504285714285722</v>
      </c>
      <c r="H11" s="9">
        <v>39.744285714285716</v>
      </c>
      <c r="I11" s="9">
        <v>2.2857142857142857E-2</v>
      </c>
      <c r="J11" s="9">
        <v>0.73714285714285721</v>
      </c>
      <c r="K11" s="9">
        <v>0.76999999999999991</v>
      </c>
      <c r="L11" s="9">
        <v>0.90142857142857136</v>
      </c>
      <c r="M11" s="9">
        <v>1</v>
      </c>
      <c r="N11" s="9">
        <v>1</v>
      </c>
      <c r="O11" s="9">
        <v>1</v>
      </c>
      <c r="P11" s="9">
        <v>0.25523809523809521</v>
      </c>
      <c r="Q11" s="9">
        <v>0.91666666666666663</v>
      </c>
      <c r="R11" s="9">
        <v>0.58333333333333337</v>
      </c>
      <c r="S11" s="9">
        <v>0.91666666666666663</v>
      </c>
    </row>
    <row r="12" spans="1:19" x14ac:dyDescent="0.2">
      <c r="A12" s="21"/>
      <c r="B12" s="21"/>
      <c r="C12" s="12" t="s">
        <v>26</v>
      </c>
      <c r="D12" s="9">
        <v>13126</v>
      </c>
      <c r="E12" s="9">
        <v>2.6666666666666665</v>
      </c>
      <c r="F12" s="9">
        <v>348.39111111111112</v>
      </c>
      <c r="G12" s="9">
        <v>404.83333333333331</v>
      </c>
      <c r="H12" s="9">
        <v>364.63888888888891</v>
      </c>
      <c r="I12" s="9">
        <v>7.1111111111111125E-2</v>
      </c>
      <c r="J12" s="9">
        <v>0.74222222222222223</v>
      </c>
      <c r="K12" s="9">
        <v>0.77333333333333332</v>
      </c>
      <c r="L12" s="9">
        <v>0.90777777777777779</v>
      </c>
      <c r="M12" s="9">
        <v>1</v>
      </c>
      <c r="N12" s="9">
        <v>0.84259259259259267</v>
      </c>
      <c r="O12" s="9">
        <v>0.92129629629629639</v>
      </c>
      <c r="P12" s="9">
        <v>0.36435185185185193</v>
      </c>
      <c r="Q12" s="9">
        <v>0.90909090909090906</v>
      </c>
      <c r="R12" s="9">
        <v>0.81818181818181823</v>
      </c>
      <c r="S12" s="9">
        <v>0.90909090909090906</v>
      </c>
    </row>
    <row r="13" spans="1:19" x14ac:dyDescent="0.2">
      <c r="A13" s="21"/>
      <c r="B13" s="22"/>
      <c r="C13" s="12" t="s">
        <v>27</v>
      </c>
      <c r="D13" s="9">
        <v>8838.7777777777774</v>
      </c>
      <c r="E13" s="9">
        <v>3.7777777777777777</v>
      </c>
      <c r="F13" s="9">
        <v>402.92111111111109</v>
      </c>
      <c r="G13" s="9">
        <v>418.32777777777778</v>
      </c>
      <c r="H13" s="9">
        <v>396.17444444444442</v>
      </c>
      <c r="I13" s="9">
        <v>3.888888888888889E-2</v>
      </c>
      <c r="J13" s="9">
        <v>0.72555555555555562</v>
      </c>
      <c r="K13" s="9">
        <v>0.77</v>
      </c>
      <c r="L13" s="9">
        <v>0.92428571428571427</v>
      </c>
      <c r="M13" s="9">
        <v>1</v>
      </c>
      <c r="N13" s="9">
        <v>0.544973544973545</v>
      </c>
      <c r="O13" s="9">
        <v>0.77248677248677255</v>
      </c>
      <c r="P13" s="9">
        <v>0.29040564373897709</v>
      </c>
      <c r="Q13" s="9">
        <v>1</v>
      </c>
      <c r="R13" s="9">
        <v>0.9</v>
      </c>
      <c r="S13" s="9">
        <v>1</v>
      </c>
    </row>
    <row r="14" spans="1:19" x14ac:dyDescent="0.2">
      <c r="A14" s="19" t="s">
        <v>21</v>
      </c>
      <c r="B14" s="19" t="s">
        <v>3</v>
      </c>
      <c r="C14" s="12" t="s">
        <v>25</v>
      </c>
      <c r="D14" s="9">
        <v>1295.1818181818182</v>
      </c>
      <c r="E14" s="9">
        <v>2.3636363636363638</v>
      </c>
      <c r="F14" s="9">
        <v>64.166363636363641</v>
      </c>
      <c r="G14" s="9">
        <v>66.057272727272732</v>
      </c>
      <c r="H14" s="9">
        <v>63.701818181818183</v>
      </c>
      <c r="I14" s="9">
        <v>3.0909090909090907E-2</v>
      </c>
      <c r="J14" s="9">
        <v>0.70272727272727264</v>
      </c>
      <c r="K14" s="9">
        <v>0.74818181818181817</v>
      </c>
      <c r="L14" s="9">
        <v>0.6990909090909091</v>
      </c>
      <c r="M14" s="9">
        <v>1</v>
      </c>
      <c r="N14" s="9">
        <v>1</v>
      </c>
      <c r="O14" s="9">
        <v>1</v>
      </c>
      <c r="P14" s="9">
        <v>0.65060606060606063</v>
      </c>
      <c r="Q14" s="9">
        <v>1</v>
      </c>
      <c r="R14" s="9">
        <v>0.91666666666666663</v>
      </c>
      <c r="S14" s="9">
        <v>1</v>
      </c>
    </row>
    <row r="15" spans="1:19" x14ac:dyDescent="0.2">
      <c r="A15" s="19"/>
      <c r="B15" s="19"/>
      <c r="C15" s="12" t="s">
        <v>26</v>
      </c>
      <c r="D15" s="9">
        <v>9907.25</v>
      </c>
      <c r="E15" s="9">
        <v>2.375</v>
      </c>
      <c r="F15" s="9">
        <v>1348.3362500000001</v>
      </c>
      <c r="G15" s="9">
        <v>1357.9612500000001</v>
      </c>
      <c r="H15" s="9">
        <v>1346.3275000000001</v>
      </c>
      <c r="I15" s="9">
        <v>7.8750000000000014E-2</v>
      </c>
      <c r="J15" s="9">
        <v>0.70874999999999999</v>
      </c>
      <c r="K15" s="9">
        <v>0.75625000000000009</v>
      </c>
      <c r="L15" s="9">
        <v>0.74250000000000005</v>
      </c>
      <c r="M15" s="9">
        <v>1</v>
      </c>
      <c r="N15" s="9">
        <v>0.96875</v>
      </c>
      <c r="O15" s="9">
        <v>0.984375</v>
      </c>
      <c r="P15" s="9">
        <v>0.49600694444444449</v>
      </c>
      <c r="Q15" s="9">
        <v>0.90909090909090906</v>
      </c>
      <c r="R15" s="9">
        <v>0.72727272727272729</v>
      </c>
      <c r="S15" s="9">
        <v>0.90909090909090906</v>
      </c>
    </row>
    <row r="16" spans="1:19" x14ac:dyDescent="0.2">
      <c r="A16" s="19"/>
      <c r="B16" s="19"/>
      <c r="C16" s="12" t="s">
        <v>27</v>
      </c>
      <c r="D16" s="9">
        <v>6275.2857142857147</v>
      </c>
      <c r="E16" s="9">
        <v>3.4285714285714284</v>
      </c>
      <c r="F16" s="9">
        <v>3289.7114285714283</v>
      </c>
      <c r="G16" s="9">
        <v>3371.2671428571425</v>
      </c>
      <c r="H16" s="9">
        <v>3312.7528571428566</v>
      </c>
      <c r="I16" s="9">
        <v>3.7142857142857144E-2</v>
      </c>
      <c r="J16" s="9">
        <v>0.6785714285714286</v>
      </c>
      <c r="K16" s="9">
        <v>0.76857142857142857</v>
      </c>
      <c r="L16" s="9">
        <v>0.82857142857142863</v>
      </c>
      <c r="M16" s="9">
        <v>1</v>
      </c>
      <c r="N16" s="9">
        <v>0.79591836734693888</v>
      </c>
      <c r="O16" s="9">
        <v>0.89795918367346939</v>
      </c>
      <c r="P16" s="9">
        <v>0.48348072562358274</v>
      </c>
      <c r="Q16" s="9">
        <v>0.9</v>
      </c>
      <c r="R16" s="9">
        <v>0.7</v>
      </c>
      <c r="S16" s="9">
        <v>0.9</v>
      </c>
    </row>
    <row r="17" spans="1:19" x14ac:dyDescent="0.2">
      <c r="A17" s="19"/>
      <c r="B17" s="19" t="s">
        <v>24</v>
      </c>
      <c r="C17" s="12" t="s">
        <v>25</v>
      </c>
      <c r="D17" s="9">
        <v>2692.25</v>
      </c>
      <c r="E17" s="9">
        <v>3.75</v>
      </c>
      <c r="F17" s="9">
        <v>240.47666666666669</v>
      </c>
      <c r="G17" s="9">
        <v>269.2525</v>
      </c>
      <c r="H17" s="9">
        <v>245.29499999999999</v>
      </c>
      <c r="I17" s="9">
        <v>3.2500000000000001E-2</v>
      </c>
      <c r="J17" s="9">
        <v>0.71583333333333321</v>
      </c>
      <c r="K17" s="9">
        <v>0.75166666666666659</v>
      </c>
      <c r="L17" s="9">
        <v>0.70499999999999996</v>
      </c>
      <c r="M17" s="9">
        <v>1</v>
      </c>
      <c r="N17" s="9">
        <v>0.96666666666666667</v>
      </c>
      <c r="O17" s="9">
        <v>0.98333333333333339</v>
      </c>
      <c r="P17" s="9">
        <v>0.60862962962962974</v>
      </c>
      <c r="Q17" s="9">
        <v>1</v>
      </c>
      <c r="R17" s="9">
        <v>1</v>
      </c>
      <c r="S17" s="9">
        <v>1</v>
      </c>
    </row>
    <row r="18" spans="1:19" x14ac:dyDescent="0.2">
      <c r="A18" s="19"/>
      <c r="B18" s="19"/>
      <c r="C18" s="12" t="s">
        <v>26</v>
      </c>
      <c r="D18" s="9">
        <v>3823.2222222222222</v>
      </c>
      <c r="E18" s="9">
        <v>3.6666666666666665</v>
      </c>
      <c r="F18" s="9">
        <v>4427.7766666666666</v>
      </c>
      <c r="G18" s="9">
        <v>4955.4877777777783</v>
      </c>
      <c r="H18" s="9">
        <v>4589.03</v>
      </c>
      <c r="I18" s="9">
        <v>5.3333333333333337E-2</v>
      </c>
      <c r="J18" s="9">
        <v>0.70666666666666667</v>
      </c>
      <c r="K18" s="9">
        <v>0.7566666666666666</v>
      </c>
      <c r="L18" s="9">
        <v>0.7599999999999999</v>
      </c>
      <c r="M18" s="9">
        <v>1</v>
      </c>
      <c r="N18" s="9">
        <v>0.9277777777777777</v>
      </c>
      <c r="O18" s="9">
        <v>0.96388888888888902</v>
      </c>
      <c r="P18" s="9">
        <v>0.55727777777777765</v>
      </c>
      <c r="Q18" s="9">
        <v>0.81818181818181823</v>
      </c>
      <c r="R18" s="9">
        <v>0.81818181818181823</v>
      </c>
      <c r="S18" s="9">
        <v>0.81818181818181823</v>
      </c>
    </row>
    <row r="19" spans="1:19" x14ac:dyDescent="0.2">
      <c r="A19" s="19"/>
      <c r="B19" s="19"/>
      <c r="C19" s="12" t="s">
        <v>27</v>
      </c>
      <c r="D19" s="9">
        <v>4967.375</v>
      </c>
      <c r="E19" s="9">
        <v>5.625</v>
      </c>
      <c r="F19" s="9">
        <v>925.38125000000002</v>
      </c>
      <c r="G19" s="9">
        <v>969.01125000000002</v>
      </c>
      <c r="H19" s="9">
        <v>937.12749999999994</v>
      </c>
      <c r="I19" s="9">
        <v>3.125E-2</v>
      </c>
      <c r="J19" s="9">
        <v>0.69499999999999995</v>
      </c>
      <c r="K19" s="9">
        <v>0.76249999999999996</v>
      </c>
      <c r="L19" s="9">
        <v>0.78500000000000003</v>
      </c>
      <c r="M19" s="9">
        <v>1</v>
      </c>
      <c r="N19" s="9">
        <v>0.78392857142857142</v>
      </c>
      <c r="O19" s="9">
        <v>0.89196428571428565</v>
      </c>
      <c r="P19" s="9">
        <v>0.48270072751322751</v>
      </c>
      <c r="Q19" s="9">
        <v>0.8</v>
      </c>
      <c r="R19" s="9">
        <v>0.8</v>
      </c>
      <c r="S19" s="9">
        <v>0.8</v>
      </c>
    </row>
    <row r="20" spans="1:19" x14ac:dyDescent="0.2">
      <c r="A20" s="19"/>
      <c r="B20" s="19" t="s">
        <v>22</v>
      </c>
      <c r="C20" s="12" t="s">
        <v>25</v>
      </c>
      <c r="D20" s="9">
        <v>1483.3333333333333</v>
      </c>
      <c r="E20" s="9">
        <v>3</v>
      </c>
      <c r="F20" s="9">
        <v>73.56</v>
      </c>
      <c r="G20" s="9">
        <v>77.683333333333337</v>
      </c>
      <c r="H20" s="9">
        <v>73.673333333333332</v>
      </c>
      <c r="I20" s="9">
        <v>4.9999999999999996E-2</v>
      </c>
      <c r="J20" s="9">
        <v>0.74333333333333329</v>
      </c>
      <c r="K20" s="9">
        <v>0.78333333333333321</v>
      </c>
      <c r="L20" s="9">
        <v>0.72000000000000008</v>
      </c>
      <c r="M20" s="9">
        <v>1</v>
      </c>
      <c r="N20" s="9">
        <v>1</v>
      </c>
      <c r="O20" s="9">
        <v>1</v>
      </c>
      <c r="P20" s="9">
        <v>0.66148148148148145</v>
      </c>
      <c r="Q20" s="9">
        <v>0.5</v>
      </c>
      <c r="R20" s="9">
        <v>0.25</v>
      </c>
      <c r="S20" s="9">
        <v>0.5</v>
      </c>
    </row>
    <row r="21" spans="1:19" x14ac:dyDescent="0.2">
      <c r="A21" s="19"/>
      <c r="B21" s="19"/>
      <c r="C21" s="12" t="s">
        <v>26</v>
      </c>
      <c r="D21" s="9">
        <v>3140</v>
      </c>
      <c r="E21" s="9">
        <v>1.5</v>
      </c>
      <c r="F21" s="9">
        <v>88.85499999999999</v>
      </c>
      <c r="G21" s="9">
        <v>92.46</v>
      </c>
      <c r="H21" s="9">
        <v>89.385000000000005</v>
      </c>
      <c r="I21" s="9">
        <v>7.4999999999999997E-2</v>
      </c>
      <c r="J21" s="9">
        <v>0.66999999999999993</v>
      </c>
      <c r="K21" s="9">
        <v>0.73</v>
      </c>
      <c r="L21" s="9">
        <v>0.62</v>
      </c>
      <c r="M21" s="9">
        <v>1</v>
      </c>
      <c r="N21" s="9">
        <v>1</v>
      </c>
      <c r="O21" s="9">
        <v>1</v>
      </c>
      <c r="P21" s="9">
        <v>0.73166666666666669</v>
      </c>
      <c r="Q21" s="9">
        <v>0.45454545454545453</v>
      </c>
      <c r="R21" s="9">
        <v>0.18181818181818182</v>
      </c>
      <c r="S21" s="9">
        <v>0.45454545454545453</v>
      </c>
    </row>
    <row r="22" spans="1:19" x14ac:dyDescent="0.2">
      <c r="A22" s="19"/>
      <c r="B22" s="19"/>
      <c r="C22" s="12" t="s">
        <v>27</v>
      </c>
      <c r="D22" s="9">
        <v>600</v>
      </c>
      <c r="E22" s="9">
        <v>2</v>
      </c>
      <c r="F22" s="9">
        <v>39.32</v>
      </c>
      <c r="G22" s="9">
        <v>42.35</v>
      </c>
      <c r="H22" s="9">
        <v>40.07</v>
      </c>
      <c r="I22" s="9">
        <v>0.04</v>
      </c>
      <c r="J22" s="9">
        <v>0.71</v>
      </c>
      <c r="K22" s="9">
        <v>0.76</v>
      </c>
      <c r="L22" s="9">
        <v>0.79</v>
      </c>
      <c r="M22" s="9">
        <v>1</v>
      </c>
      <c r="N22" s="9">
        <v>1</v>
      </c>
      <c r="O22" s="9">
        <v>1</v>
      </c>
      <c r="P22" s="9">
        <v>0.46166666666666673</v>
      </c>
      <c r="Q22" s="9">
        <v>0.3</v>
      </c>
      <c r="R22" s="9">
        <v>0.1</v>
      </c>
      <c r="S22" s="9">
        <v>0.3</v>
      </c>
    </row>
    <row r="23" spans="1:19" x14ac:dyDescent="0.2">
      <c r="A23" s="19"/>
      <c r="B23" s="19" t="s">
        <v>23</v>
      </c>
      <c r="C23" s="12" t="s">
        <v>25</v>
      </c>
      <c r="D23" s="9">
        <v>1410.75</v>
      </c>
      <c r="E23" s="9">
        <v>2.5</v>
      </c>
      <c r="F23" s="9">
        <v>145.52250000000001</v>
      </c>
      <c r="G23" s="9">
        <v>154.09083333333331</v>
      </c>
      <c r="H23" s="9">
        <v>147.12416666666667</v>
      </c>
      <c r="I23" s="9">
        <v>3.9166666666666662E-2</v>
      </c>
      <c r="J23" s="9">
        <v>0.72333333333333316</v>
      </c>
      <c r="K23" s="9">
        <v>0.77333333333333332</v>
      </c>
      <c r="L23" s="9">
        <v>0.69166666666666654</v>
      </c>
      <c r="M23" s="9">
        <v>1</v>
      </c>
      <c r="N23" s="9">
        <v>0.93055555555555569</v>
      </c>
      <c r="O23" s="9">
        <v>0.96527777777777768</v>
      </c>
      <c r="P23" s="9">
        <v>0.66004629629629619</v>
      </c>
      <c r="Q23" s="9">
        <v>1</v>
      </c>
      <c r="R23" s="9">
        <v>1</v>
      </c>
      <c r="S23" s="9">
        <v>1</v>
      </c>
    </row>
    <row r="24" spans="1:19" x14ac:dyDescent="0.2">
      <c r="A24" s="19"/>
      <c r="B24" s="19"/>
      <c r="C24" s="12" t="s">
        <v>26</v>
      </c>
      <c r="D24" s="9">
        <v>2199.8571428571427</v>
      </c>
      <c r="E24" s="9">
        <v>2.1428571428571428</v>
      </c>
      <c r="F24" s="9">
        <v>91.238571428571419</v>
      </c>
      <c r="G24" s="9">
        <v>94.931428571428569</v>
      </c>
      <c r="H24" s="9">
        <v>89.76</v>
      </c>
      <c r="I24" s="9">
        <v>0.10142857142857144</v>
      </c>
      <c r="J24" s="9">
        <v>0.70714285714285707</v>
      </c>
      <c r="K24" s="9">
        <v>0.7857142857142857</v>
      </c>
      <c r="L24" s="9">
        <v>0.7599999999999999</v>
      </c>
      <c r="M24" s="9">
        <v>1</v>
      </c>
      <c r="N24" s="9">
        <v>0.95238095238095244</v>
      </c>
      <c r="O24" s="9">
        <v>0.97619047619047628</v>
      </c>
      <c r="P24" s="9">
        <v>0.52468253968253975</v>
      </c>
      <c r="Q24" s="9">
        <v>1</v>
      </c>
      <c r="R24" s="9">
        <v>0.63636363636363635</v>
      </c>
      <c r="S24" s="9">
        <v>1</v>
      </c>
    </row>
    <row r="25" spans="1:19" x14ac:dyDescent="0.2">
      <c r="A25" s="19"/>
      <c r="B25" s="19"/>
      <c r="C25" s="12" t="s">
        <v>27</v>
      </c>
      <c r="D25" s="9">
        <v>1069.2</v>
      </c>
      <c r="E25" s="9">
        <v>3</v>
      </c>
      <c r="F25" s="9">
        <v>1139.7739999999999</v>
      </c>
      <c r="G25" s="9">
        <v>1144.646</v>
      </c>
      <c r="H25" s="9">
        <v>1136.104</v>
      </c>
      <c r="I25" s="9">
        <v>7.9999999999999988E-2</v>
      </c>
      <c r="J25" s="9">
        <v>0.71599999999999997</v>
      </c>
      <c r="K25" s="9">
        <v>0.78199999999999992</v>
      </c>
      <c r="L25" s="9">
        <v>0.90333333333333332</v>
      </c>
      <c r="M25" s="9">
        <v>1</v>
      </c>
      <c r="N25" s="9">
        <v>0.4</v>
      </c>
      <c r="O25" s="9">
        <v>0.70000000000000007</v>
      </c>
      <c r="P25" s="9">
        <v>0.44866666666666666</v>
      </c>
      <c r="Q25" s="9">
        <v>0.8</v>
      </c>
      <c r="R25" s="9">
        <v>0.5</v>
      </c>
      <c r="S25" s="9">
        <v>0.8</v>
      </c>
    </row>
  </sheetData>
  <mergeCells count="10">
    <mergeCell ref="B11:B13"/>
    <mergeCell ref="B23:B25"/>
    <mergeCell ref="B8:B10"/>
    <mergeCell ref="A2:A13"/>
    <mergeCell ref="B14:B16"/>
    <mergeCell ref="B20:B22"/>
    <mergeCell ref="B17:B19"/>
    <mergeCell ref="B2:B4"/>
    <mergeCell ref="B5:B7"/>
    <mergeCell ref="A14:A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1F98-9C74-1A40-8C19-CC2298742AE1}">
  <dimension ref="A1:R9"/>
  <sheetViews>
    <sheetView zoomScale="110" zoomScaleNormal="134" workbookViewId="0">
      <selection activeCell="B10" sqref="A10:XFD17"/>
    </sheetView>
  </sheetViews>
  <sheetFormatPr baseColWidth="10" defaultRowHeight="16" x14ac:dyDescent="0.2"/>
  <cols>
    <col min="1" max="1" width="5.83203125" style="3" bestFit="1" customWidth="1"/>
    <col min="2" max="2" width="14.83203125" style="3" bestFit="1" customWidth="1"/>
    <col min="3" max="4" width="12.6640625" style="2" hidden="1" customWidth="1"/>
    <col min="5" max="6" width="13.6640625" style="2" hidden="1" customWidth="1"/>
    <col min="7" max="7" width="15" style="2" hidden="1" customWidth="1"/>
    <col min="8" max="8" width="18.33203125" style="2" bestFit="1" customWidth="1"/>
    <col min="9" max="9" width="22.1640625" style="2" bestFit="1" customWidth="1"/>
    <col min="10" max="10" width="25.6640625" style="2" bestFit="1" customWidth="1"/>
    <col min="11" max="11" width="13.1640625" style="2" bestFit="1" customWidth="1"/>
    <col min="12" max="12" width="15.5" style="2" hidden="1" customWidth="1"/>
    <col min="13" max="13" width="16.6640625" style="2" hidden="1" customWidth="1"/>
    <col min="14" max="14" width="9.33203125" style="2" hidden="1" customWidth="1"/>
    <col min="15" max="15" width="15.6640625" style="2" bestFit="1" customWidth="1"/>
    <col min="16" max="16" width="12.6640625" style="2" hidden="1" customWidth="1"/>
    <col min="17" max="17" width="12.83203125" style="2" hidden="1" customWidth="1"/>
    <col min="18" max="18" width="15.6640625" style="2" hidden="1" customWidth="1"/>
    <col min="19" max="16384" width="10.83203125" style="2"/>
  </cols>
  <sheetData>
    <row r="1" spans="1:18" ht="95" customHeight="1" x14ac:dyDescent="0.2">
      <c r="A1" s="4" t="s">
        <v>2</v>
      </c>
      <c r="B1" s="4" t="s">
        <v>0</v>
      </c>
      <c r="C1" s="1" t="s">
        <v>8</v>
      </c>
      <c r="D1" s="1" t="s">
        <v>9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</row>
    <row r="2" spans="1:18" x14ac:dyDescent="0.2">
      <c r="A2" s="18" t="s">
        <v>4</v>
      </c>
      <c r="B2" s="4" t="s">
        <v>3</v>
      </c>
      <c r="C2" s="6">
        <v>11628.192307692309</v>
      </c>
      <c r="D2" s="6">
        <v>2.6538461538461537</v>
      </c>
      <c r="E2" s="6">
        <v>2146.5711538461542</v>
      </c>
      <c r="F2" s="6">
        <v>2293.5069230769232</v>
      </c>
      <c r="G2" s="15">
        <v>2128.4807692307691</v>
      </c>
      <c r="H2" s="7">
        <v>4.4615384615384626E-2</v>
      </c>
      <c r="I2" s="7">
        <v>0.70807692307692294</v>
      </c>
      <c r="J2" s="7">
        <v>0.77038461538461545</v>
      </c>
      <c r="K2" s="7">
        <v>0.88961538461538481</v>
      </c>
      <c r="L2" s="7">
        <v>1</v>
      </c>
      <c r="M2" s="7">
        <v>0.93543956043956067</v>
      </c>
      <c r="N2" s="7">
        <v>0.96771978021978</v>
      </c>
      <c r="O2" s="7">
        <v>0.3525763125763125</v>
      </c>
      <c r="P2" s="7">
        <v>0.90909090909090906</v>
      </c>
      <c r="Q2" s="7">
        <v>0.78787878787878785</v>
      </c>
      <c r="R2" s="7">
        <v>0.90909090909090906</v>
      </c>
    </row>
    <row r="3" spans="1:18" x14ac:dyDescent="0.2">
      <c r="A3" s="18"/>
      <c r="B3" s="4" t="s">
        <v>24</v>
      </c>
      <c r="C3" s="6">
        <v>3629.3076923076924</v>
      </c>
      <c r="D3" s="6">
        <v>4.2692307692307692</v>
      </c>
      <c r="E3" s="6">
        <v>901.50115384615378</v>
      </c>
      <c r="F3" s="6">
        <v>994.53846153846121</v>
      </c>
      <c r="G3" s="15">
        <v>911.37999999999988</v>
      </c>
      <c r="H3" s="7">
        <v>4.0384615384615394E-2</v>
      </c>
      <c r="I3" s="7">
        <v>0.71269230769230774</v>
      </c>
      <c r="J3" s="7">
        <v>0.77307692307692311</v>
      </c>
      <c r="K3" s="7">
        <v>0.87360000000000004</v>
      </c>
      <c r="L3" s="7">
        <v>1</v>
      </c>
      <c r="M3" s="7">
        <v>0.84903846153846163</v>
      </c>
      <c r="N3" s="7">
        <v>0.92451923076923082</v>
      </c>
      <c r="O3" s="7">
        <v>0.34639316239316248</v>
      </c>
      <c r="P3" s="7">
        <v>0.81818181818181823</v>
      </c>
      <c r="Q3" s="7">
        <v>0.78787878787878785</v>
      </c>
      <c r="R3" s="7">
        <v>0.81818181818181823</v>
      </c>
    </row>
    <row r="4" spans="1:18" x14ac:dyDescent="0.2">
      <c r="A4" s="18"/>
      <c r="B4" s="4" t="s">
        <v>22</v>
      </c>
      <c r="C4" s="6">
        <v>495</v>
      </c>
      <c r="D4" s="6">
        <v>2.75</v>
      </c>
      <c r="E4" s="6">
        <v>660.84</v>
      </c>
      <c r="F4" s="6">
        <v>695.40750000000003</v>
      </c>
      <c r="G4" s="15">
        <v>670.34249999999997</v>
      </c>
      <c r="H4" s="7">
        <v>0.04</v>
      </c>
      <c r="I4" s="7">
        <v>0.7</v>
      </c>
      <c r="J4" s="7">
        <v>0.77</v>
      </c>
      <c r="K4" s="7">
        <v>0.91749999999999998</v>
      </c>
      <c r="L4" s="7">
        <v>1</v>
      </c>
      <c r="M4" s="7">
        <v>0.9375</v>
      </c>
      <c r="N4" s="7">
        <v>0.96875</v>
      </c>
      <c r="O4" s="7">
        <v>0.37784722222222217</v>
      </c>
      <c r="P4" s="7">
        <v>0.18181818181818182</v>
      </c>
      <c r="Q4" s="7">
        <v>0.12121212121212122</v>
      </c>
      <c r="R4" s="7">
        <v>0.18181818181818182</v>
      </c>
    </row>
    <row r="5" spans="1:18" x14ac:dyDescent="0.2">
      <c r="A5" s="18"/>
      <c r="B5" s="4" t="s">
        <v>23</v>
      </c>
      <c r="C5" s="6">
        <v>8120.08</v>
      </c>
      <c r="D5" s="6">
        <v>2.84</v>
      </c>
      <c r="E5" s="6">
        <v>281.55200000000002</v>
      </c>
      <c r="F5" s="6">
        <v>307.95920000000001</v>
      </c>
      <c r="G5" s="15">
        <v>285.02119999999996</v>
      </c>
      <c r="H5" s="7">
        <v>4.5999999999999999E-2</v>
      </c>
      <c r="I5" s="7">
        <v>0.73480000000000001</v>
      </c>
      <c r="J5" s="7">
        <v>0.7712</v>
      </c>
      <c r="K5" s="7">
        <v>0.91086956521739126</v>
      </c>
      <c r="L5" s="7">
        <v>1</v>
      </c>
      <c r="M5" s="7">
        <v>0.77952380952380962</v>
      </c>
      <c r="N5" s="7">
        <v>0.88976190476190453</v>
      </c>
      <c r="O5" s="7">
        <v>0.30717936507936494</v>
      </c>
      <c r="P5" s="7">
        <v>0.93939393939393945</v>
      </c>
      <c r="Q5" s="7">
        <v>0.75757575757575757</v>
      </c>
      <c r="R5" s="7">
        <v>0.93939393939393945</v>
      </c>
    </row>
    <row r="6" spans="1:18" x14ac:dyDescent="0.2">
      <c r="A6" s="23" t="s">
        <v>21</v>
      </c>
      <c r="B6" s="4" t="s">
        <v>3</v>
      </c>
      <c r="C6" s="6">
        <v>5285.8461538461543</v>
      </c>
      <c r="D6" s="6">
        <v>2.6538461538461537</v>
      </c>
      <c r="E6" s="6">
        <v>1327.7115384615386</v>
      </c>
      <c r="F6" s="6">
        <v>1353.4303846153848</v>
      </c>
      <c r="G6" s="15">
        <v>1333.1003846153847</v>
      </c>
      <c r="H6" s="7">
        <v>4.7307692307692321E-2</v>
      </c>
      <c r="I6" s="7">
        <v>0.69807692307692315</v>
      </c>
      <c r="J6" s="7">
        <v>0.75615384615384607</v>
      </c>
      <c r="K6" s="7">
        <v>0.74730769230769245</v>
      </c>
      <c r="L6" s="7">
        <v>1</v>
      </c>
      <c r="M6" s="7">
        <v>0.93543956043956067</v>
      </c>
      <c r="N6" s="7">
        <v>0.96771978021978</v>
      </c>
      <c r="O6" s="7">
        <v>0.55804181929181929</v>
      </c>
      <c r="P6" s="7">
        <v>0.93939393939393945</v>
      </c>
      <c r="Q6" s="7">
        <v>0.78787878787878785</v>
      </c>
      <c r="R6" s="7">
        <v>0.93939393939393945</v>
      </c>
    </row>
    <row r="7" spans="1:18" x14ac:dyDescent="0.2">
      <c r="A7" s="24"/>
      <c r="B7" s="4" t="s">
        <v>24</v>
      </c>
      <c r="C7" s="8">
        <v>3670.8620689655172</v>
      </c>
      <c r="D7" s="8">
        <v>4.2413793103448274</v>
      </c>
      <c r="E7" s="8">
        <v>1728.9227586206898</v>
      </c>
      <c r="F7" s="8">
        <v>1916.6382758620693</v>
      </c>
      <c r="G7" s="16">
        <v>1784.2010344827584</v>
      </c>
      <c r="H7" s="9">
        <v>3.8620689655172423E-2</v>
      </c>
      <c r="I7" s="9">
        <v>0.70724137931034492</v>
      </c>
      <c r="J7" s="9">
        <v>0.75620689655172424</v>
      </c>
      <c r="K7" s="9">
        <v>0.74413793103448256</v>
      </c>
      <c r="L7" s="9">
        <v>1</v>
      </c>
      <c r="M7" s="9">
        <v>0.90418719211822685</v>
      </c>
      <c r="N7" s="9">
        <v>0.95209359605911337</v>
      </c>
      <c r="O7" s="9">
        <v>0.5579538405400476</v>
      </c>
      <c r="P7" s="9">
        <v>0.87878787878787878</v>
      </c>
      <c r="Q7" s="9">
        <v>0.87878787878787878</v>
      </c>
      <c r="R7" s="9">
        <v>0.87878787878787878</v>
      </c>
    </row>
    <row r="8" spans="1:18" x14ac:dyDescent="0.2">
      <c r="A8" s="24"/>
      <c r="B8" s="4" t="s">
        <v>22</v>
      </c>
      <c r="C8" s="8">
        <v>1888.3333333333333</v>
      </c>
      <c r="D8" s="8">
        <v>2.3333333333333335</v>
      </c>
      <c r="E8" s="8">
        <v>72.951666666666668</v>
      </c>
      <c r="F8" s="8">
        <v>76.720000000000013</v>
      </c>
      <c r="G8" s="16">
        <v>73.309999999999988</v>
      </c>
      <c r="H8" s="9">
        <v>5.6666666666666664E-2</v>
      </c>
      <c r="I8" s="9">
        <v>0.71333333333333326</v>
      </c>
      <c r="J8" s="9">
        <v>0.7616666666666666</v>
      </c>
      <c r="K8" s="9">
        <v>0.69833333333333336</v>
      </c>
      <c r="L8" s="9">
        <v>1</v>
      </c>
      <c r="M8" s="9">
        <v>1</v>
      </c>
      <c r="N8" s="9">
        <v>1</v>
      </c>
      <c r="O8" s="9">
        <v>0.65157407407407408</v>
      </c>
      <c r="P8" s="9">
        <v>0.42424242424242425</v>
      </c>
      <c r="Q8" s="9">
        <v>0.18181818181818182</v>
      </c>
      <c r="R8" s="9">
        <v>0.42424242424242425</v>
      </c>
    </row>
    <row r="9" spans="1:18" x14ac:dyDescent="0.2">
      <c r="A9" s="24"/>
      <c r="B9" s="4" t="s">
        <v>23</v>
      </c>
      <c r="C9" s="6">
        <v>1569.75</v>
      </c>
      <c r="D9" s="6">
        <v>2.5</v>
      </c>
      <c r="E9" s="6">
        <v>336.82541666666663</v>
      </c>
      <c r="F9" s="6">
        <v>343.20166666666665</v>
      </c>
      <c r="G9" s="15">
        <v>336.43041666666664</v>
      </c>
      <c r="H9" s="7">
        <v>6.5833333333333327E-2</v>
      </c>
      <c r="I9" s="7">
        <v>0.71708333333333352</v>
      </c>
      <c r="J9" s="7">
        <v>0.77874999999999994</v>
      </c>
      <c r="K9" s="7">
        <v>0.74227272727272731</v>
      </c>
      <c r="L9" s="7">
        <v>1</v>
      </c>
      <c r="M9" s="7">
        <v>0.82638888888888917</v>
      </c>
      <c r="N9" s="7">
        <v>0.9131944444444442</v>
      </c>
      <c r="O9" s="7">
        <v>0.57652777777777775</v>
      </c>
      <c r="P9" s="7">
        <v>0.93939393939393945</v>
      </c>
      <c r="Q9" s="7">
        <v>0.72727272727272729</v>
      </c>
      <c r="R9" s="7">
        <v>0.93939393939393945</v>
      </c>
    </row>
  </sheetData>
  <mergeCells count="2">
    <mergeCell ref="A2:A5"/>
    <mergeCell ref="A6:A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9D4B-FE6F-DE4A-A4D7-A2923AD08071}">
  <dimension ref="A1:S25"/>
  <sheetViews>
    <sheetView tabSelected="1" zoomScale="85" workbookViewId="0">
      <selection activeCell="L34" sqref="L34"/>
    </sheetView>
  </sheetViews>
  <sheetFormatPr baseColWidth="10" defaultRowHeight="16" x14ac:dyDescent="0.2"/>
  <cols>
    <col min="1" max="1" width="6" style="3" bestFit="1" customWidth="1"/>
    <col min="2" max="2" width="15" style="3" bestFit="1" customWidth="1"/>
    <col min="3" max="3" width="10.5" style="2" bestFit="1" customWidth="1"/>
    <col min="4" max="4" width="9.83203125" style="2" hidden="1" customWidth="1"/>
    <col min="5" max="5" width="4.83203125" style="2" hidden="1" customWidth="1"/>
    <col min="6" max="7" width="13.6640625" style="2" hidden="1" customWidth="1"/>
    <col min="8" max="8" width="15" style="2" hidden="1" customWidth="1"/>
    <col min="9" max="9" width="18.33203125" style="2" bestFit="1" customWidth="1"/>
    <col min="10" max="10" width="22.1640625" style="2" bestFit="1" customWidth="1"/>
    <col min="11" max="11" width="25.6640625" style="2" bestFit="1" customWidth="1"/>
    <col min="12" max="12" width="13.1640625" style="2" bestFit="1" customWidth="1"/>
    <col min="13" max="13" width="16.33203125" style="2" hidden="1" customWidth="1"/>
    <col min="14" max="14" width="22.33203125" style="2" hidden="1" customWidth="1"/>
    <col min="15" max="15" width="9.33203125" style="2" hidden="1" customWidth="1"/>
    <col min="16" max="16" width="20.83203125" style="2" bestFit="1" customWidth="1"/>
    <col min="17" max="17" width="12.6640625" style="2" hidden="1" customWidth="1"/>
    <col min="18" max="18" width="12.83203125" style="2" hidden="1" customWidth="1"/>
    <col min="19" max="19" width="15.6640625" style="2" hidden="1" customWidth="1"/>
    <col min="20" max="16384" width="10.83203125" style="2"/>
  </cols>
  <sheetData>
    <row r="1" spans="1:19" x14ac:dyDescent="0.2">
      <c r="A1" s="12" t="s">
        <v>2</v>
      </c>
      <c r="B1" s="12" t="s">
        <v>0</v>
      </c>
      <c r="C1" s="12" t="s">
        <v>1</v>
      </c>
      <c r="D1" s="13" t="s">
        <v>8</v>
      </c>
      <c r="E1" s="13" t="s">
        <v>9</v>
      </c>
      <c r="F1" s="13" t="s">
        <v>5</v>
      </c>
      <c r="G1" s="13" t="s">
        <v>6</v>
      </c>
      <c r="H1" s="13" t="s">
        <v>7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</row>
    <row r="2" spans="1:19" x14ac:dyDescent="0.2">
      <c r="A2" s="19" t="s">
        <v>4</v>
      </c>
      <c r="B2" s="19" t="s">
        <v>3</v>
      </c>
      <c r="C2" s="12" t="s">
        <v>25</v>
      </c>
      <c r="D2" s="9">
        <v>10956.363636363636</v>
      </c>
      <c r="E2" s="9">
        <v>2.1818181818181817</v>
      </c>
      <c r="F2" s="9">
        <v>3876.9081818181821</v>
      </c>
      <c r="G2" s="9">
        <v>4024.6172727272728</v>
      </c>
      <c r="H2" s="9">
        <v>3776.4345454545455</v>
      </c>
      <c r="I2" s="9">
        <v>3.2727272727272723E-2</v>
      </c>
      <c r="J2" s="9">
        <v>0.70909090909090911</v>
      </c>
      <c r="K2" s="9">
        <v>0.76727272727272722</v>
      </c>
      <c r="L2" s="9">
        <v>0.88818181818181818</v>
      </c>
      <c r="M2" s="9">
        <v>1</v>
      </c>
      <c r="N2" s="9">
        <v>1</v>
      </c>
      <c r="O2" s="9">
        <v>1</v>
      </c>
      <c r="P2" s="9">
        <v>0.29128787878787876</v>
      </c>
      <c r="Q2" s="9">
        <v>1</v>
      </c>
      <c r="R2" s="9">
        <v>0.91666666666666663</v>
      </c>
      <c r="S2" s="9">
        <v>1</v>
      </c>
    </row>
    <row r="3" spans="1:19" x14ac:dyDescent="0.2">
      <c r="A3" s="19"/>
      <c r="B3" s="19"/>
      <c r="C3" s="12" t="s">
        <v>26</v>
      </c>
      <c r="D3" s="9">
        <v>21981</v>
      </c>
      <c r="E3" s="9">
        <v>2.25</v>
      </c>
      <c r="F3" s="9">
        <v>1343.0237500000001</v>
      </c>
      <c r="G3" s="9">
        <v>1600.7087500000002</v>
      </c>
      <c r="H3" s="9">
        <v>1419.0475000000001</v>
      </c>
      <c r="I3" s="9">
        <v>7.8750000000000014E-2</v>
      </c>
      <c r="J3" s="9">
        <v>0.69375000000000009</v>
      </c>
      <c r="K3" s="9">
        <v>0.77374999999999994</v>
      </c>
      <c r="L3" s="9">
        <v>0.86499999999999999</v>
      </c>
      <c r="M3" s="9">
        <v>1</v>
      </c>
      <c r="N3" s="9">
        <v>0.96875</v>
      </c>
      <c r="O3" s="9">
        <v>0.984375</v>
      </c>
      <c r="P3" s="9">
        <v>0.43135416666666665</v>
      </c>
      <c r="Q3" s="9">
        <v>0.90909090909090906</v>
      </c>
      <c r="R3" s="9">
        <v>0.72727272727272729</v>
      </c>
      <c r="S3" s="9">
        <v>0.90909090909090906</v>
      </c>
    </row>
    <row r="4" spans="1:19" x14ac:dyDescent="0.2">
      <c r="A4" s="19"/>
      <c r="B4" s="19"/>
      <c r="C4" s="12" t="s">
        <v>27</v>
      </c>
      <c r="D4" s="9">
        <v>852.14285714285711</v>
      </c>
      <c r="E4" s="9">
        <v>3.8571428571428572</v>
      </c>
      <c r="F4" s="9">
        <v>345.80999999999995</v>
      </c>
      <c r="G4" s="9">
        <v>364.96</v>
      </c>
      <c r="H4" s="9">
        <v>349.62</v>
      </c>
      <c r="I4" s="9">
        <v>2.4285714285714282E-2</v>
      </c>
      <c r="J4" s="9">
        <v>0.72285714285714275</v>
      </c>
      <c r="K4" s="9">
        <v>0.77142857142857146</v>
      </c>
      <c r="L4" s="9">
        <v>0.92</v>
      </c>
      <c r="M4" s="9">
        <v>1</v>
      </c>
      <c r="N4" s="9">
        <v>0.79591836734693877</v>
      </c>
      <c r="O4" s="9">
        <v>0.89795918367346939</v>
      </c>
      <c r="P4" s="9">
        <v>0.35885487528344667</v>
      </c>
      <c r="Q4" s="9">
        <v>0.8</v>
      </c>
      <c r="R4" s="9">
        <v>0.7</v>
      </c>
      <c r="S4" s="9">
        <v>0.8</v>
      </c>
    </row>
    <row r="5" spans="1:19" x14ac:dyDescent="0.2">
      <c r="A5" s="19"/>
      <c r="B5" s="19" t="s">
        <v>24</v>
      </c>
      <c r="C5" s="12" t="s">
        <v>25</v>
      </c>
      <c r="D5" s="9">
        <v>200.8</v>
      </c>
      <c r="E5" s="9">
        <v>3.6</v>
      </c>
      <c r="F5" s="9">
        <v>86.625999999999991</v>
      </c>
      <c r="G5" s="9">
        <v>162.78599999999997</v>
      </c>
      <c r="H5" s="9">
        <v>109.748</v>
      </c>
      <c r="I5" s="9">
        <v>2.4E-2</v>
      </c>
      <c r="J5" s="9">
        <v>0.70700000000000007</v>
      </c>
      <c r="K5" s="9">
        <v>0.76600000000000013</v>
      </c>
      <c r="L5" s="9">
        <v>0.90900000000000003</v>
      </c>
      <c r="M5" s="9">
        <v>1</v>
      </c>
      <c r="N5" s="9">
        <v>0.90999999999999992</v>
      </c>
      <c r="O5" s="9">
        <v>0.95500000000000007</v>
      </c>
      <c r="P5" s="9">
        <v>0.22624444444444441</v>
      </c>
      <c r="Q5" s="9">
        <v>0.83333333333333337</v>
      </c>
      <c r="R5" s="9">
        <v>0.83333333333333337</v>
      </c>
      <c r="S5" s="9">
        <v>0.83333333333333337</v>
      </c>
    </row>
    <row r="6" spans="1:19" x14ac:dyDescent="0.2">
      <c r="A6" s="19"/>
      <c r="B6" s="19"/>
      <c r="C6" s="12" t="s">
        <v>26</v>
      </c>
      <c r="D6" s="9">
        <v>6127.25</v>
      </c>
      <c r="E6" s="9">
        <v>3.875</v>
      </c>
      <c r="F6" s="9">
        <v>792.47249999999997</v>
      </c>
      <c r="G6" s="9">
        <v>885.88625000000002</v>
      </c>
      <c r="H6" s="9">
        <v>820.02500000000009</v>
      </c>
      <c r="I6" s="9">
        <v>5.7499999999999996E-2</v>
      </c>
      <c r="J6" s="9">
        <v>0.72249999999999992</v>
      </c>
      <c r="K6" s="9">
        <v>0.77500000000000002</v>
      </c>
      <c r="L6" s="9">
        <v>0.84499999999999997</v>
      </c>
      <c r="M6" s="9">
        <v>1</v>
      </c>
      <c r="N6" s="9">
        <v>0.875</v>
      </c>
      <c r="O6" s="9">
        <v>0.9375</v>
      </c>
      <c r="P6" s="9">
        <v>0.46309027777777773</v>
      </c>
      <c r="Q6" s="9">
        <v>0.81818181818181823</v>
      </c>
      <c r="R6" s="9">
        <v>0.72727272727272729</v>
      </c>
      <c r="S6" s="9">
        <v>0.81818181818181823</v>
      </c>
    </row>
    <row r="7" spans="1:19" x14ac:dyDescent="0.2">
      <c r="A7" s="19"/>
      <c r="B7" s="19"/>
      <c r="C7" s="12" t="s">
        <v>27</v>
      </c>
      <c r="D7" s="9">
        <v>5417</v>
      </c>
      <c r="E7" s="9">
        <v>5.5</v>
      </c>
      <c r="F7" s="9">
        <v>2029.1237500000002</v>
      </c>
      <c r="G7" s="9">
        <v>2142.8812499999999</v>
      </c>
      <c r="H7" s="9">
        <v>2004.7750000000001</v>
      </c>
      <c r="I7" s="9">
        <v>4.3750000000000004E-2</v>
      </c>
      <c r="J7" s="9">
        <v>0.71</v>
      </c>
      <c r="K7" s="9">
        <v>0.78</v>
      </c>
      <c r="L7" s="9">
        <v>0.85571428571428565</v>
      </c>
      <c r="M7" s="9">
        <v>1</v>
      </c>
      <c r="N7" s="9">
        <v>0.74687499999999996</v>
      </c>
      <c r="O7" s="9">
        <v>0.87343749999999998</v>
      </c>
      <c r="P7" s="9">
        <v>0.37988194444444445</v>
      </c>
      <c r="Q7" s="9">
        <v>0.8</v>
      </c>
      <c r="R7" s="9">
        <v>0.8</v>
      </c>
      <c r="S7" s="9">
        <v>0.8</v>
      </c>
    </row>
    <row r="8" spans="1:19" x14ac:dyDescent="0.2">
      <c r="A8" s="19"/>
      <c r="B8" s="19" t="s">
        <v>22</v>
      </c>
      <c r="C8" s="12" t="s">
        <v>25</v>
      </c>
      <c r="D8" s="9">
        <v>179</v>
      </c>
      <c r="E8" s="9">
        <v>2</v>
      </c>
      <c r="F8" s="9">
        <v>1100.0550000000001</v>
      </c>
      <c r="G8" s="9">
        <v>1103.72</v>
      </c>
      <c r="H8" s="9">
        <v>1099.46</v>
      </c>
      <c r="I8" s="9">
        <v>0.08</v>
      </c>
      <c r="J8" s="9">
        <v>0.66999999999999993</v>
      </c>
      <c r="K8" s="9">
        <v>0.78500000000000003</v>
      </c>
      <c r="L8" s="9">
        <v>0.85</v>
      </c>
      <c r="M8" s="9">
        <v>1</v>
      </c>
      <c r="N8" s="9">
        <v>1</v>
      </c>
      <c r="O8" s="9">
        <v>1</v>
      </c>
      <c r="P8" s="9">
        <v>0.35583333333333328</v>
      </c>
      <c r="Q8" s="9">
        <v>0.25</v>
      </c>
      <c r="R8" s="9">
        <v>0.16666666666666666</v>
      </c>
      <c r="S8" s="9">
        <v>0.25</v>
      </c>
    </row>
    <row r="9" spans="1:19" x14ac:dyDescent="0.2">
      <c r="A9" s="19"/>
      <c r="B9" s="19"/>
      <c r="C9" s="12" t="s">
        <v>26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spans="1:19" x14ac:dyDescent="0.2">
      <c r="A10" s="19"/>
      <c r="B10" s="19"/>
      <c r="C10" s="12" t="s">
        <v>27</v>
      </c>
      <c r="D10" s="9">
        <v>811</v>
      </c>
      <c r="E10" s="9">
        <v>3.5</v>
      </c>
      <c r="F10" s="9">
        <v>221.625</v>
      </c>
      <c r="G10" s="9">
        <v>287.09500000000003</v>
      </c>
      <c r="H10" s="9">
        <v>241.22499999999999</v>
      </c>
      <c r="I10" s="9">
        <v>0</v>
      </c>
      <c r="J10" s="9">
        <v>0.73</v>
      </c>
      <c r="K10" s="9">
        <v>0.755</v>
      </c>
      <c r="L10" s="9">
        <v>0.98499999999999999</v>
      </c>
      <c r="M10" s="9">
        <v>1</v>
      </c>
      <c r="N10" s="9">
        <v>0.875</v>
      </c>
      <c r="O10" s="9">
        <v>0.9375</v>
      </c>
      <c r="P10" s="9">
        <v>0.39986111111111106</v>
      </c>
      <c r="Q10" s="9">
        <v>0.3</v>
      </c>
      <c r="R10" s="9">
        <v>0.2</v>
      </c>
      <c r="S10" s="9">
        <v>0.3</v>
      </c>
    </row>
    <row r="11" spans="1:19" x14ac:dyDescent="0.2">
      <c r="A11" s="19"/>
      <c r="B11" s="19" t="s">
        <v>23</v>
      </c>
      <c r="C11" s="12" t="s">
        <v>25</v>
      </c>
      <c r="D11" s="9">
        <v>759.85714285714289</v>
      </c>
      <c r="E11" s="9">
        <v>1.8571428571428572</v>
      </c>
      <c r="F11" s="9">
        <v>39.57</v>
      </c>
      <c r="G11" s="9">
        <v>41.504285714285722</v>
      </c>
      <c r="H11" s="9">
        <v>39.744285714285716</v>
      </c>
      <c r="I11" s="9">
        <v>2.2857142857142857E-2</v>
      </c>
      <c r="J11" s="9">
        <v>0.73714285714285721</v>
      </c>
      <c r="K11" s="9">
        <v>0.76999999999999991</v>
      </c>
      <c r="L11" s="9">
        <v>0.90142857142857136</v>
      </c>
      <c r="M11" s="9">
        <v>1</v>
      </c>
      <c r="N11" s="9">
        <v>1</v>
      </c>
      <c r="O11" s="9">
        <v>1</v>
      </c>
      <c r="P11" s="9">
        <v>0.25523809523809521</v>
      </c>
      <c r="Q11" s="9">
        <v>0.91666666666666663</v>
      </c>
      <c r="R11" s="9">
        <v>0.58333333333333337</v>
      </c>
      <c r="S11" s="9">
        <v>0.91666666666666663</v>
      </c>
    </row>
    <row r="12" spans="1:19" x14ac:dyDescent="0.2">
      <c r="A12" s="19"/>
      <c r="B12" s="19"/>
      <c r="C12" s="12" t="s">
        <v>26</v>
      </c>
      <c r="D12" s="9">
        <v>13126</v>
      </c>
      <c r="E12" s="9">
        <v>2.6666666666666665</v>
      </c>
      <c r="F12" s="9">
        <v>348.39111111111112</v>
      </c>
      <c r="G12" s="9">
        <v>404.83333333333331</v>
      </c>
      <c r="H12" s="9">
        <v>364.63888888888891</v>
      </c>
      <c r="I12" s="9">
        <v>7.1111111111111125E-2</v>
      </c>
      <c r="J12" s="9">
        <v>0.74222222222222223</v>
      </c>
      <c r="K12" s="9">
        <v>0.77333333333333332</v>
      </c>
      <c r="L12" s="9">
        <v>0.90777777777777779</v>
      </c>
      <c r="M12" s="9">
        <v>1</v>
      </c>
      <c r="N12" s="9">
        <v>0.84259259259259267</v>
      </c>
      <c r="O12" s="9">
        <v>0.92129629629629639</v>
      </c>
      <c r="P12" s="9">
        <v>0.36435185185185193</v>
      </c>
      <c r="Q12" s="9">
        <v>0.90909090909090906</v>
      </c>
      <c r="R12" s="9">
        <v>0.81818181818181823</v>
      </c>
      <c r="S12" s="9">
        <v>0.90909090909090906</v>
      </c>
    </row>
    <row r="13" spans="1:19" x14ac:dyDescent="0.2">
      <c r="A13" s="19"/>
      <c r="B13" s="19"/>
      <c r="C13" s="12" t="s">
        <v>27</v>
      </c>
      <c r="D13" s="9">
        <v>8838.7777777777774</v>
      </c>
      <c r="E13" s="9">
        <v>3.7777777777777777</v>
      </c>
      <c r="F13" s="9">
        <v>402.92111111111109</v>
      </c>
      <c r="G13" s="9">
        <v>418.32777777777778</v>
      </c>
      <c r="H13" s="9">
        <v>396.17444444444442</v>
      </c>
      <c r="I13" s="9">
        <v>3.888888888888889E-2</v>
      </c>
      <c r="J13" s="9">
        <v>0.72555555555555562</v>
      </c>
      <c r="K13" s="9">
        <v>0.77</v>
      </c>
      <c r="L13" s="9">
        <v>0.92428571428571427</v>
      </c>
      <c r="M13" s="9">
        <v>1</v>
      </c>
      <c r="N13" s="9">
        <v>0.544973544973545</v>
      </c>
      <c r="O13" s="9">
        <v>0.77248677248677255</v>
      </c>
      <c r="P13" s="9">
        <v>0.29040564373897709</v>
      </c>
      <c r="Q13" s="9">
        <v>1</v>
      </c>
      <c r="R13" s="9">
        <v>0.9</v>
      </c>
      <c r="S13" s="9">
        <v>1</v>
      </c>
    </row>
    <row r="14" spans="1:19" x14ac:dyDescent="0.2">
      <c r="A14" s="19" t="s">
        <v>21</v>
      </c>
      <c r="B14" s="19" t="s">
        <v>3</v>
      </c>
      <c r="C14" s="12" t="s">
        <v>25</v>
      </c>
      <c r="D14" s="9">
        <v>1295.1818181818182</v>
      </c>
      <c r="E14" s="9">
        <v>2.3636363636363638</v>
      </c>
      <c r="F14" s="9">
        <v>64.166363636363641</v>
      </c>
      <c r="G14" s="9">
        <v>66.057272727272732</v>
      </c>
      <c r="H14" s="9">
        <v>63.701818181818183</v>
      </c>
      <c r="I14" s="9">
        <v>3.0909090909090907E-2</v>
      </c>
      <c r="J14" s="9">
        <v>0.70272727272727264</v>
      </c>
      <c r="K14" s="9">
        <v>0.74818181818181817</v>
      </c>
      <c r="L14" s="9">
        <v>0.6990909090909091</v>
      </c>
      <c r="M14" s="9">
        <v>1</v>
      </c>
      <c r="N14" s="9">
        <v>1</v>
      </c>
      <c r="O14" s="9">
        <v>1</v>
      </c>
      <c r="P14" s="9">
        <v>0.65060606060606063</v>
      </c>
      <c r="Q14" s="9">
        <v>1</v>
      </c>
      <c r="R14" s="9">
        <v>0.91666666666666663</v>
      </c>
      <c r="S14" s="9">
        <v>1</v>
      </c>
    </row>
    <row r="15" spans="1:19" x14ac:dyDescent="0.2">
      <c r="A15" s="19"/>
      <c r="B15" s="19"/>
      <c r="C15" s="12" t="s">
        <v>26</v>
      </c>
      <c r="D15" s="9">
        <v>9907.25</v>
      </c>
      <c r="E15" s="9">
        <v>2.375</v>
      </c>
      <c r="F15" s="9">
        <v>1348.3362500000001</v>
      </c>
      <c r="G15" s="9">
        <v>1357.9612500000001</v>
      </c>
      <c r="H15" s="9">
        <v>1346.3275000000001</v>
      </c>
      <c r="I15" s="9">
        <v>7.8750000000000014E-2</v>
      </c>
      <c r="J15" s="9">
        <v>0.70874999999999999</v>
      </c>
      <c r="K15" s="9">
        <v>0.75625000000000009</v>
      </c>
      <c r="L15" s="9">
        <v>0.74250000000000005</v>
      </c>
      <c r="M15" s="9">
        <v>1</v>
      </c>
      <c r="N15" s="9">
        <v>0.96875</v>
      </c>
      <c r="O15" s="9">
        <v>0.984375</v>
      </c>
      <c r="P15" s="9">
        <v>0.49600694444444449</v>
      </c>
      <c r="Q15" s="9">
        <v>0.90909090909090906</v>
      </c>
      <c r="R15" s="9">
        <v>0.72727272727272729</v>
      </c>
      <c r="S15" s="9">
        <v>0.90909090909090906</v>
      </c>
    </row>
    <row r="16" spans="1:19" x14ac:dyDescent="0.2">
      <c r="A16" s="19"/>
      <c r="B16" s="19"/>
      <c r="C16" s="12" t="s">
        <v>27</v>
      </c>
      <c r="D16" s="9">
        <v>6275.2857142857147</v>
      </c>
      <c r="E16" s="9">
        <v>3.4285714285714284</v>
      </c>
      <c r="F16" s="9">
        <v>3289.7114285714283</v>
      </c>
      <c r="G16" s="9">
        <v>3371.2671428571425</v>
      </c>
      <c r="H16" s="9">
        <v>3312.7528571428566</v>
      </c>
      <c r="I16" s="9">
        <v>3.7142857142857144E-2</v>
      </c>
      <c r="J16" s="9">
        <v>0.6785714285714286</v>
      </c>
      <c r="K16" s="9">
        <v>0.76857142857142857</v>
      </c>
      <c r="L16" s="9">
        <v>0.82857142857142863</v>
      </c>
      <c r="M16" s="9">
        <v>1</v>
      </c>
      <c r="N16" s="9">
        <v>0.79591836734693888</v>
      </c>
      <c r="O16" s="9">
        <v>0.89795918367346939</v>
      </c>
      <c r="P16" s="9">
        <v>0.48348072562358274</v>
      </c>
      <c r="Q16" s="9">
        <v>0.9</v>
      </c>
      <c r="R16" s="9">
        <v>0.7</v>
      </c>
      <c r="S16" s="9">
        <v>0.9</v>
      </c>
    </row>
    <row r="17" spans="1:19" x14ac:dyDescent="0.2">
      <c r="A17" s="19"/>
      <c r="B17" s="19" t="s">
        <v>24</v>
      </c>
      <c r="C17" s="12" t="s">
        <v>25</v>
      </c>
      <c r="D17" s="9">
        <v>2692.25</v>
      </c>
      <c r="E17" s="9">
        <v>3.75</v>
      </c>
      <c r="F17" s="9">
        <v>240.47666666666669</v>
      </c>
      <c r="G17" s="9">
        <v>269.2525</v>
      </c>
      <c r="H17" s="9">
        <v>245.29499999999999</v>
      </c>
      <c r="I17" s="9">
        <v>3.2500000000000001E-2</v>
      </c>
      <c r="J17" s="9">
        <v>0.71583333333333321</v>
      </c>
      <c r="K17" s="9">
        <v>0.75166666666666659</v>
      </c>
      <c r="L17" s="9">
        <v>0.70499999999999996</v>
      </c>
      <c r="M17" s="9">
        <v>1</v>
      </c>
      <c r="N17" s="9">
        <v>0.96666666666666667</v>
      </c>
      <c r="O17" s="9">
        <v>0.98333333333333339</v>
      </c>
      <c r="P17" s="9">
        <v>0.60862962962962974</v>
      </c>
      <c r="Q17" s="9">
        <v>1</v>
      </c>
      <c r="R17" s="9">
        <v>1</v>
      </c>
      <c r="S17" s="9">
        <v>1</v>
      </c>
    </row>
    <row r="18" spans="1:19" x14ac:dyDescent="0.2">
      <c r="A18" s="19"/>
      <c r="B18" s="19"/>
      <c r="C18" s="12" t="s">
        <v>26</v>
      </c>
      <c r="D18" s="9">
        <v>3823.2222222222222</v>
      </c>
      <c r="E18" s="9">
        <v>3.6666666666666665</v>
      </c>
      <c r="F18" s="9">
        <v>4427.7766666666666</v>
      </c>
      <c r="G18" s="9">
        <v>4955.4877777777783</v>
      </c>
      <c r="H18" s="9">
        <v>4589.03</v>
      </c>
      <c r="I18" s="9">
        <v>5.3333333333333337E-2</v>
      </c>
      <c r="J18" s="9">
        <v>0.70666666666666667</v>
      </c>
      <c r="K18" s="9">
        <v>0.7566666666666666</v>
      </c>
      <c r="L18" s="9">
        <v>0.7599999999999999</v>
      </c>
      <c r="M18" s="9">
        <v>1</v>
      </c>
      <c r="N18" s="9">
        <v>0.9277777777777777</v>
      </c>
      <c r="O18" s="9">
        <v>0.96388888888888902</v>
      </c>
      <c r="P18" s="9">
        <v>0.55727777777777765</v>
      </c>
      <c r="Q18" s="9">
        <v>0.81818181818181823</v>
      </c>
      <c r="R18" s="9">
        <v>0.81818181818181823</v>
      </c>
      <c r="S18" s="9">
        <v>0.81818181818181823</v>
      </c>
    </row>
    <row r="19" spans="1:19" x14ac:dyDescent="0.2">
      <c r="A19" s="19"/>
      <c r="B19" s="19"/>
      <c r="C19" s="12" t="s">
        <v>27</v>
      </c>
      <c r="D19" s="9">
        <v>4967.375</v>
      </c>
      <c r="E19" s="9">
        <v>5.625</v>
      </c>
      <c r="F19" s="9">
        <v>925.38125000000002</v>
      </c>
      <c r="G19" s="9">
        <v>969.01125000000002</v>
      </c>
      <c r="H19" s="9">
        <v>937.12749999999994</v>
      </c>
      <c r="I19" s="9">
        <v>3.125E-2</v>
      </c>
      <c r="J19" s="9">
        <v>0.69499999999999995</v>
      </c>
      <c r="K19" s="9">
        <v>0.76249999999999996</v>
      </c>
      <c r="L19" s="9">
        <v>0.78500000000000003</v>
      </c>
      <c r="M19" s="9">
        <v>1</v>
      </c>
      <c r="N19" s="9">
        <v>0.78392857142857142</v>
      </c>
      <c r="O19" s="9">
        <v>0.89196428571428565</v>
      </c>
      <c r="P19" s="9">
        <v>0.48270072751322751</v>
      </c>
      <c r="Q19" s="9">
        <v>0.8</v>
      </c>
      <c r="R19" s="9">
        <v>0.8</v>
      </c>
      <c r="S19" s="9">
        <v>0.8</v>
      </c>
    </row>
    <row r="20" spans="1:19" x14ac:dyDescent="0.2">
      <c r="A20" s="19"/>
      <c r="B20" s="19" t="s">
        <v>22</v>
      </c>
      <c r="C20" s="12" t="s">
        <v>25</v>
      </c>
      <c r="D20" s="9">
        <v>1483.3333333333333</v>
      </c>
      <c r="E20" s="9">
        <v>3</v>
      </c>
      <c r="F20" s="9">
        <v>73.56</v>
      </c>
      <c r="G20" s="9">
        <v>77.683333333333337</v>
      </c>
      <c r="H20" s="9">
        <v>73.673333333333332</v>
      </c>
      <c r="I20" s="9">
        <v>4.9999999999999996E-2</v>
      </c>
      <c r="J20" s="9">
        <v>0.74333333333333329</v>
      </c>
      <c r="K20" s="9">
        <v>0.78333333333333321</v>
      </c>
      <c r="L20" s="9">
        <v>0.72000000000000008</v>
      </c>
      <c r="M20" s="9">
        <v>1</v>
      </c>
      <c r="N20" s="9">
        <v>1</v>
      </c>
      <c r="O20" s="9">
        <v>1</v>
      </c>
      <c r="P20" s="9">
        <v>0.66148148148148145</v>
      </c>
      <c r="Q20" s="9">
        <v>0.5</v>
      </c>
      <c r="R20" s="9">
        <v>0.25</v>
      </c>
      <c r="S20" s="9">
        <v>0.5</v>
      </c>
    </row>
    <row r="21" spans="1:19" x14ac:dyDescent="0.2">
      <c r="A21" s="19"/>
      <c r="B21" s="19"/>
      <c r="C21" s="12" t="s">
        <v>26</v>
      </c>
      <c r="D21" s="9">
        <v>3140</v>
      </c>
      <c r="E21" s="9">
        <v>1.5</v>
      </c>
      <c r="F21" s="9">
        <v>88.85499999999999</v>
      </c>
      <c r="G21" s="9">
        <v>92.46</v>
      </c>
      <c r="H21" s="9">
        <v>89.385000000000005</v>
      </c>
      <c r="I21" s="9">
        <v>7.4999999999999997E-2</v>
      </c>
      <c r="J21" s="9">
        <v>0.66999999999999993</v>
      </c>
      <c r="K21" s="9">
        <v>0.73</v>
      </c>
      <c r="L21" s="9">
        <v>0.62</v>
      </c>
      <c r="M21" s="9">
        <v>1</v>
      </c>
      <c r="N21" s="9">
        <v>1</v>
      </c>
      <c r="O21" s="9">
        <v>1</v>
      </c>
      <c r="P21" s="9">
        <v>0.73166666666666669</v>
      </c>
      <c r="Q21" s="9">
        <v>0.45454545454545453</v>
      </c>
      <c r="R21" s="9">
        <v>0.18181818181818182</v>
      </c>
      <c r="S21" s="9">
        <v>0.45454545454545453</v>
      </c>
    </row>
    <row r="22" spans="1:19" x14ac:dyDescent="0.2">
      <c r="A22" s="19"/>
      <c r="B22" s="19"/>
      <c r="C22" s="12" t="s">
        <v>27</v>
      </c>
      <c r="D22" s="9">
        <v>600</v>
      </c>
      <c r="E22" s="9">
        <v>2</v>
      </c>
      <c r="F22" s="9">
        <v>39.32</v>
      </c>
      <c r="G22" s="9">
        <v>42.35</v>
      </c>
      <c r="H22" s="9">
        <v>40.07</v>
      </c>
      <c r="I22" s="9">
        <v>0.04</v>
      </c>
      <c r="J22" s="9">
        <v>0.71</v>
      </c>
      <c r="K22" s="9">
        <v>0.76</v>
      </c>
      <c r="L22" s="9">
        <v>0.79</v>
      </c>
      <c r="M22" s="9">
        <v>1</v>
      </c>
      <c r="N22" s="9">
        <v>1</v>
      </c>
      <c r="O22" s="9">
        <v>1</v>
      </c>
      <c r="P22" s="9">
        <v>0.46166666666666673</v>
      </c>
      <c r="Q22" s="9">
        <v>0.3</v>
      </c>
      <c r="R22" s="9">
        <v>0.1</v>
      </c>
      <c r="S22" s="9">
        <v>0.3</v>
      </c>
    </row>
    <row r="23" spans="1:19" x14ac:dyDescent="0.2">
      <c r="A23" s="19"/>
      <c r="B23" s="19" t="s">
        <v>23</v>
      </c>
      <c r="C23" s="12" t="s">
        <v>25</v>
      </c>
      <c r="D23" s="9">
        <v>1410.75</v>
      </c>
      <c r="E23" s="9">
        <v>2.5</v>
      </c>
      <c r="F23" s="9">
        <v>145.52250000000001</v>
      </c>
      <c r="G23" s="9">
        <v>154.09083333333331</v>
      </c>
      <c r="H23" s="9">
        <v>147.12416666666667</v>
      </c>
      <c r="I23" s="9">
        <v>3.9166666666666662E-2</v>
      </c>
      <c r="J23" s="9">
        <v>0.72333333333333316</v>
      </c>
      <c r="K23" s="9">
        <v>0.77333333333333332</v>
      </c>
      <c r="L23" s="9">
        <v>0.69166666666666654</v>
      </c>
      <c r="M23" s="9">
        <v>1</v>
      </c>
      <c r="N23" s="9">
        <v>0.93055555555555569</v>
      </c>
      <c r="O23" s="9">
        <v>0.96527777777777768</v>
      </c>
      <c r="P23" s="9">
        <v>0.66004629629629619</v>
      </c>
      <c r="Q23" s="9">
        <v>1</v>
      </c>
      <c r="R23" s="9">
        <v>1</v>
      </c>
      <c r="S23" s="9">
        <v>1</v>
      </c>
    </row>
    <row r="24" spans="1:19" x14ac:dyDescent="0.2">
      <c r="A24" s="19"/>
      <c r="B24" s="19"/>
      <c r="C24" s="12" t="s">
        <v>26</v>
      </c>
      <c r="D24" s="9">
        <v>2199.8571428571427</v>
      </c>
      <c r="E24" s="9">
        <v>2.1428571428571428</v>
      </c>
      <c r="F24" s="9">
        <v>91.238571428571419</v>
      </c>
      <c r="G24" s="9">
        <v>94.931428571428569</v>
      </c>
      <c r="H24" s="9">
        <v>89.76</v>
      </c>
      <c r="I24" s="9">
        <v>0.10142857142857144</v>
      </c>
      <c r="J24" s="9">
        <v>0.70714285714285707</v>
      </c>
      <c r="K24" s="9">
        <v>0.7857142857142857</v>
      </c>
      <c r="L24" s="9">
        <v>0.7599999999999999</v>
      </c>
      <c r="M24" s="9">
        <v>1</v>
      </c>
      <c r="N24" s="9">
        <v>0.95238095238095244</v>
      </c>
      <c r="O24" s="9">
        <v>0.97619047619047628</v>
      </c>
      <c r="P24" s="9">
        <v>0.52468253968253975</v>
      </c>
      <c r="Q24" s="9">
        <v>1</v>
      </c>
      <c r="R24" s="9">
        <v>0.63636363636363635</v>
      </c>
      <c r="S24" s="9">
        <v>1</v>
      </c>
    </row>
    <row r="25" spans="1:19" x14ac:dyDescent="0.2">
      <c r="A25" s="19"/>
      <c r="B25" s="19"/>
      <c r="C25" s="12" t="s">
        <v>27</v>
      </c>
      <c r="D25" s="9">
        <v>1069.2</v>
      </c>
      <c r="E25" s="9">
        <v>3</v>
      </c>
      <c r="F25" s="9">
        <v>1139.7739999999999</v>
      </c>
      <c r="G25" s="9">
        <v>1144.646</v>
      </c>
      <c r="H25" s="9">
        <v>1136.104</v>
      </c>
      <c r="I25" s="9">
        <v>7.9999999999999988E-2</v>
      </c>
      <c r="J25" s="9">
        <v>0.71599999999999997</v>
      </c>
      <c r="K25" s="9">
        <v>0.78199999999999992</v>
      </c>
      <c r="L25" s="9">
        <v>0.90333333333333332</v>
      </c>
      <c r="M25" s="9">
        <v>1</v>
      </c>
      <c r="N25" s="9">
        <v>0.4</v>
      </c>
      <c r="O25" s="9">
        <v>0.70000000000000007</v>
      </c>
      <c r="P25" s="9">
        <v>0.44866666666666666</v>
      </c>
      <c r="Q25" s="9">
        <v>0.8</v>
      </c>
      <c r="R25" s="9">
        <v>0.5</v>
      </c>
      <c r="S25" s="9">
        <v>0.8</v>
      </c>
    </row>
  </sheetData>
  <mergeCells count="10">
    <mergeCell ref="A14:A25"/>
    <mergeCell ref="B14:B16"/>
    <mergeCell ref="B17:B19"/>
    <mergeCell ref="B20:B22"/>
    <mergeCell ref="B23:B25"/>
    <mergeCell ref="A2:A13"/>
    <mergeCell ref="B2:B4"/>
    <mergeCell ref="B5:B7"/>
    <mergeCell ref="B8:B10"/>
    <mergeCell ref="B11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Screen</vt:lpstr>
      <vt:lpstr>All_Screen</vt:lpstr>
      <vt:lpstr>Screen with C</vt:lpstr>
      <vt:lpstr>H1-AM</vt:lpstr>
      <vt:lpstr>H1-AM&amp;C</vt:lpstr>
      <vt:lpstr>H2-AM</vt:lpstr>
      <vt:lpstr>H2-AM&amp;C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Jaldi, Chris Davis</dc:creator>
  <cp:lastModifiedBy>Jaldi, Chris Davis</cp:lastModifiedBy>
  <dcterms:created xsi:type="dcterms:W3CDTF">2025-11-24T22:33:24Z</dcterms:created>
  <dcterms:modified xsi:type="dcterms:W3CDTF">2025-12-01T00:56:57Z</dcterms:modified>
</cp:coreProperties>
</file>